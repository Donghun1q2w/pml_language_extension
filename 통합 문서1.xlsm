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현재_통합_문서" defaultThemeVersion="153222"/>
  <mc:AlternateContent xmlns:mc="http://schemas.openxmlformats.org/markup-compatibility/2006">
    <mc:Choice Requires="x15">
      <x15ac:absPath xmlns:x15ac="http://schemas.microsoft.com/office/spreadsheetml/2010/11/ac" url="D:\004_Node\pml_vscode_extension\"/>
    </mc:Choice>
  </mc:AlternateContent>
  <bookViews>
    <workbookView xWindow="0" yWindow="0" windowWidth="16200" windowHeight="11880" activeTab="2"/>
  </bookViews>
  <sheets>
    <sheet name="Coding 1" sheetId="5" r:id="rId1"/>
    <sheet name="Sheet1" sheetId="1" r:id="rId2"/>
    <sheet name="Sheet2" sheetId="6" r:id="rId3"/>
    <sheet name="Sheet3" sheetId="7" r:id="rId4"/>
    <sheet name="엑셀 함수" sheetId="2" r:id="rId5"/>
    <sheet name="Sheet5" sheetId="9" r:id="rId6"/>
    <sheet name="Sheet6" sheetId="10" r:id="rId7"/>
    <sheet name="Sheet4" sheetId="11" r:id="rId8"/>
    <sheet name="SendKey" sheetId="3" state="hidden" r:id="rId9"/>
    <sheet name="Function" sheetId="4" state="hidden" r:id="rId10"/>
  </sheets>
  <functionGroups builtInGroupCount="18"/>
  <externalReferences>
    <externalReference r:id="rId11"/>
  </externalReferences>
  <definedNames>
    <definedName name="_xlnm._FilterDatabase" localSheetId="2" hidden="1">Sheet2!$A$1:$G$1562</definedName>
    <definedName name="_xlnm._FilterDatabase" localSheetId="5" hidden="1">Sheet5!$A$1:$F$1</definedName>
    <definedName name="_xlnm._FilterDatabase" localSheetId="6" hidden="1">Sheet6!$A$1:$E$171</definedName>
    <definedName name="_xlnm._FilterDatabase" localSheetId="4" hidden="1">'엑셀 함수'!$A$3:$F$341</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425" i="6" l="1"/>
  <c r="G424" i="6"/>
  <c r="G2" i="1"/>
  <c r="G3" i="1"/>
  <c r="G4" i="1"/>
  <c r="G5" i="1"/>
  <c r="G6" i="1"/>
  <c r="G7" i="1"/>
  <c r="G8" i="1"/>
  <c r="G9" i="1"/>
  <c r="G10" i="1"/>
  <c r="G11" i="1"/>
  <c r="G12" i="1"/>
  <c r="G13" i="1"/>
  <c r="G14"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1" i="1"/>
  <c r="G1276" i="6"/>
  <c r="G1277" i="6"/>
  <c r="G1278" i="6"/>
  <c r="G1279" i="6"/>
  <c r="G1280" i="6"/>
  <c r="G1281" i="6"/>
  <c r="G1282" i="6"/>
  <c r="G1283" i="6"/>
  <c r="G1284" i="6"/>
  <c r="G1285" i="6"/>
  <c r="G1286" i="6"/>
  <c r="G1287" i="6"/>
  <c r="G1288" i="6"/>
  <c r="G1289" i="6"/>
  <c r="G1290" i="6"/>
  <c r="G1291" i="6"/>
  <c r="G1292" i="6"/>
  <c r="G1293" i="6"/>
  <c r="G1294" i="6"/>
  <c r="G1295" i="6"/>
  <c r="G1296" i="6"/>
  <c r="G1297" i="6"/>
  <c r="G1298" i="6"/>
  <c r="G1299" i="6"/>
  <c r="G1300" i="6"/>
  <c r="G1301" i="6"/>
  <c r="G1302" i="6"/>
  <c r="G1303" i="6"/>
  <c r="G1304" i="6"/>
  <c r="G1305" i="6"/>
  <c r="G1306" i="6"/>
  <c r="G1307" i="6"/>
  <c r="G1308" i="6"/>
  <c r="G1309" i="6"/>
  <c r="G1310" i="6"/>
  <c r="G1311" i="6"/>
  <c r="G1312" i="6"/>
  <c r="G1313" i="6"/>
  <c r="G1314" i="6"/>
  <c r="G1315" i="6"/>
  <c r="G1316" i="6"/>
  <c r="G1317" i="6"/>
  <c r="G1318" i="6"/>
  <c r="G1319" i="6"/>
  <c r="G1320" i="6"/>
  <c r="G1321" i="6"/>
  <c r="G1322" i="6"/>
  <c r="G1323" i="6"/>
  <c r="G1324" i="6"/>
  <c r="G1325" i="6"/>
  <c r="G1326" i="6"/>
  <c r="G1327" i="6"/>
  <c r="G1328" i="6"/>
  <c r="G1329" i="6"/>
  <c r="G1330" i="6"/>
  <c r="G1331" i="6"/>
  <c r="G1332" i="6"/>
  <c r="G1333" i="6"/>
  <c r="G1334" i="6"/>
  <c r="G1335" i="6"/>
  <c r="G1336" i="6"/>
  <c r="G1337" i="6"/>
  <c r="G1338" i="6"/>
  <c r="G1339" i="6"/>
  <c r="G1340" i="6"/>
  <c r="G1341" i="6"/>
  <c r="G1342" i="6"/>
  <c r="G1343" i="6"/>
  <c r="G1344" i="6"/>
  <c r="G1345" i="6"/>
  <c r="G1346" i="6"/>
  <c r="G1347" i="6"/>
  <c r="G1348" i="6"/>
  <c r="G1349" i="6"/>
  <c r="G1350" i="6"/>
  <c r="G1351" i="6"/>
  <c r="G1352" i="6"/>
  <c r="G1353" i="6"/>
  <c r="G1354" i="6"/>
  <c r="G1355" i="6"/>
  <c r="G1356" i="6"/>
  <c r="G1357" i="6"/>
  <c r="G1358" i="6"/>
  <c r="G1359" i="6"/>
  <c r="G1360" i="6"/>
  <c r="G1361" i="6"/>
  <c r="G1362" i="6"/>
  <c r="G1363" i="6"/>
  <c r="G1364" i="6"/>
  <c r="G1365" i="6"/>
  <c r="G1366" i="6"/>
  <c r="G1367" i="6"/>
  <c r="G1368" i="6"/>
  <c r="G1369" i="6"/>
  <c r="G1370" i="6"/>
  <c r="G1371" i="6"/>
  <c r="G1372" i="6"/>
  <c r="G1373" i="6"/>
  <c r="G1374" i="6"/>
  <c r="G1375" i="6"/>
  <c r="G1376" i="6"/>
  <c r="G1377" i="6"/>
  <c r="G1378" i="6"/>
  <c r="G1379" i="6"/>
  <c r="G1380" i="6"/>
  <c r="G1381" i="6"/>
  <c r="G1382" i="6"/>
  <c r="G1383" i="6"/>
  <c r="G1384" i="6"/>
  <c r="G1385" i="6"/>
  <c r="G1386" i="6"/>
  <c r="G1387" i="6"/>
  <c r="G1388" i="6"/>
  <c r="G1389" i="6"/>
  <c r="G1390" i="6"/>
  <c r="G1391" i="6"/>
  <c r="G1392" i="6"/>
  <c r="G1393" i="6"/>
  <c r="G1394" i="6"/>
  <c r="G1395" i="6"/>
  <c r="G1396" i="6"/>
  <c r="G1397" i="6"/>
  <c r="G1398" i="6"/>
  <c r="G1399" i="6"/>
  <c r="G1400" i="6"/>
  <c r="G1401" i="6"/>
  <c r="G1402" i="6"/>
  <c r="G1403" i="6"/>
  <c r="G1404" i="6"/>
  <c r="G1405" i="6"/>
  <c r="G1406" i="6"/>
  <c r="G1407" i="6"/>
  <c r="G1408" i="6"/>
  <c r="G1409" i="6"/>
  <c r="G1410" i="6"/>
  <c r="G1411" i="6"/>
  <c r="G1412" i="6"/>
  <c r="G1413" i="6"/>
  <c r="G1414" i="6"/>
  <c r="G1415" i="6"/>
  <c r="G1416" i="6"/>
  <c r="G1417" i="6"/>
  <c r="G1418" i="6"/>
  <c r="G1419" i="6"/>
  <c r="G1420" i="6"/>
  <c r="G1421" i="6"/>
  <c r="G1422" i="6"/>
  <c r="G1423" i="6"/>
  <c r="G1424" i="6"/>
  <c r="G1425" i="6"/>
  <c r="G1426" i="6"/>
  <c r="G1427" i="6"/>
  <c r="G1428" i="6"/>
  <c r="G1429" i="6"/>
  <c r="G1430" i="6"/>
  <c r="G1431" i="6"/>
  <c r="G1432" i="6"/>
  <c r="G1433" i="6"/>
  <c r="G1434" i="6"/>
  <c r="G1435" i="6"/>
  <c r="G1436" i="6"/>
  <c r="G1437" i="6"/>
  <c r="G1438" i="6"/>
  <c r="G1439" i="6"/>
  <c r="G1440" i="6"/>
  <c r="G1441" i="6"/>
  <c r="G1442" i="6"/>
  <c r="G1443" i="6"/>
  <c r="G1444" i="6"/>
  <c r="G1445" i="6"/>
  <c r="G1446" i="6"/>
  <c r="G1447" i="6"/>
  <c r="G1448" i="6"/>
  <c r="G1449" i="6"/>
  <c r="G1450" i="6"/>
  <c r="G1451" i="6"/>
  <c r="G1452" i="6"/>
  <c r="G1453" i="6"/>
  <c r="G1454" i="6"/>
  <c r="G1455" i="6"/>
  <c r="G1456" i="6"/>
  <c r="G1457" i="6"/>
  <c r="G1458" i="6"/>
  <c r="G1459" i="6"/>
  <c r="G1460" i="6"/>
  <c r="G1461" i="6"/>
  <c r="G1462" i="6"/>
  <c r="G1463" i="6"/>
  <c r="G1464" i="6"/>
  <c r="G1465" i="6"/>
  <c r="G1466" i="6"/>
  <c r="G1467" i="6"/>
  <c r="G1468" i="6"/>
  <c r="G1469" i="6"/>
  <c r="G1470" i="6"/>
  <c r="G1471" i="6"/>
  <c r="G1472" i="6"/>
  <c r="G1473" i="6"/>
  <c r="G1474" i="6"/>
  <c r="G1475" i="6"/>
  <c r="G1476" i="6"/>
  <c r="G1477" i="6"/>
  <c r="G1478" i="6"/>
  <c r="G1479" i="6"/>
  <c r="G1480" i="6"/>
  <c r="G1481" i="6"/>
  <c r="G1482" i="6"/>
  <c r="G1483" i="6"/>
  <c r="G1484" i="6"/>
  <c r="G1485" i="6"/>
  <c r="G1486" i="6"/>
  <c r="G1487" i="6"/>
  <c r="G1488" i="6"/>
  <c r="G1489" i="6"/>
  <c r="G1490" i="6"/>
  <c r="G1491" i="6"/>
  <c r="G1492" i="6"/>
  <c r="G1493" i="6"/>
  <c r="G1494" i="6"/>
  <c r="G1495" i="6"/>
  <c r="G1496" i="6"/>
  <c r="G1497" i="6"/>
  <c r="G1498" i="6"/>
  <c r="G1499" i="6"/>
  <c r="G1500" i="6"/>
  <c r="G1501" i="6"/>
  <c r="G1502" i="6"/>
  <c r="G1503" i="6"/>
  <c r="G1504" i="6"/>
  <c r="G1505" i="6"/>
  <c r="G1506" i="6"/>
  <c r="G1507" i="6"/>
  <c r="G1508" i="6"/>
  <c r="G1509" i="6"/>
  <c r="G1510" i="6"/>
  <c r="G1511" i="6"/>
  <c r="G1512" i="6"/>
  <c r="G1513" i="6"/>
  <c r="G1514" i="6"/>
  <c r="G1515" i="6"/>
  <c r="G1516" i="6"/>
  <c r="G1517" i="6"/>
  <c r="G1518" i="6"/>
  <c r="G1519" i="6"/>
  <c r="G1520" i="6"/>
  <c r="G1521" i="6"/>
  <c r="G1522" i="6"/>
  <c r="G1523" i="6"/>
  <c r="G1524" i="6"/>
  <c r="G1525" i="6"/>
  <c r="G1526" i="6"/>
  <c r="G1527" i="6"/>
  <c r="G1528" i="6"/>
  <c r="G1529" i="6"/>
  <c r="G1530" i="6"/>
  <c r="G1531" i="6"/>
  <c r="G1532" i="6"/>
  <c r="G1533" i="6"/>
  <c r="G1534" i="6"/>
  <c r="G1535" i="6"/>
  <c r="G1536" i="6"/>
  <c r="G1537" i="6"/>
  <c r="G1538" i="6"/>
  <c r="G1539" i="6"/>
  <c r="G1540" i="6"/>
  <c r="G1541" i="6"/>
  <c r="G1542" i="6"/>
  <c r="G1543" i="6"/>
  <c r="G1544" i="6"/>
  <c r="G1545" i="6"/>
  <c r="G1546" i="6"/>
  <c r="G1547" i="6"/>
  <c r="G1548" i="6"/>
  <c r="G1549" i="6"/>
  <c r="G1550" i="6"/>
  <c r="G1551" i="6"/>
  <c r="G1552" i="6"/>
  <c r="G1553" i="6"/>
  <c r="G1554" i="6"/>
  <c r="G1555" i="6"/>
  <c r="G1556" i="6"/>
  <c r="G1557" i="6"/>
  <c r="G1558" i="6"/>
  <c r="G1559" i="6"/>
  <c r="G1560" i="6"/>
  <c r="G1561" i="6"/>
  <c r="G1562" i="6"/>
  <c r="G2" i="6"/>
  <c r="G3" i="6"/>
  <c r="G4" i="6"/>
  <c r="G5" i="6"/>
  <c r="G6" i="6"/>
  <c r="G7" i="6"/>
  <c r="G8" i="6"/>
  <c r="G9" i="6"/>
  <c r="G10" i="6"/>
  <c r="G11" i="6"/>
  <c r="G12" i="6"/>
  <c r="G13" i="6"/>
  <c r="G14" i="6"/>
  <c r="G15" i="6"/>
  <c r="G16" i="6"/>
  <c r="G17" i="6"/>
  <c r="G18" i="6"/>
  <c r="G19" i="6"/>
  <c r="G20" i="6"/>
  <c r="G21" i="6"/>
  <c r="G22" i="6"/>
  <c r="G23" i="6"/>
  <c r="G24" i="6"/>
  <c r="G25" i="6"/>
  <c r="G26" i="6"/>
  <c r="G27" i="6"/>
  <c r="G28" i="6"/>
  <c r="G29" i="6"/>
  <c r="G30" i="6"/>
  <c r="G31" i="6"/>
  <c r="G32" i="6"/>
  <c r="G33" i="6"/>
  <c r="G34" i="6"/>
  <c r="G35" i="6"/>
  <c r="G36" i="6"/>
  <c r="G37" i="6"/>
  <c r="G38" i="6"/>
  <c r="G39" i="6"/>
  <c r="G40" i="6"/>
  <c r="G41" i="6"/>
  <c r="G42" i="6"/>
  <c r="G43" i="6"/>
  <c r="G44" i="6"/>
  <c r="G45" i="6"/>
  <c r="G46" i="6"/>
  <c r="G47" i="6"/>
  <c r="G48" i="6"/>
  <c r="G49" i="6"/>
  <c r="G50" i="6"/>
  <c r="G51" i="6"/>
  <c r="G52" i="6"/>
  <c r="G53" i="6"/>
  <c r="G54" i="6"/>
  <c r="G55" i="6"/>
  <c r="G56" i="6"/>
  <c r="G57" i="6"/>
  <c r="G58" i="6"/>
  <c r="G59" i="6"/>
  <c r="G60" i="6"/>
  <c r="G61" i="6"/>
  <c r="G62" i="6"/>
  <c r="G63" i="6"/>
  <c r="G64" i="6"/>
  <c r="G65" i="6"/>
  <c r="G66" i="6"/>
  <c r="G67" i="6"/>
  <c r="G68" i="6"/>
  <c r="G69" i="6"/>
  <c r="G70" i="6"/>
  <c r="G71" i="6"/>
  <c r="G72" i="6"/>
  <c r="G73" i="6"/>
  <c r="G74" i="6"/>
  <c r="G75" i="6"/>
  <c r="G76" i="6"/>
  <c r="G77" i="6"/>
  <c r="G78" i="6"/>
  <c r="G79" i="6"/>
  <c r="G80" i="6"/>
  <c r="G81" i="6"/>
  <c r="G82" i="6"/>
  <c r="G83" i="6"/>
  <c r="G84" i="6"/>
  <c r="G85" i="6"/>
  <c r="G86" i="6"/>
  <c r="G87" i="6"/>
  <c r="G88" i="6"/>
  <c r="G89" i="6"/>
  <c r="G90" i="6"/>
  <c r="G91" i="6"/>
  <c r="G92" i="6"/>
  <c r="G93" i="6"/>
  <c r="G94" i="6"/>
  <c r="G95" i="6"/>
  <c r="G96" i="6"/>
  <c r="G97" i="6"/>
  <c r="G98" i="6"/>
  <c r="G99" i="6"/>
  <c r="G100" i="6"/>
  <c r="G101" i="6"/>
  <c r="G102" i="6"/>
  <c r="G103" i="6"/>
  <c r="G104" i="6"/>
  <c r="G105" i="6"/>
  <c r="G106" i="6"/>
  <c r="G107" i="6"/>
  <c r="G108" i="6"/>
  <c r="G109" i="6"/>
  <c r="G110" i="6"/>
  <c r="G111" i="6"/>
  <c r="G112" i="6"/>
  <c r="G113" i="6"/>
  <c r="G114" i="6"/>
  <c r="G115" i="6"/>
  <c r="G116" i="6"/>
  <c r="G117" i="6"/>
  <c r="G118" i="6"/>
  <c r="G119" i="6"/>
  <c r="G120" i="6"/>
  <c r="G121" i="6"/>
  <c r="G122" i="6"/>
  <c r="G123" i="6"/>
  <c r="G124" i="6"/>
  <c r="G125" i="6"/>
  <c r="G126" i="6"/>
  <c r="G127" i="6"/>
  <c r="G128" i="6"/>
  <c r="G129" i="6"/>
  <c r="G130" i="6"/>
  <c r="G131" i="6"/>
  <c r="G132" i="6"/>
  <c r="G133" i="6"/>
  <c r="G134" i="6"/>
  <c r="G135" i="6"/>
  <c r="G136" i="6"/>
  <c r="G137" i="6"/>
  <c r="G138" i="6"/>
  <c r="G139" i="6"/>
  <c r="G140" i="6"/>
  <c r="G141" i="6"/>
  <c r="G142" i="6"/>
  <c r="G143" i="6"/>
  <c r="G144" i="6"/>
  <c r="G145" i="6"/>
  <c r="G146" i="6"/>
  <c r="G147" i="6"/>
  <c r="G148" i="6"/>
  <c r="G149" i="6"/>
  <c r="G150" i="6"/>
  <c r="G151" i="6"/>
  <c r="G152" i="6"/>
  <c r="G153" i="6"/>
  <c r="G154" i="6"/>
  <c r="G155" i="6"/>
  <c r="G156" i="6"/>
  <c r="G157" i="6"/>
  <c r="G158" i="6"/>
  <c r="G159" i="6"/>
  <c r="G160" i="6"/>
  <c r="G161" i="6"/>
  <c r="G162" i="6"/>
  <c r="G163" i="6"/>
  <c r="G164" i="6"/>
  <c r="G165" i="6"/>
  <c r="G166" i="6"/>
  <c r="G167" i="6"/>
  <c r="G168" i="6"/>
  <c r="G169" i="6"/>
  <c r="G170" i="6"/>
  <c r="G171" i="6"/>
  <c r="G172" i="6"/>
  <c r="G173" i="6"/>
  <c r="G174" i="6"/>
  <c r="G175" i="6"/>
  <c r="G176" i="6"/>
  <c r="G177" i="6"/>
  <c r="G178" i="6"/>
  <c r="G179" i="6"/>
  <c r="G180" i="6"/>
  <c r="G181" i="6"/>
  <c r="G182" i="6"/>
  <c r="G183" i="6"/>
  <c r="G184" i="6"/>
  <c r="G185" i="6"/>
  <c r="G186" i="6"/>
  <c r="G187" i="6"/>
  <c r="G188" i="6"/>
  <c r="G189" i="6"/>
  <c r="G190" i="6"/>
  <c r="G191" i="6"/>
  <c r="G192" i="6"/>
  <c r="G193" i="6"/>
  <c r="G194" i="6"/>
  <c r="G195" i="6"/>
  <c r="G196" i="6"/>
  <c r="G197" i="6"/>
  <c r="G198" i="6"/>
  <c r="G199" i="6"/>
  <c r="G200" i="6"/>
  <c r="G201" i="6"/>
  <c r="G202" i="6"/>
  <c r="G203" i="6"/>
  <c r="G204" i="6"/>
  <c r="G205" i="6"/>
  <c r="G206" i="6"/>
  <c r="G207" i="6"/>
  <c r="G208" i="6"/>
  <c r="G209" i="6"/>
  <c r="G210" i="6"/>
  <c r="G211" i="6"/>
  <c r="G212" i="6"/>
  <c r="G213" i="6"/>
  <c r="G214" i="6"/>
  <c r="G215" i="6"/>
  <c r="G216" i="6"/>
  <c r="G217" i="6"/>
  <c r="G218" i="6"/>
  <c r="G219" i="6"/>
  <c r="G220" i="6"/>
  <c r="G221" i="6"/>
  <c r="G222" i="6"/>
  <c r="G223" i="6"/>
  <c r="G224" i="6"/>
  <c r="G225" i="6"/>
  <c r="G226" i="6"/>
  <c r="G227" i="6"/>
  <c r="G228" i="6"/>
  <c r="G229" i="6"/>
  <c r="G230" i="6"/>
  <c r="G231" i="6"/>
  <c r="G232" i="6"/>
  <c r="G233" i="6"/>
  <c r="G234" i="6"/>
  <c r="G235" i="6"/>
  <c r="G236" i="6"/>
  <c r="G237" i="6"/>
  <c r="G238" i="6"/>
  <c r="G239" i="6"/>
  <c r="G240" i="6"/>
  <c r="G241" i="6"/>
  <c r="G242" i="6"/>
  <c r="G243" i="6"/>
  <c r="G244" i="6"/>
  <c r="G245" i="6"/>
  <c r="G246" i="6"/>
  <c r="G247" i="6"/>
  <c r="G248" i="6"/>
  <c r="G249" i="6"/>
  <c r="G250" i="6"/>
  <c r="G251" i="6"/>
  <c r="G252" i="6"/>
  <c r="G253" i="6"/>
  <c r="G254" i="6"/>
  <c r="G255" i="6"/>
  <c r="G256" i="6"/>
  <c r="G257" i="6"/>
  <c r="G258" i="6"/>
  <c r="G259" i="6"/>
  <c r="G260" i="6"/>
  <c r="G261" i="6"/>
  <c r="G262" i="6"/>
  <c r="G263" i="6"/>
  <c r="G264" i="6"/>
  <c r="G265" i="6"/>
  <c r="G266" i="6"/>
  <c r="G267" i="6"/>
  <c r="G268" i="6"/>
  <c r="G269" i="6"/>
  <c r="G270" i="6"/>
  <c r="G271" i="6"/>
  <c r="G272" i="6"/>
  <c r="G273" i="6"/>
  <c r="G274" i="6"/>
  <c r="G275" i="6"/>
  <c r="G276" i="6"/>
  <c r="G277" i="6"/>
  <c r="G278" i="6"/>
  <c r="G279" i="6"/>
  <c r="G280" i="6"/>
  <c r="G281" i="6"/>
  <c r="G282" i="6"/>
  <c r="G283" i="6"/>
  <c r="G284" i="6"/>
  <c r="G285" i="6"/>
  <c r="G286" i="6"/>
  <c r="G287" i="6"/>
  <c r="G288" i="6"/>
  <c r="G289" i="6"/>
  <c r="G290" i="6"/>
  <c r="G291" i="6"/>
  <c r="G292" i="6"/>
  <c r="G293" i="6"/>
  <c r="G294" i="6"/>
  <c r="G295" i="6"/>
  <c r="G296" i="6"/>
  <c r="G297" i="6"/>
  <c r="G298" i="6"/>
  <c r="G299" i="6"/>
  <c r="G300" i="6"/>
  <c r="G301" i="6"/>
  <c r="G302" i="6"/>
  <c r="G303" i="6"/>
  <c r="G304" i="6"/>
  <c r="G305" i="6"/>
  <c r="G306" i="6"/>
  <c r="G307" i="6"/>
  <c r="G308" i="6"/>
  <c r="G309" i="6"/>
  <c r="G310" i="6"/>
  <c r="G311" i="6"/>
  <c r="G312" i="6"/>
  <c r="G313" i="6"/>
  <c r="G314" i="6"/>
  <c r="G315" i="6"/>
  <c r="G316" i="6"/>
  <c r="G317" i="6"/>
  <c r="G318" i="6"/>
  <c r="G319" i="6"/>
  <c r="G320" i="6"/>
  <c r="G321" i="6"/>
  <c r="G322" i="6"/>
  <c r="G323" i="6"/>
  <c r="G324" i="6"/>
  <c r="G325" i="6"/>
  <c r="G326" i="6"/>
  <c r="G327" i="6"/>
  <c r="G328" i="6"/>
  <c r="G329" i="6"/>
  <c r="G330" i="6"/>
  <c r="G331" i="6"/>
  <c r="G332" i="6"/>
  <c r="G333" i="6"/>
  <c r="G334" i="6"/>
  <c r="G335" i="6"/>
  <c r="G336" i="6"/>
  <c r="G337" i="6"/>
  <c r="G338" i="6"/>
  <c r="G339" i="6"/>
  <c r="G340" i="6"/>
  <c r="G341" i="6"/>
  <c r="G342" i="6"/>
  <c r="G343" i="6"/>
  <c r="G344" i="6"/>
  <c r="G345" i="6"/>
  <c r="G346" i="6"/>
  <c r="G347" i="6"/>
  <c r="G348" i="6"/>
  <c r="G349" i="6"/>
  <c r="G350" i="6"/>
  <c r="G351" i="6"/>
  <c r="G352" i="6"/>
  <c r="G353" i="6"/>
  <c r="G354" i="6"/>
  <c r="G355" i="6"/>
  <c r="G356" i="6"/>
  <c r="G357" i="6"/>
  <c r="G358" i="6"/>
  <c r="G359" i="6"/>
  <c r="G360" i="6"/>
  <c r="G361" i="6"/>
  <c r="G362" i="6"/>
  <c r="G363" i="6"/>
  <c r="G364" i="6"/>
  <c r="G365" i="6"/>
  <c r="G366" i="6"/>
  <c r="G367" i="6"/>
  <c r="G368" i="6"/>
  <c r="G369" i="6"/>
  <c r="G370" i="6"/>
  <c r="G371" i="6"/>
  <c r="G372" i="6"/>
  <c r="G373" i="6"/>
  <c r="G374" i="6"/>
  <c r="G375" i="6"/>
  <c r="G376" i="6"/>
  <c r="G377" i="6"/>
  <c r="G378" i="6"/>
  <c r="G379" i="6"/>
  <c r="G380" i="6"/>
  <c r="G381" i="6"/>
  <c r="G382" i="6"/>
  <c r="G383" i="6"/>
  <c r="G384" i="6"/>
  <c r="G385" i="6"/>
  <c r="G386" i="6"/>
  <c r="G387" i="6"/>
  <c r="G388" i="6"/>
  <c r="G389" i="6"/>
  <c r="G390" i="6"/>
  <c r="G391" i="6"/>
  <c r="G392" i="6"/>
  <c r="G393" i="6"/>
  <c r="G394" i="6"/>
  <c r="G395" i="6"/>
  <c r="G396" i="6"/>
  <c r="G397" i="6"/>
  <c r="G398" i="6"/>
  <c r="G399" i="6"/>
  <c r="G400" i="6"/>
  <c r="G401" i="6"/>
  <c r="G402" i="6"/>
  <c r="G403" i="6"/>
  <c r="G404" i="6"/>
  <c r="G405" i="6"/>
  <c r="G406" i="6"/>
  <c r="G407" i="6"/>
  <c r="G408" i="6"/>
  <c r="G409" i="6"/>
  <c r="G410" i="6"/>
  <c r="G411" i="6"/>
  <c r="G412" i="6"/>
  <c r="G413" i="6"/>
  <c r="G414" i="6"/>
  <c r="G415" i="6"/>
  <c r="G416" i="6"/>
  <c r="G417" i="6"/>
  <c r="G418" i="6"/>
  <c r="G419" i="6"/>
  <c r="G420" i="6"/>
  <c r="G421" i="6"/>
  <c r="G422" i="6"/>
  <c r="G423" i="6"/>
  <c r="G426" i="6"/>
  <c r="G427" i="6"/>
  <c r="G428" i="6"/>
  <c r="G429" i="6"/>
  <c r="G430" i="6"/>
  <c r="G431" i="6"/>
  <c r="G432" i="6"/>
  <c r="G433" i="6"/>
  <c r="G434" i="6"/>
  <c r="G435" i="6"/>
  <c r="G436" i="6"/>
  <c r="G437" i="6"/>
  <c r="G438" i="6"/>
  <c r="G439" i="6"/>
  <c r="G440" i="6"/>
  <c r="G441" i="6"/>
  <c r="G442" i="6"/>
  <c r="G443" i="6"/>
  <c r="G444" i="6"/>
  <c r="G445" i="6"/>
  <c r="G446" i="6"/>
  <c r="G447" i="6"/>
  <c r="G448" i="6"/>
  <c r="G449" i="6"/>
  <c r="G450" i="6"/>
  <c r="G451" i="6"/>
  <c r="G452" i="6"/>
  <c r="G453" i="6"/>
  <c r="G454" i="6"/>
  <c r="G455" i="6"/>
  <c r="G456" i="6"/>
  <c r="G457" i="6"/>
  <c r="G458" i="6"/>
  <c r="G459" i="6"/>
  <c r="G460" i="6"/>
  <c r="G461" i="6"/>
  <c r="G462" i="6"/>
  <c r="G463" i="6"/>
  <c r="G464" i="6"/>
  <c r="G465" i="6"/>
  <c r="G466" i="6"/>
  <c r="G467" i="6"/>
  <c r="G468" i="6"/>
  <c r="G469" i="6"/>
  <c r="G470" i="6"/>
  <c r="G471" i="6"/>
  <c r="G472" i="6"/>
  <c r="G473" i="6"/>
  <c r="G474" i="6"/>
  <c r="G475" i="6"/>
  <c r="G476" i="6"/>
  <c r="G477" i="6"/>
  <c r="G478" i="6"/>
  <c r="G479" i="6"/>
  <c r="G480" i="6"/>
  <c r="G481" i="6"/>
  <c r="G482" i="6"/>
  <c r="G483" i="6"/>
  <c r="G484" i="6"/>
  <c r="G485" i="6"/>
  <c r="G486" i="6"/>
  <c r="G487" i="6"/>
  <c r="G488" i="6"/>
  <c r="G489" i="6"/>
  <c r="G490" i="6"/>
  <c r="G491" i="6"/>
  <c r="G492" i="6"/>
  <c r="G493" i="6"/>
  <c r="G494" i="6"/>
  <c r="G495" i="6"/>
  <c r="G496" i="6"/>
  <c r="G497" i="6"/>
  <c r="G498" i="6"/>
  <c r="G499" i="6"/>
  <c r="G500" i="6"/>
  <c r="G501" i="6"/>
  <c r="G502" i="6"/>
  <c r="G503" i="6"/>
  <c r="G504" i="6"/>
  <c r="G505" i="6"/>
  <c r="G506" i="6"/>
  <c r="G507" i="6"/>
  <c r="G508" i="6"/>
  <c r="G509" i="6"/>
  <c r="G510" i="6"/>
  <c r="G511" i="6"/>
  <c r="G512" i="6"/>
  <c r="G513" i="6"/>
  <c r="G514" i="6"/>
  <c r="G515" i="6"/>
  <c r="G516" i="6"/>
  <c r="G517" i="6"/>
  <c r="G518" i="6"/>
  <c r="G519" i="6"/>
  <c r="G520" i="6"/>
  <c r="G521" i="6"/>
  <c r="G522" i="6"/>
  <c r="G523" i="6"/>
  <c r="G524" i="6"/>
  <c r="G525" i="6"/>
  <c r="G526" i="6"/>
  <c r="G527" i="6"/>
  <c r="G528" i="6"/>
  <c r="G529" i="6"/>
  <c r="G530" i="6"/>
  <c r="G531" i="6"/>
  <c r="G532" i="6"/>
  <c r="G533" i="6"/>
  <c r="G534" i="6"/>
  <c r="G535" i="6"/>
  <c r="G536" i="6"/>
  <c r="G537" i="6"/>
  <c r="G538" i="6"/>
  <c r="G539" i="6"/>
  <c r="G540" i="6"/>
  <c r="G541" i="6"/>
  <c r="G542" i="6"/>
  <c r="G543" i="6"/>
  <c r="G544" i="6"/>
  <c r="G545" i="6"/>
  <c r="G546" i="6"/>
  <c r="G547" i="6"/>
  <c r="G548" i="6"/>
  <c r="G549" i="6"/>
  <c r="G550" i="6"/>
  <c r="G551" i="6"/>
  <c r="G552" i="6"/>
  <c r="G553" i="6"/>
  <c r="G554" i="6"/>
  <c r="G555" i="6"/>
  <c r="G556" i="6"/>
  <c r="G557" i="6"/>
  <c r="G558" i="6"/>
  <c r="G559" i="6"/>
  <c r="G560" i="6"/>
  <c r="G561" i="6"/>
  <c r="G562" i="6"/>
  <c r="G563" i="6"/>
  <c r="G564" i="6"/>
  <c r="G565" i="6"/>
  <c r="G566" i="6"/>
  <c r="G567" i="6"/>
  <c r="G568" i="6"/>
  <c r="G569" i="6"/>
  <c r="G570" i="6"/>
  <c r="G571" i="6"/>
  <c r="G572" i="6"/>
  <c r="G573" i="6"/>
  <c r="G574" i="6"/>
  <c r="G575" i="6"/>
  <c r="G576" i="6"/>
  <c r="G577" i="6"/>
  <c r="G578" i="6"/>
  <c r="G579" i="6"/>
  <c r="G580" i="6"/>
  <c r="G581" i="6"/>
  <c r="G582" i="6"/>
  <c r="G583" i="6"/>
  <c r="G584" i="6"/>
  <c r="G585" i="6"/>
  <c r="G586" i="6"/>
  <c r="G587" i="6"/>
  <c r="G588" i="6"/>
  <c r="G589" i="6"/>
  <c r="G590" i="6"/>
  <c r="G591" i="6"/>
  <c r="G592" i="6"/>
  <c r="G593" i="6"/>
  <c r="G594" i="6"/>
  <c r="G595" i="6"/>
  <c r="G596" i="6"/>
  <c r="G597" i="6"/>
  <c r="G598" i="6"/>
  <c r="G599" i="6"/>
  <c r="G600" i="6"/>
  <c r="G601" i="6"/>
  <c r="G602" i="6"/>
  <c r="G603" i="6"/>
  <c r="G604" i="6"/>
  <c r="G605" i="6"/>
  <c r="G606" i="6"/>
  <c r="G607" i="6"/>
  <c r="G608" i="6"/>
  <c r="G609" i="6"/>
  <c r="G610" i="6"/>
  <c r="G611" i="6"/>
  <c r="G612" i="6"/>
  <c r="G613" i="6"/>
  <c r="G614" i="6"/>
  <c r="G615" i="6"/>
  <c r="G616" i="6"/>
  <c r="G617" i="6"/>
  <c r="G618" i="6"/>
  <c r="G619" i="6"/>
  <c r="G620" i="6"/>
  <c r="G621" i="6"/>
  <c r="G622" i="6"/>
  <c r="G623" i="6"/>
  <c r="G624" i="6"/>
  <c r="G625" i="6"/>
  <c r="G626" i="6"/>
  <c r="G627" i="6"/>
  <c r="G628" i="6"/>
  <c r="G629" i="6"/>
  <c r="G630" i="6"/>
  <c r="G631" i="6"/>
  <c r="G632" i="6"/>
  <c r="G633" i="6"/>
  <c r="G634" i="6"/>
  <c r="G635" i="6"/>
  <c r="G636" i="6"/>
  <c r="G637" i="6"/>
  <c r="G638" i="6"/>
  <c r="G639" i="6"/>
  <c r="G640" i="6"/>
  <c r="G641" i="6"/>
  <c r="G642" i="6"/>
  <c r="G643" i="6"/>
  <c r="G644" i="6"/>
  <c r="G645" i="6"/>
  <c r="G646" i="6"/>
  <c r="G647" i="6"/>
  <c r="G648" i="6"/>
  <c r="G649" i="6"/>
  <c r="G650" i="6"/>
  <c r="G651" i="6"/>
  <c r="G652" i="6"/>
  <c r="G653" i="6"/>
  <c r="G654" i="6"/>
  <c r="G655" i="6"/>
  <c r="G656" i="6"/>
  <c r="G657" i="6"/>
  <c r="G658" i="6"/>
  <c r="G659" i="6"/>
  <c r="G660" i="6"/>
  <c r="G661" i="6"/>
  <c r="G662" i="6"/>
  <c r="G663" i="6"/>
  <c r="G664" i="6"/>
  <c r="G665" i="6"/>
  <c r="G666" i="6"/>
  <c r="G667" i="6"/>
  <c r="G668" i="6"/>
  <c r="G669" i="6"/>
  <c r="G670" i="6"/>
  <c r="G671" i="6"/>
  <c r="G672" i="6"/>
  <c r="G673" i="6"/>
  <c r="G674" i="6"/>
  <c r="G675" i="6"/>
  <c r="G676" i="6"/>
  <c r="G677" i="6"/>
  <c r="G678" i="6"/>
  <c r="G679" i="6"/>
  <c r="G680" i="6"/>
  <c r="G681" i="6"/>
  <c r="G682" i="6"/>
  <c r="G683" i="6"/>
  <c r="G684" i="6"/>
  <c r="G685" i="6"/>
  <c r="G686" i="6"/>
  <c r="G687" i="6"/>
  <c r="G688" i="6"/>
  <c r="G689" i="6"/>
  <c r="G690" i="6"/>
  <c r="G691" i="6"/>
  <c r="G692" i="6"/>
  <c r="G693" i="6"/>
  <c r="G694" i="6"/>
  <c r="G695" i="6"/>
  <c r="G696" i="6"/>
  <c r="G697" i="6"/>
  <c r="G698" i="6"/>
  <c r="G699" i="6"/>
  <c r="G700" i="6"/>
  <c r="G701" i="6"/>
  <c r="G702" i="6"/>
  <c r="G703" i="6"/>
  <c r="G704" i="6"/>
  <c r="G705" i="6"/>
  <c r="G706" i="6"/>
  <c r="G707" i="6"/>
  <c r="G708" i="6"/>
  <c r="G709" i="6"/>
  <c r="G710" i="6"/>
  <c r="G711" i="6"/>
  <c r="G712" i="6"/>
  <c r="G713" i="6"/>
  <c r="G714" i="6"/>
  <c r="G715" i="6"/>
  <c r="G716" i="6"/>
  <c r="G717" i="6"/>
  <c r="G718" i="6"/>
  <c r="G719" i="6"/>
  <c r="G720" i="6"/>
  <c r="G721" i="6"/>
  <c r="G722" i="6"/>
  <c r="G723" i="6"/>
  <c r="G724" i="6"/>
  <c r="G725" i="6"/>
  <c r="G726" i="6"/>
  <c r="G727" i="6"/>
  <c r="G728" i="6"/>
  <c r="G729" i="6"/>
  <c r="G730" i="6"/>
  <c r="G731" i="6"/>
  <c r="G732" i="6"/>
  <c r="G733" i="6"/>
  <c r="G734" i="6"/>
  <c r="G735" i="6"/>
  <c r="G736" i="6"/>
  <c r="G737" i="6"/>
  <c r="G738" i="6"/>
  <c r="G739" i="6"/>
  <c r="G740" i="6"/>
  <c r="G741" i="6"/>
  <c r="G742" i="6"/>
  <c r="G743" i="6"/>
  <c r="G744" i="6"/>
  <c r="G745" i="6"/>
  <c r="G746" i="6"/>
  <c r="G747" i="6"/>
  <c r="G748" i="6"/>
  <c r="G749" i="6"/>
  <c r="G750" i="6"/>
  <c r="G751" i="6"/>
  <c r="G752" i="6"/>
  <c r="G753" i="6"/>
  <c r="G754" i="6"/>
  <c r="G755" i="6"/>
  <c r="G756" i="6"/>
  <c r="G757" i="6"/>
  <c r="G758" i="6"/>
  <c r="G759" i="6"/>
  <c r="G760" i="6"/>
  <c r="G761" i="6"/>
  <c r="G762" i="6"/>
  <c r="G763" i="6"/>
  <c r="G764" i="6"/>
  <c r="G765" i="6"/>
  <c r="G766" i="6"/>
  <c r="G767" i="6"/>
  <c r="G768" i="6"/>
  <c r="G769" i="6"/>
  <c r="G770" i="6"/>
  <c r="G771" i="6"/>
  <c r="G772" i="6"/>
  <c r="G773" i="6"/>
  <c r="G774" i="6"/>
  <c r="G775" i="6"/>
  <c r="G776" i="6"/>
  <c r="G777" i="6"/>
  <c r="G778" i="6"/>
  <c r="G779" i="6"/>
  <c r="G780" i="6"/>
  <c r="G781" i="6"/>
  <c r="G782" i="6"/>
  <c r="G783" i="6"/>
  <c r="G784" i="6"/>
  <c r="G785" i="6"/>
  <c r="G786" i="6"/>
  <c r="G787" i="6"/>
  <c r="G788" i="6"/>
  <c r="G789" i="6"/>
  <c r="G790" i="6"/>
  <c r="G791" i="6"/>
  <c r="G792" i="6"/>
  <c r="G793" i="6"/>
  <c r="G794" i="6"/>
  <c r="G795" i="6"/>
  <c r="G796" i="6"/>
  <c r="G797" i="6"/>
  <c r="G798" i="6"/>
  <c r="G799" i="6"/>
  <c r="G800" i="6"/>
  <c r="G801" i="6"/>
  <c r="G802" i="6"/>
  <c r="G803" i="6"/>
  <c r="G804" i="6"/>
  <c r="G805" i="6"/>
  <c r="G806" i="6"/>
  <c r="G807" i="6"/>
  <c r="G808" i="6"/>
  <c r="G809" i="6"/>
  <c r="G810" i="6"/>
  <c r="G811" i="6"/>
  <c r="G812" i="6"/>
  <c r="G813" i="6"/>
  <c r="G814" i="6"/>
  <c r="G815" i="6"/>
  <c r="G816" i="6"/>
  <c r="G817" i="6"/>
  <c r="G818" i="6"/>
  <c r="G819" i="6"/>
  <c r="G820" i="6"/>
  <c r="G821" i="6"/>
  <c r="G822" i="6"/>
  <c r="G823" i="6"/>
  <c r="G824" i="6"/>
  <c r="G825" i="6"/>
  <c r="G826" i="6"/>
  <c r="G827" i="6"/>
  <c r="G828" i="6"/>
  <c r="G829" i="6"/>
  <c r="G830" i="6"/>
  <c r="G831" i="6"/>
  <c r="G832" i="6"/>
  <c r="G833" i="6"/>
  <c r="G834" i="6"/>
  <c r="G835" i="6"/>
  <c r="G836" i="6"/>
  <c r="G837" i="6"/>
  <c r="G838" i="6"/>
  <c r="G839" i="6"/>
  <c r="G840" i="6"/>
  <c r="G841" i="6"/>
  <c r="G842" i="6"/>
  <c r="G843" i="6"/>
  <c r="G844" i="6"/>
  <c r="G845" i="6"/>
  <c r="G846" i="6"/>
  <c r="G847" i="6"/>
  <c r="G848" i="6"/>
  <c r="G849" i="6"/>
  <c r="G850" i="6"/>
  <c r="G851" i="6"/>
  <c r="G852" i="6"/>
  <c r="G853" i="6"/>
  <c r="G854" i="6"/>
  <c r="G855" i="6"/>
  <c r="G856" i="6"/>
  <c r="G857" i="6"/>
  <c r="G858" i="6"/>
  <c r="G859" i="6"/>
  <c r="G860" i="6"/>
  <c r="G861" i="6"/>
  <c r="G862" i="6"/>
  <c r="G863" i="6"/>
  <c r="G864" i="6"/>
  <c r="G865" i="6"/>
  <c r="G866" i="6"/>
  <c r="G867" i="6"/>
  <c r="G868" i="6"/>
  <c r="G869" i="6"/>
  <c r="G870" i="6"/>
  <c r="G871" i="6"/>
  <c r="G872" i="6"/>
  <c r="G873" i="6"/>
  <c r="G874" i="6"/>
  <c r="G875" i="6"/>
  <c r="G876" i="6"/>
  <c r="G877" i="6"/>
  <c r="G878" i="6"/>
  <c r="G879" i="6"/>
  <c r="G880" i="6"/>
  <c r="G881" i="6"/>
  <c r="G882" i="6"/>
  <c r="G883" i="6"/>
  <c r="G884" i="6"/>
  <c r="G885" i="6"/>
  <c r="G886" i="6"/>
  <c r="G887" i="6"/>
  <c r="G888" i="6"/>
  <c r="G889" i="6"/>
  <c r="G890" i="6"/>
  <c r="G891" i="6"/>
  <c r="G892" i="6"/>
  <c r="G893" i="6"/>
  <c r="G894" i="6"/>
  <c r="G895" i="6"/>
  <c r="G896" i="6"/>
  <c r="G897" i="6"/>
  <c r="G898" i="6"/>
  <c r="G899" i="6"/>
  <c r="G900" i="6"/>
  <c r="G901" i="6"/>
  <c r="G902" i="6"/>
  <c r="G903" i="6"/>
  <c r="G904" i="6"/>
  <c r="G905" i="6"/>
  <c r="G906" i="6"/>
  <c r="G907" i="6"/>
  <c r="G908" i="6"/>
  <c r="G909" i="6"/>
  <c r="G910" i="6"/>
  <c r="G911" i="6"/>
  <c r="G912" i="6"/>
  <c r="G913" i="6"/>
  <c r="G914" i="6"/>
  <c r="G915" i="6"/>
  <c r="G916" i="6"/>
  <c r="G917" i="6"/>
  <c r="G918" i="6"/>
  <c r="G919" i="6"/>
  <c r="G920" i="6"/>
  <c r="G921" i="6"/>
  <c r="G922" i="6"/>
  <c r="G923" i="6"/>
  <c r="G924" i="6"/>
  <c r="G925" i="6"/>
  <c r="G926" i="6"/>
  <c r="G927" i="6"/>
  <c r="G928" i="6"/>
  <c r="G929" i="6"/>
  <c r="G930" i="6"/>
  <c r="G931" i="6"/>
  <c r="G932" i="6"/>
  <c r="G933" i="6"/>
  <c r="G934" i="6"/>
  <c r="G935" i="6"/>
  <c r="G936" i="6"/>
  <c r="G937" i="6"/>
  <c r="G938" i="6"/>
  <c r="G939" i="6"/>
  <c r="G940" i="6"/>
  <c r="G941" i="6"/>
  <c r="G942" i="6"/>
  <c r="G943" i="6"/>
  <c r="G944" i="6"/>
  <c r="G945" i="6"/>
  <c r="G946" i="6"/>
  <c r="G947" i="6"/>
  <c r="G948" i="6"/>
  <c r="G949" i="6"/>
  <c r="G950" i="6"/>
  <c r="G951" i="6"/>
  <c r="G952" i="6"/>
  <c r="G953" i="6"/>
  <c r="G954" i="6"/>
  <c r="G955" i="6"/>
  <c r="G956" i="6"/>
  <c r="G957" i="6"/>
  <c r="G958" i="6"/>
  <c r="G959" i="6"/>
  <c r="G960" i="6"/>
  <c r="G961" i="6"/>
  <c r="G962" i="6"/>
  <c r="G963" i="6"/>
  <c r="G964" i="6"/>
  <c r="G965" i="6"/>
  <c r="G966" i="6"/>
  <c r="G967" i="6"/>
  <c r="G968" i="6"/>
  <c r="G969" i="6"/>
  <c r="G970" i="6"/>
  <c r="G971" i="6"/>
  <c r="G972" i="6"/>
  <c r="G973" i="6"/>
  <c r="G974" i="6"/>
  <c r="G975" i="6"/>
  <c r="G976" i="6"/>
  <c r="G977" i="6"/>
  <c r="G978" i="6"/>
  <c r="G979" i="6"/>
  <c r="G980" i="6"/>
  <c r="G981" i="6"/>
  <c r="G982" i="6"/>
  <c r="G983" i="6"/>
  <c r="G984" i="6"/>
  <c r="G985" i="6"/>
  <c r="G986" i="6"/>
  <c r="G987" i="6"/>
  <c r="G988" i="6"/>
  <c r="G989" i="6"/>
  <c r="G990" i="6"/>
  <c r="G991" i="6"/>
  <c r="G992" i="6"/>
  <c r="G993" i="6"/>
  <c r="G994" i="6"/>
  <c r="G995" i="6"/>
  <c r="G996" i="6"/>
  <c r="G997" i="6"/>
  <c r="G998" i="6"/>
  <c r="G999" i="6"/>
  <c r="G1000" i="6"/>
  <c r="G1001" i="6"/>
  <c r="G1002" i="6"/>
  <c r="G1003" i="6"/>
  <c r="G1004" i="6"/>
  <c r="G1005" i="6"/>
  <c r="G1006" i="6"/>
  <c r="G1007" i="6"/>
  <c r="G1008" i="6"/>
  <c r="G1009" i="6"/>
  <c r="G1010" i="6"/>
  <c r="G1011" i="6"/>
  <c r="G1012" i="6"/>
  <c r="G1013" i="6"/>
  <c r="G1014" i="6"/>
  <c r="G1015" i="6"/>
  <c r="G1016" i="6"/>
  <c r="G1017" i="6"/>
  <c r="G1018" i="6"/>
  <c r="G1019" i="6"/>
  <c r="G1020" i="6"/>
  <c r="G1021" i="6"/>
  <c r="G1022" i="6"/>
  <c r="G1023" i="6"/>
  <c r="G1024" i="6"/>
  <c r="G1025" i="6"/>
  <c r="G1026" i="6"/>
  <c r="G1027" i="6"/>
  <c r="G1028" i="6"/>
  <c r="G1029" i="6"/>
  <c r="G1030" i="6"/>
  <c r="G1031" i="6"/>
  <c r="G1032" i="6"/>
  <c r="G1033" i="6"/>
  <c r="G1034" i="6"/>
  <c r="G1035" i="6"/>
  <c r="G1036" i="6"/>
  <c r="G1037" i="6"/>
  <c r="G1038" i="6"/>
  <c r="G1039" i="6"/>
  <c r="G1040" i="6"/>
  <c r="G1041" i="6"/>
  <c r="G1042" i="6"/>
  <c r="G1043" i="6"/>
  <c r="G1044" i="6"/>
  <c r="G1045" i="6"/>
  <c r="G1046" i="6"/>
  <c r="G1047" i="6"/>
  <c r="G1048" i="6"/>
  <c r="G1049" i="6"/>
  <c r="G1050" i="6"/>
  <c r="G1051" i="6"/>
  <c r="G1052" i="6"/>
  <c r="G1053" i="6"/>
  <c r="G1054" i="6"/>
  <c r="G1055" i="6"/>
  <c r="G1056" i="6"/>
  <c r="G1057" i="6"/>
  <c r="G1058" i="6"/>
  <c r="G1059" i="6"/>
  <c r="G1060" i="6"/>
  <c r="G1061" i="6"/>
  <c r="G1062" i="6"/>
  <c r="G1063" i="6"/>
  <c r="G1064" i="6"/>
  <c r="G1065" i="6"/>
  <c r="G1066" i="6"/>
  <c r="G1067" i="6"/>
  <c r="G1068" i="6"/>
  <c r="G1069" i="6"/>
  <c r="G1070" i="6"/>
  <c r="G1071" i="6"/>
  <c r="G1072" i="6"/>
  <c r="G1073" i="6"/>
  <c r="G1074" i="6"/>
  <c r="G1075" i="6"/>
  <c r="G1076" i="6"/>
  <c r="G1077" i="6"/>
  <c r="G1078" i="6"/>
  <c r="G1079" i="6"/>
  <c r="G1080" i="6"/>
  <c r="G1081" i="6"/>
  <c r="G1082" i="6"/>
  <c r="G1083" i="6"/>
  <c r="G1084" i="6"/>
  <c r="G1085" i="6"/>
  <c r="G1086" i="6"/>
  <c r="G1087" i="6"/>
  <c r="G1088" i="6"/>
  <c r="G1089" i="6"/>
  <c r="G1090" i="6"/>
  <c r="G1091" i="6"/>
  <c r="G1092" i="6"/>
  <c r="G1093" i="6"/>
  <c r="G1094" i="6"/>
  <c r="G1095" i="6"/>
  <c r="G1096" i="6"/>
  <c r="G1097" i="6"/>
  <c r="G1098" i="6"/>
  <c r="G1099" i="6"/>
  <c r="G1100" i="6"/>
  <c r="G1101" i="6"/>
  <c r="G1102" i="6"/>
  <c r="G1103" i="6"/>
  <c r="G1104" i="6"/>
  <c r="G1105" i="6"/>
  <c r="G1106" i="6"/>
  <c r="G1107" i="6"/>
  <c r="G1108" i="6"/>
  <c r="G1109" i="6"/>
  <c r="G1110" i="6"/>
  <c r="G1111" i="6"/>
  <c r="G1112" i="6"/>
  <c r="G1113" i="6"/>
  <c r="G1114" i="6"/>
  <c r="G1115" i="6"/>
  <c r="G1116" i="6"/>
  <c r="G1117" i="6"/>
  <c r="G1118" i="6"/>
  <c r="G1119" i="6"/>
  <c r="G1120" i="6"/>
  <c r="G1121" i="6"/>
  <c r="G1122" i="6"/>
  <c r="G1123" i="6"/>
  <c r="G1124" i="6"/>
  <c r="G1125" i="6"/>
  <c r="G1126" i="6"/>
  <c r="G1127" i="6"/>
  <c r="G1128" i="6"/>
  <c r="G1129" i="6"/>
  <c r="G1130" i="6"/>
  <c r="G1131" i="6"/>
  <c r="G1132" i="6"/>
  <c r="G1133" i="6"/>
  <c r="G1134" i="6"/>
  <c r="G1135" i="6"/>
  <c r="G1136" i="6"/>
  <c r="G1137" i="6"/>
  <c r="G1138" i="6"/>
  <c r="G1139" i="6"/>
  <c r="G1140" i="6"/>
  <c r="G1141" i="6"/>
  <c r="G1142" i="6"/>
  <c r="G1143" i="6"/>
  <c r="G1144" i="6"/>
  <c r="G1145" i="6"/>
  <c r="G1146" i="6"/>
  <c r="G1147" i="6"/>
  <c r="G1148" i="6"/>
  <c r="G1149" i="6"/>
  <c r="G1150" i="6"/>
  <c r="G1151" i="6"/>
  <c r="G1152" i="6"/>
  <c r="G1153" i="6"/>
  <c r="G1154" i="6"/>
  <c r="G1155" i="6"/>
  <c r="G1156" i="6"/>
  <c r="G1157" i="6"/>
  <c r="G1158" i="6"/>
  <c r="G1159" i="6"/>
  <c r="G1160" i="6"/>
  <c r="G1161" i="6"/>
  <c r="G1162" i="6"/>
  <c r="G1163" i="6"/>
  <c r="G1164" i="6"/>
  <c r="G1165" i="6"/>
  <c r="G1166" i="6"/>
  <c r="G1167" i="6"/>
  <c r="G1168" i="6"/>
  <c r="G1169" i="6"/>
  <c r="G1170" i="6"/>
  <c r="G1171" i="6"/>
  <c r="G1172" i="6"/>
  <c r="G1173" i="6"/>
  <c r="G1174" i="6"/>
  <c r="G1175" i="6"/>
  <c r="G1176" i="6"/>
  <c r="G1177" i="6"/>
  <c r="G1178" i="6"/>
  <c r="G1179" i="6"/>
  <c r="G1180" i="6"/>
  <c r="G1181" i="6"/>
  <c r="G1182" i="6"/>
  <c r="G1183" i="6"/>
  <c r="G1184" i="6"/>
  <c r="G1185" i="6"/>
  <c r="G1186" i="6"/>
  <c r="G1187" i="6"/>
  <c r="G1188" i="6"/>
  <c r="G1189" i="6"/>
  <c r="G1190" i="6"/>
  <c r="G1191" i="6"/>
  <c r="G1192" i="6"/>
  <c r="G1193" i="6"/>
  <c r="G1194" i="6"/>
  <c r="G1195" i="6"/>
  <c r="G1196" i="6"/>
  <c r="G1197" i="6"/>
  <c r="G1198" i="6"/>
  <c r="G1199" i="6"/>
  <c r="G1200" i="6"/>
  <c r="G1201" i="6"/>
  <c r="G1202" i="6"/>
  <c r="G1203" i="6"/>
  <c r="G1204" i="6"/>
  <c r="G1205" i="6"/>
  <c r="G1206" i="6"/>
  <c r="G1207" i="6"/>
  <c r="G1208" i="6"/>
  <c r="G1209" i="6"/>
  <c r="G1210" i="6"/>
  <c r="G1211" i="6"/>
  <c r="G1212" i="6"/>
  <c r="G1213" i="6"/>
  <c r="G1214" i="6"/>
  <c r="G1215" i="6"/>
  <c r="G1216" i="6"/>
  <c r="G1217" i="6"/>
  <c r="G1218" i="6"/>
  <c r="G1219" i="6"/>
  <c r="G1220" i="6"/>
  <c r="G1221" i="6"/>
  <c r="G1222" i="6"/>
  <c r="G1223" i="6"/>
  <c r="G1224" i="6"/>
  <c r="G1225" i="6"/>
  <c r="G1226" i="6"/>
  <c r="G1227" i="6"/>
  <c r="G1228" i="6"/>
  <c r="G1229" i="6"/>
  <c r="G1230" i="6"/>
  <c r="G1231" i="6"/>
  <c r="G1232" i="6"/>
  <c r="G1233" i="6"/>
  <c r="G1234" i="6"/>
  <c r="G1235" i="6"/>
  <c r="G1236" i="6"/>
  <c r="G1237" i="6"/>
  <c r="G1238" i="6"/>
  <c r="G1239" i="6"/>
  <c r="G1240" i="6"/>
  <c r="G1241" i="6"/>
  <c r="G1242" i="6"/>
  <c r="G1243" i="6"/>
  <c r="G1244" i="6"/>
  <c r="G1245" i="6"/>
  <c r="G1246" i="6"/>
  <c r="G1247" i="6"/>
  <c r="G1248" i="6"/>
  <c r="G1249" i="6"/>
  <c r="G1250" i="6"/>
  <c r="G1251" i="6"/>
  <c r="G1252" i="6"/>
  <c r="G1253" i="6"/>
  <c r="G1254" i="6"/>
  <c r="G1255" i="6"/>
  <c r="G1256" i="6"/>
  <c r="G1257" i="6"/>
  <c r="G1258" i="6"/>
  <c r="G1259" i="6"/>
  <c r="G1260" i="6"/>
  <c r="G1261" i="6"/>
  <c r="G1262" i="6"/>
  <c r="G1263" i="6"/>
  <c r="G1264" i="6"/>
  <c r="G1265" i="6"/>
  <c r="G1266" i="6"/>
  <c r="G1267" i="6"/>
  <c r="G1268" i="6"/>
  <c r="G1269" i="6"/>
  <c r="G1270" i="6"/>
  <c r="G1271" i="6"/>
  <c r="G1272" i="6"/>
  <c r="G1273" i="6"/>
  <c r="G1274" i="6"/>
  <c r="G1275" i="6"/>
  <c r="G1" i="6"/>
  <c r="E2" i="10"/>
  <c r="E9" i="10"/>
  <c r="E17" i="10"/>
  <c r="E25" i="10"/>
  <c r="E33" i="10"/>
  <c r="E41" i="10"/>
  <c r="E49" i="10"/>
  <c r="E57" i="10"/>
  <c r="E65" i="10"/>
  <c r="E73" i="10"/>
  <c r="E81" i="10"/>
  <c r="E89" i="10"/>
  <c r="E97" i="10"/>
  <c r="E105" i="10"/>
  <c r="E113" i="10"/>
  <c r="E121" i="10"/>
  <c r="E129" i="10"/>
  <c r="E137" i="10"/>
  <c r="E145" i="10"/>
  <c r="E153" i="10"/>
  <c r="E161" i="10"/>
  <c r="E169" i="10"/>
  <c r="E39" i="10"/>
  <c r="E71" i="10"/>
  <c r="E111" i="10"/>
  <c r="E159" i="10"/>
  <c r="E40" i="10"/>
  <c r="E80" i="10"/>
  <c r="E112" i="10"/>
  <c r="E160" i="10"/>
  <c r="E3" i="10"/>
  <c r="E10" i="10"/>
  <c r="E18" i="10"/>
  <c r="E26" i="10"/>
  <c r="E34" i="10"/>
  <c r="E42" i="10"/>
  <c r="E50" i="10"/>
  <c r="E58" i="10"/>
  <c r="E66" i="10"/>
  <c r="E74" i="10"/>
  <c r="E82" i="10"/>
  <c r="E90" i="10"/>
  <c r="E98" i="10"/>
  <c r="E106" i="10"/>
  <c r="E114" i="10"/>
  <c r="E122" i="10"/>
  <c r="E130" i="10"/>
  <c r="E138" i="10"/>
  <c r="E146" i="10"/>
  <c r="E154" i="10"/>
  <c r="E162" i="10"/>
  <c r="E170" i="10"/>
  <c r="E47" i="10"/>
  <c r="E143" i="10"/>
  <c r="E48" i="10"/>
  <c r="E152" i="10"/>
  <c r="E4" i="10"/>
  <c r="E11" i="10"/>
  <c r="E19" i="10"/>
  <c r="E27" i="10"/>
  <c r="E35" i="10"/>
  <c r="E43" i="10"/>
  <c r="E51" i="10"/>
  <c r="E59" i="10"/>
  <c r="E67" i="10"/>
  <c r="E75" i="10"/>
  <c r="E83" i="10"/>
  <c r="E91" i="10"/>
  <c r="E99" i="10"/>
  <c r="E107" i="10"/>
  <c r="E115" i="10"/>
  <c r="E123" i="10"/>
  <c r="E131" i="10"/>
  <c r="E139" i="10"/>
  <c r="E147" i="10"/>
  <c r="E155" i="10"/>
  <c r="E163" i="10"/>
  <c r="E171" i="10"/>
  <c r="E31" i="10"/>
  <c r="E55" i="10"/>
  <c r="E95" i="10"/>
  <c r="E135" i="10"/>
  <c r="E24" i="10"/>
  <c r="E56" i="10"/>
  <c r="E96" i="10"/>
  <c r="E136" i="10"/>
  <c r="E5" i="10"/>
  <c r="E12" i="10"/>
  <c r="E20" i="10"/>
  <c r="E28" i="10"/>
  <c r="E36" i="10"/>
  <c r="E44" i="10"/>
  <c r="E52" i="10"/>
  <c r="E60" i="10"/>
  <c r="E68" i="10"/>
  <c r="E76" i="10"/>
  <c r="E84" i="10"/>
  <c r="E92" i="10"/>
  <c r="E100" i="10"/>
  <c r="E108" i="10"/>
  <c r="E116" i="10"/>
  <c r="E124" i="10"/>
  <c r="E132" i="10"/>
  <c r="E140" i="10"/>
  <c r="E148" i="10"/>
  <c r="E156" i="10"/>
  <c r="E164" i="10"/>
  <c r="E23" i="10"/>
  <c r="E63" i="10"/>
  <c r="E103" i="10"/>
  <c r="E151" i="10"/>
  <c r="E16" i="10"/>
  <c r="E64" i="10"/>
  <c r="E104" i="10"/>
  <c r="E144" i="10"/>
  <c r="E13" i="10"/>
  <c r="E21" i="10"/>
  <c r="E29" i="10"/>
  <c r="E37" i="10"/>
  <c r="E45" i="10"/>
  <c r="E53" i="10"/>
  <c r="E61" i="10"/>
  <c r="E69" i="10"/>
  <c r="E77" i="10"/>
  <c r="E85" i="10"/>
  <c r="E93" i="10"/>
  <c r="E101" i="10"/>
  <c r="E109" i="10"/>
  <c r="E117" i="10"/>
  <c r="E125" i="10"/>
  <c r="E133" i="10"/>
  <c r="E141" i="10"/>
  <c r="E149" i="10"/>
  <c r="E157" i="10"/>
  <c r="E165" i="10"/>
  <c r="E15" i="10"/>
  <c r="E87" i="10"/>
  <c r="E119" i="10"/>
  <c r="E167" i="10"/>
  <c r="E32" i="10"/>
  <c r="E88" i="10"/>
  <c r="E128" i="10"/>
  <c r="E168" i="10"/>
  <c r="E6" i="10"/>
  <c r="E14" i="10"/>
  <c r="E22" i="10"/>
  <c r="E30" i="10"/>
  <c r="E38" i="10"/>
  <c r="E46" i="10"/>
  <c r="E54" i="10"/>
  <c r="E62" i="10"/>
  <c r="E70" i="10"/>
  <c r="E78" i="10"/>
  <c r="E86" i="10"/>
  <c r="E94" i="10"/>
  <c r="E102" i="10"/>
  <c r="E110" i="10"/>
  <c r="E118" i="10"/>
  <c r="E126" i="10"/>
  <c r="E134" i="10"/>
  <c r="E142" i="10"/>
  <c r="E150" i="10"/>
  <c r="E158" i="10"/>
  <c r="E166" i="10"/>
  <c r="E7" i="10"/>
  <c r="E79" i="10"/>
  <c r="E127" i="10"/>
  <c r="E8" i="10"/>
  <c r="E72" i="10"/>
  <c r="E120" i="10"/>
  <c r="E1" i="10"/>
  <c r="H16" i="5" l="1"/>
  <c r="G16" i="5"/>
  <c r="D191" i="4"/>
  <c r="E191" i="4" s="1"/>
  <c r="D185" i="4"/>
  <c r="E185" i="4" s="1"/>
  <c r="I119" i="4"/>
  <c r="G119" i="4"/>
  <c r="F119" i="4"/>
  <c r="H119" i="4" s="1"/>
  <c r="H40" i="4"/>
  <c r="G40" i="4"/>
  <c r="H286" i="6" l="1"/>
  <c r="H1560" i="6"/>
  <c r="H338" i="6"/>
  <c r="H851" i="6"/>
  <c r="H616" i="6"/>
  <c r="H1177" i="6"/>
  <c r="H918" i="6"/>
  <c r="H603" i="6"/>
  <c r="H949" i="6"/>
  <c r="H164" i="6"/>
  <c r="H23" i="6"/>
  <c r="H369" i="6"/>
  <c r="H999" i="6"/>
  <c r="H655" i="6"/>
  <c r="H842" i="6"/>
  <c r="H669" i="6"/>
  <c r="H1098" i="6"/>
  <c r="H230" i="6"/>
  <c r="H1187" i="6"/>
  <c r="H824" i="6"/>
  <c r="H194" i="6"/>
  <c r="H942" i="6"/>
  <c r="H1034" i="6"/>
  <c r="H576" i="6"/>
  <c r="H180" i="6"/>
  <c r="H732" i="6"/>
  <c r="H86" i="6"/>
  <c r="H368" i="6"/>
  <c r="H515" i="6"/>
  <c r="H1382" i="6"/>
  <c r="H289" i="6"/>
  <c r="H1468" i="6"/>
  <c r="H202" i="6"/>
  <c r="H1299" i="6"/>
  <c r="H645" i="6"/>
  <c r="H482" i="6"/>
  <c r="H95" i="6"/>
  <c r="H540" i="6"/>
  <c r="H993" i="6"/>
  <c r="H541" i="6"/>
  <c r="H740" i="6"/>
  <c r="H483" i="6"/>
  <c r="H363" i="6"/>
  <c r="H246" i="6"/>
  <c r="H678" i="6"/>
  <c r="H1132" i="6"/>
  <c r="H239" i="6"/>
  <c r="H1205" i="6"/>
  <c r="H1104" i="6"/>
  <c r="H757" i="6"/>
  <c r="H951" i="6"/>
  <c r="H66" i="6"/>
  <c r="H511" i="6"/>
  <c r="H745" i="6"/>
  <c r="H72" i="6"/>
  <c r="H938" i="6"/>
  <c r="H826" i="6"/>
  <c r="H1336" i="6"/>
  <c r="H469" i="6"/>
  <c r="H1081" i="6"/>
  <c r="H435" i="6"/>
  <c r="H179" i="6"/>
  <c r="H381" i="6"/>
  <c r="H8" i="6"/>
  <c r="H723" i="6"/>
  <c r="H416" i="6"/>
  <c r="H284" i="6"/>
  <c r="H1087" i="6"/>
  <c r="H303" i="6"/>
  <c r="H1269" i="6"/>
  <c r="H421" i="6"/>
  <c r="H344" i="6"/>
  <c r="H55" i="6"/>
  <c r="H1194" i="6"/>
  <c r="H631" i="6"/>
  <c r="H1267" i="6"/>
  <c r="H863" i="6"/>
  <c r="H1402" i="6"/>
  <c r="H1045" i="6"/>
  <c r="H1390" i="6"/>
  <c r="H696" i="6"/>
  <c r="H1323" i="6"/>
  <c r="H1031" i="6"/>
  <c r="H811" i="6"/>
  <c r="H411" i="6"/>
  <c r="H437" i="6"/>
  <c r="H1240" i="6"/>
  <c r="H543" i="6"/>
  <c r="H355" i="6"/>
  <c r="H244" i="6"/>
  <c r="H931" i="6"/>
  <c r="H142" i="6"/>
  <c r="H809" i="6"/>
  <c r="H1394" i="6"/>
  <c r="H558" i="6"/>
  <c r="H737" i="6"/>
  <c r="H1433" i="6"/>
  <c r="H454" i="6"/>
  <c r="H105" i="6"/>
  <c r="H1189" i="6"/>
  <c r="H602" i="6"/>
  <c r="H890" i="6"/>
  <c r="H1417" i="6"/>
  <c r="H537" i="6"/>
  <c r="H249" i="6"/>
  <c r="H1464" i="6"/>
  <c r="H441" i="6"/>
  <c r="H308" i="6"/>
  <c r="H1078" i="6"/>
  <c r="H585" i="6"/>
  <c r="H941" i="6"/>
  <c r="H151" i="6"/>
  <c r="H337" i="6"/>
  <c r="H1100" i="6"/>
  <c r="H1458" i="6"/>
  <c r="H1558" i="6"/>
  <c r="H1230" i="6"/>
  <c r="H1392" i="6"/>
  <c r="H850" i="6"/>
  <c r="H973" i="6"/>
  <c r="H1326" i="6"/>
  <c r="H280" i="6"/>
  <c r="H1367" i="6"/>
  <c r="H888" i="6"/>
  <c r="H574" i="6"/>
  <c r="H1012" i="6"/>
  <c r="H201" i="6"/>
  <c r="H157" i="6"/>
  <c r="H281" i="6"/>
  <c r="H733" i="6"/>
  <c r="H1178" i="6"/>
  <c r="H312" i="6"/>
  <c r="H1479" i="6"/>
  <c r="H430" i="6"/>
  <c r="H1224" i="6"/>
  <c r="H64" i="6"/>
  <c r="H402" i="6"/>
  <c r="H640" i="6"/>
  <c r="H332" i="6"/>
  <c r="H1556" i="6"/>
  <c r="H1419" i="6"/>
  <c r="H1088" i="6"/>
  <c r="H939" i="6"/>
  <c r="H906" i="6"/>
  <c r="H397" i="6"/>
  <c r="H1049" i="6"/>
  <c r="H710" i="6"/>
  <c r="H420" i="6"/>
  <c r="H423" i="6"/>
  <c r="H306" i="6"/>
  <c r="H130" i="6"/>
  <c r="H364" i="6"/>
  <c r="H982" i="6"/>
  <c r="H365" i="6"/>
  <c r="H903" i="6"/>
  <c r="H708" i="6"/>
  <c r="H1137" i="6"/>
  <c r="H1365" i="6"/>
  <c r="H410" i="6"/>
  <c r="H1309" i="6"/>
  <c r="H395" i="6"/>
  <c r="H1504" i="6"/>
  <c r="H414" i="6"/>
  <c r="H367" i="6"/>
  <c r="H385" i="6"/>
  <c r="H1016" i="6"/>
  <c r="H115" i="6"/>
  <c r="H529" i="6"/>
  <c r="H61" i="6"/>
  <c r="H519" i="6"/>
  <c r="H371" i="6"/>
  <c r="H617" i="6"/>
  <c r="H954" i="6"/>
  <c r="H415" i="6"/>
  <c r="H426" i="6"/>
  <c r="H491" i="6"/>
  <c r="H869" i="6"/>
  <c r="H265" i="6"/>
  <c r="H739" i="6"/>
  <c r="H693" i="6"/>
  <c r="H59" i="6"/>
  <c r="H821" i="6"/>
  <c r="H635" i="6"/>
  <c r="H272" i="6"/>
  <c r="H538" i="6"/>
  <c r="H915" i="6"/>
  <c r="H728" i="6"/>
  <c r="H989" i="6"/>
  <c r="H786" i="6"/>
  <c r="H550" i="6"/>
  <c r="H980" i="6"/>
  <c r="H571" i="6"/>
  <c r="H184" i="6"/>
  <c r="H1357" i="6"/>
  <c r="H760" i="6"/>
  <c r="H2" i="6"/>
  <c r="H490" i="6"/>
  <c r="H643" i="6"/>
  <c r="H1231" i="6"/>
  <c r="H726" i="6"/>
  <c r="H434" i="6"/>
  <c r="H466" i="6"/>
  <c r="H419" i="6"/>
  <c r="H396" i="6"/>
  <c r="H473" i="6"/>
  <c r="H1284" i="6"/>
  <c r="H1035" i="6"/>
  <c r="H1467" i="6"/>
  <c r="H292" i="6"/>
  <c r="H223" i="6"/>
  <c r="H293" i="6"/>
  <c r="H144" i="6"/>
  <c r="H887" i="6"/>
  <c r="H1020" i="6"/>
  <c r="H182" i="6"/>
  <c r="H860" i="6"/>
  <c r="H831" i="6"/>
  <c r="H1235" i="6"/>
  <c r="H392" i="6"/>
  <c r="H185" i="6"/>
  <c r="H1263" i="6"/>
  <c r="H769" i="6"/>
  <c r="H139" i="6"/>
  <c r="H596" i="6"/>
  <c r="H1487" i="6"/>
  <c r="H1509" i="6"/>
  <c r="H599" i="6"/>
  <c r="H671" i="6"/>
  <c r="H868" i="6"/>
  <c r="H913" i="6"/>
  <c r="H1449" i="6"/>
  <c r="H501" i="6"/>
  <c r="H1144" i="6"/>
  <c r="H84" i="6"/>
  <c r="H1222" i="6"/>
  <c r="H81" i="6"/>
  <c r="H48" i="6"/>
  <c r="H606" i="6"/>
  <c r="H1334" i="6"/>
  <c r="H1207" i="6"/>
  <c r="H721" i="6"/>
  <c r="H946" i="6"/>
  <c r="H1023" i="6"/>
  <c r="H305" i="6"/>
  <c r="H497" i="6"/>
  <c r="H1368" i="6"/>
  <c r="H927" i="6"/>
  <c r="H431" i="6"/>
  <c r="H1521" i="6"/>
  <c r="H1413" i="6"/>
  <c r="H1229" i="6"/>
  <c r="H378" i="6"/>
  <c r="H855" i="6"/>
  <c r="H1232" i="6"/>
  <c r="H882" i="6"/>
  <c r="H627" i="6"/>
  <c r="H1040" i="6"/>
  <c r="H573" i="6"/>
  <c r="H923" i="6"/>
  <c r="H590" i="6"/>
  <c r="H1249" i="6"/>
  <c r="H352" i="6"/>
  <c r="H867" i="6"/>
  <c r="H6" i="6"/>
  <c r="H428" i="6"/>
  <c r="H79" i="6"/>
  <c r="H1220" i="6"/>
  <c r="H1302" i="6"/>
  <c r="H922" i="6"/>
  <c r="H1459" i="6"/>
  <c r="H741" i="6"/>
  <c r="H856" i="6"/>
  <c r="H302" i="6"/>
  <c r="H1024" i="6"/>
  <c r="H896" i="6"/>
  <c r="H445" i="6"/>
  <c r="H191" i="6"/>
  <c r="H1082" i="6"/>
  <c r="H840" i="6"/>
  <c r="H1253" i="6"/>
  <c r="H1175" i="6"/>
  <c r="H1332" i="6"/>
  <c r="H1425" i="6"/>
  <c r="H297" i="6"/>
  <c r="H461" i="6"/>
  <c r="H947" i="6"/>
  <c r="H524" i="6"/>
  <c r="H893" i="6"/>
  <c r="H285" i="6"/>
  <c r="H1017" i="6"/>
  <c r="H554" i="6"/>
  <c r="H819" i="6"/>
  <c r="H37" i="6"/>
  <c r="H735" i="6"/>
  <c r="H613" i="6"/>
  <c r="H656" i="6"/>
  <c r="H572" i="6"/>
  <c r="H1066" i="6"/>
  <c r="H1071" i="6"/>
  <c r="H750" i="6"/>
  <c r="H1233" i="6"/>
  <c r="H311" i="6"/>
  <c r="H828" i="6"/>
  <c r="H1176" i="6"/>
  <c r="H455" i="6"/>
  <c r="H200" i="6"/>
  <c r="H1116" i="6"/>
  <c r="H843" i="6"/>
  <c r="H1344" i="6"/>
  <c r="H404" i="6"/>
  <c r="H1499" i="6"/>
  <c r="H268" i="6"/>
  <c r="H376" i="6"/>
  <c r="H1288" i="6"/>
  <c r="H89" i="6"/>
  <c r="H198" i="6"/>
  <c r="H612" i="6"/>
  <c r="H215" i="6"/>
  <c r="H340" i="6"/>
  <c r="H795" i="6"/>
  <c r="H334" i="6"/>
  <c r="H356" i="6"/>
  <c r="H335" i="6"/>
  <c r="H375" i="6"/>
  <c r="H1001" i="6"/>
  <c r="H685" i="6"/>
  <c r="H400" i="6"/>
  <c r="H319" i="6"/>
  <c r="H1226" i="6"/>
  <c r="H895" i="6"/>
  <c r="H113" i="6"/>
  <c r="H506" i="6"/>
  <c r="H447" i="6"/>
  <c r="H738" i="6"/>
  <c r="H120" i="6"/>
  <c r="H768" i="6"/>
  <c r="H117" i="6"/>
  <c r="H1103" i="6"/>
  <c r="H470" i="6"/>
  <c r="H675" i="6"/>
  <c r="H509" i="6"/>
  <c r="H972" i="6"/>
  <c r="H1508" i="6"/>
  <c r="H379" i="6"/>
  <c r="H359" i="6"/>
  <c r="H955" i="6"/>
  <c r="H988" i="6"/>
  <c r="H921" i="6"/>
  <c r="H584" i="6"/>
  <c r="H825" i="6"/>
  <c r="H711" i="6"/>
  <c r="H736" i="6"/>
  <c r="H1439" i="6"/>
  <c r="H111" i="6"/>
  <c r="H1307" i="6"/>
  <c r="H1239" i="6"/>
  <c r="H990" i="6"/>
  <c r="H952" i="6"/>
  <c r="H1298" i="6"/>
  <c r="H1283" i="6"/>
  <c r="H1102" i="6"/>
  <c r="H1438" i="6"/>
  <c r="H53" i="6"/>
  <c r="H132" i="6"/>
  <c r="H958" i="6"/>
  <c r="H1055" i="6"/>
  <c r="H873" i="6"/>
  <c r="H1513" i="6"/>
  <c r="H562" i="6"/>
  <c r="H1306" i="6"/>
  <c r="H222" i="6"/>
  <c r="H1195" i="6"/>
  <c r="H106" i="6"/>
  <c r="H1383" i="6"/>
  <c r="H1544" i="6"/>
  <c r="H492" i="6"/>
  <c r="H1339" i="6"/>
  <c r="H792" i="6"/>
  <c r="H1277" i="6"/>
  <c r="H436" i="6"/>
  <c r="H70" i="6"/>
  <c r="H229" i="6"/>
  <c r="H32" i="6"/>
  <c r="H805" i="6"/>
  <c r="H944" i="6"/>
  <c r="H384" i="6"/>
  <c r="H683" i="6"/>
  <c r="H694" i="6"/>
  <c r="H1280" i="6"/>
  <c r="H328" i="6"/>
  <c r="H1244" i="6"/>
  <c r="H904" i="6"/>
  <c r="H257" i="6"/>
  <c r="H1286" i="6"/>
  <c r="H1077" i="6"/>
  <c r="H1403" i="6"/>
  <c r="H731" i="6"/>
  <c r="H1048" i="6"/>
  <c r="H231" i="6"/>
  <c r="H1121" i="6"/>
  <c r="H152" i="6"/>
  <c r="H109" i="6"/>
  <c r="H479" i="6"/>
  <c r="H330" i="6"/>
  <c r="H67" i="6"/>
  <c r="H388" i="6"/>
  <c r="H1153" i="6"/>
  <c r="H389" i="6"/>
  <c r="H1227" i="6"/>
  <c r="H1543" i="6"/>
  <c r="H112" i="6"/>
  <c r="H166" i="6"/>
  <c r="H1123" i="6"/>
  <c r="H742" i="6"/>
  <c r="H1196" i="6"/>
  <c r="H1095" i="6"/>
  <c r="H963" i="6"/>
  <c r="H439" i="6"/>
  <c r="H1075" i="6"/>
  <c r="H521" i="6"/>
  <c r="H957" i="6"/>
  <c r="H756" i="6"/>
  <c r="H31" i="6"/>
  <c r="H1481" i="6"/>
  <c r="H71" i="6"/>
  <c r="H274" i="6"/>
  <c r="H114" i="6"/>
  <c r="H864" i="6"/>
  <c r="H99" i="6"/>
  <c r="H563" i="6"/>
  <c r="H118" i="6"/>
  <c r="H626" i="6"/>
  <c r="H763" i="6"/>
  <c r="H290" i="6"/>
  <c r="H798" i="6"/>
  <c r="H275" i="6"/>
  <c r="H719" i="6"/>
  <c r="H294" i="6"/>
  <c r="H1251" i="6"/>
  <c r="H987" i="6"/>
  <c r="H718" i="6"/>
  <c r="H46" i="6"/>
  <c r="H1127" i="6"/>
  <c r="H622" i="6"/>
  <c r="H211" i="6"/>
  <c r="H607" i="6"/>
  <c r="H256" i="6"/>
  <c r="H323" i="6"/>
  <c r="H832" i="6"/>
  <c r="H269" i="6"/>
  <c r="H163" i="6"/>
  <c r="H747" i="6"/>
  <c r="H948" i="6"/>
  <c r="H1341" i="6"/>
  <c r="H458" i="6"/>
  <c r="H12" i="6"/>
  <c r="H443" i="6"/>
  <c r="H663" i="6"/>
  <c r="H1259" i="6"/>
  <c r="H1021" i="6"/>
  <c r="H1069" i="6"/>
  <c r="H456" i="6"/>
  <c r="H556" i="6"/>
  <c r="H279" i="6"/>
  <c r="H557" i="6"/>
  <c r="H176" i="6"/>
  <c r="H136" i="6"/>
  <c r="H1052" i="6"/>
  <c r="H90" i="6"/>
  <c r="H666" i="6"/>
  <c r="H148" i="6"/>
  <c r="H1377" i="6"/>
  <c r="H149" i="6"/>
  <c r="H551" i="6"/>
  <c r="H1216" i="6"/>
  <c r="H962" i="6"/>
  <c r="H1431" i="6"/>
  <c r="H1506" i="6"/>
  <c r="H487" i="6"/>
  <c r="H885" i="6"/>
  <c r="H1044" i="6"/>
  <c r="H1032" i="6"/>
  <c r="H881" i="6"/>
  <c r="H1148" i="6"/>
  <c r="H1047" i="6"/>
  <c r="H1072" i="6"/>
  <c r="H488" i="6"/>
  <c r="H193" i="6"/>
  <c r="H624" i="6"/>
  <c r="H1477" i="6"/>
  <c r="H970" i="6"/>
  <c r="H1399" i="6"/>
  <c r="H263" i="6"/>
  <c r="H796" i="6"/>
  <c r="H96" i="6"/>
  <c r="H1418" i="6"/>
  <c r="H1250" i="6"/>
  <c r="H1025" i="6"/>
  <c r="H321" i="6"/>
  <c r="H394" i="6"/>
  <c r="H1274" i="6"/>
  <c r="H974" i="6"/>
  <c r="H638" i="6"/>
  <c r="H1158" i="6"/>
  <c r="H762" i="6"/>
  <c r="H634" i="6"/>
  <c r="H959" i="6"/>
  <c r="H880" i="6"/>
  <c r="H1039" i="6"/>
  <c r="H342" i="6"/>
  <c r="H1112" i="6"/>
  <c r="H343" i="6"/>
  <c r="H172" i="6"/>
  <c r="H654" i="6"/>
  <c r="H996" i="6"/>
  <c r="H1398" i="6"/>
  <c r="H891" i="6"/>
  <c r="H393" i="6"/>
  <c r="H452" i="6"/>
  <c r="H97" i="6"/>
  <c r="H1166" i="6"/>
  <c r="H945" i="6"/>
  <c r="H1366" i="6"/>
  <c r="H4" i="6"/>
  <c r="H1005" i="6"/>
  <c r="H912" i="6"/>
  <c r="H566" i="6"/>
  <c r="H1080" i="6"/>
  <c r="H754" i="6"/>
  <c r="H1070" i="6"/>
  <c r="H523" i="6"/>
  <c r="H1351" i="6"/>
  <c r="H597" i="6"/>
  <c r="H1282" i="6"/>
  <c r="H158" i="6"/>
  <c r="H1317" i="6"/>
  <c r="H1156" i="6"/>
  <c r="H467" i="6"/>
  <c r="H930" i="6"/>
  <c r="H582" i="6"/>
  <c r="H1058" i="6"/>
  <c r="H527" i="6"/>
  <c r="H357" i="6"/>
  <c r="H232" i="6"/>
  <c r="H227" i="6"/>
  <c r="H899" i="6"/>
  <c r="H301" i="6"/>
  <c r="H791" i="6"/>
  <c r="H877" i="6"/>
  <c r="H688" i="6"/>
  <c r="H1559" i="6"/>
  <c r="H601" i="6"/>
  <c r="H1441" i="6"/>
  <c r="H1014" i="6"/>
  <c r="H33" i="6"/>
  <c r="H575" i="6"/>
  <c r="H914" i="6"/>
  <c r="H802" i="6"/>
  <c r="H1520" i="6"/>
  <c r="H532" i="6"/>
  <c r="H175" i="6"/>
  <c r="H1141" i="6"/>
  <c r="H751" i="6"/>
  <c r="H1214" i="6"/>
  <c r="H1113" i="6"/>
  <c r="H830" i="6"/>
  <c r="H448" i="6"/>
  <c r="H835" i="6"/>
  <c r="H610" i="6"/>
  <c r="H743" i="6"/>
  <c r="H804" i="6"/>
  <c r="H687" i="6"/>
  <c r="H1150" i="6"/>
  <c r="H44" i="6"/>
  <c r="H398" i="6"/>
  <c r="H45" i="6"/>
  <c r="H391" i="6"/>
  <c r="H639" i="6"/>
  <c r="H1043" i="6"/>
  <c r="H709" i="6"/>
  <c r="H1212" i="6"/>
  <c r="H651" i="6"/>
  <c r="H1505" i="6"/>
  <c r="H212" i="6"/>
  <c r="H1291" i="6"/>
  <c r="H536" i="6"/>
  <c r="H583" i="6"/>
  <c r="H652" i="6"/>
  <c r="H1295" i="6"/>
  <c r="H73" i="6"/>
  <c r="H817" i="6"/>
  <c r="H609" i="6"/>
  <c r="H1526" i="6"/>
  <c r="H699" i="6"/>
  <c r="H472" i="6"/>
  <c r="H107" i="6"/>
  <c r="H19" i="6"/>
  <c r="H295" i="6"/>
  <c r="H595" i="6"/>
  <c r="H216" i="6"/>
  <c r="H677" i="6"/>
  <c r="H1473" i="6"/>
  <c r="H266" i="6"/>
  <c r="H119" i="6"/>
  <c r="H1109" i="6"/>
  <c r="H1493" i="6"/>
  <c r="H1360" i="6"/>
  <c r="H1256" i="6"/>
  <c r="H188" i="6"/>
  <c r="H1319" i="6"/>
  <c r="H1063" i="6"/>
  <c r="H530" i="6"/>
  <c r="H1388" i="6"/>
  <c r="H1169" i="6"/>
  <c r="H1217" i="6"/>
  <c r="H1356" i="6"/>
  <c r="H1296" i="6"/>
  <c r="H459" i="6"/>
  <c r="H780" i="6"/>
  <c r="H1294" i="6"/>
  <c r="H1491" i="6"/>
  <c r="H1451" i="6"/>
  <c r="H1293" i="6"/>
  <c r="H471" i="6"/>
  <c r="H1211" i="6"/>
  <c r="H593" i="6"/>
  <c r="H210" i="6"/>
  <c r="H1495" i="6"/>
  <c r="H278" i="6"/>
  <c r="H1174" i="6"/>
  <c r="H1374" i="6"/>
  <c r="H1435" i="6"/>
  <c r="H1462" i="6"/>
  <c r="H648" i="6"/>
  <c r="H241" i="6"/>
  <c r="H92" i="6"/>
  <c r="H594" i="6"/>
  <c r="H1389" i="6"/>
  <c r="H1133" i="6"/>
  <c r="H133" i="6"/>
  <c r="H58" i="6"/>
  <c r="H457" i="6"/>
  <c r="H1126" i="6"/>
  <c r="H502" i="6"/>
  <c r="H976" i="6"/>
  <c r="H703" i="6"/>
  <c r="H94" i="6"/>
  <c r="H876" i="6"/>
  <c r="H911" i="6"/>
  <c r="H354" i="6"/>
  <c r="H514" i="6"/>
  <c r="H362" i="6"/>
  <c r="H611" i="6"/>
  <c r="H240" i="6"/>
  <c r="H310" i="6"/>
  <c r="H203" i="6"/>
  <c r="H68" i="6"/>
  <c r="H986" i="6"/>
  <c r="H1159" i="6"/>
  <c r="H834" i="6"/>
  <c r="H219" i="6"/>
  <c r="H1010" i="6"/>
  <c r="H789" i="6"/>
  <c r="H1036" i="6"/>
  <c r="H933" i="6"/>
  <c r="H140" i="6"/>
  <c r="H965" i="6"/>
  <c r="H764" i="6"/>
  <c r="H372" i="6"/>
  <c r="H1537" i="6"/>
  <c r="H427" i="6"/>
  <c r="H892" i="6"/>
  <c r="H318" i="6"/>
  <c r="H1346" i="6"/>
  <c r="H775" i="6"/>
  <c r="H686" i="6"/>
  <c r="H1469" i="6"/>
  <c r="H30" i="6"/>
  <c r="H205" i="6"/>
  <c r="H977" i="6"/>
  <c r="H1393" i="6"/>
  <c r="H586" i="6"/>
  <c r="H390" i="6"/>
  <c r="H451" i="6"/>
  <c r="H1376" i="6"/>
  <c r="H548" i="6"/>
  <c r="H1534" i="6"/>
  <c r="H784" i="6"/>
  <c r="H1412" i="6"/>
  <c r="H226" i="6"/>
  <c r="H1391" i="6"/>
  <c r="H484" i="6"/>
  <c r="H956" i="6"/>
  <c r="H1422" i="6"/>
  <c r="H1115" i="6"/>
  <c r="H1540" i="6"/>
  <c r="H494" i="6"/>
  <c r="H1362" i="6"/>
  <c r="H50" i="6"/>
  <c r="H1363" i="6"/>
  <c r="H1494" i="6"/>
  <c r="H1347" i="6"/>
  <c r="H1160" i="6"/>
  <c r="H450" i="6"/>
  <c r="H1528" i="6"/>
  <c r="H413" i="6"/>
  <c r="H822" i="6"/>
  <c r="H1018" i="6"/>
  <c r="H121" i="6"/>
  <c r="H270" i="6"/>
  <c r="H1315" i="6"/>
  <c r="H788" i="6"/>
  <c r="H196" i="6"/>
  <c r="H1551" i="6"/>
  <c r="H568" i="6"/>
  <c r="H961" i="6"/>
  <c r="H206" i="6"/>
  <c r="H1496" i="6"/>
  <c r="H917" i="6"/>
  <c r="H28" i="6"/>
  <c r="H101" i="6"/>
  <c r="H1552" i="6"/>
  <c r="H801" i="6"/>
  <c r="H698" i="6"/>
  <c r="H251" i="6"/>
  <c r="H1262" i="6"/>
  <c r="H147" i="6"/>
  <c r="H1375" i="6"/>
  <c r="H123" i="6"/>
  <c r="H1242" i="6"/>
  <c r="H247" i="6"/>
  <c r="H253" i="6"/>
  <c r="H1192" i="6"/>
  <c r="H1129" i="6"/>
  <c r="H283" i="6"/>
  <c r="H277" i="6"/>
  <c r="H1218" i="6"/>
  <c r="H478" i="6"/>
  <c r="H386" i="6"/>
  <c r="H507" i="6"/>
  <c r="H1308" i="6"/>
  <c r="H969" i="6"/>
  <c r="H339" i="6"/>
  <c r="H169" i="6"/>
  <c r="H1203" i="6"/>
  <c r="H744" i="6"/>
  <c r="H715" i="6"/>
  <c r="H995" i="6"/>
  <c r="H1255" i="6"/>
  <c r="H1198" i="6"/>
  <c r="H485" i="6"/>
  <c r="H1427" i="6"/>
  <c r="H1110" i="6"/>
  <c r="H1265" i="6"/>
  <c r="H267" i="6"/>
  <c r="H1407" i="6"/>
  <c r="H1287" i="6"/>
  <c r="H552" i="6"/>
  <c r="H753" i="6"/>
  <c r="H628" i="6"/>
  <c r="H691" i="6"/>
  <c r="H1060" i="6"/>
  <c r="H1372" i="6"/>
  <c r="H1510" i="6"/>
  <c r="H261" i="6"/>
  <c r="H1164" i="6"/>
  <c r="H1223" i="6"/>
  <c r="H1447" i="6"/>
  <c r="H1029" i="6"/>
  <c r="H592" i="6"/>
  <c r="H535" i="6"/>
  <c r="H664" i="6"/>
  <c r="H539" i="6"/>
  <c r="H102" i="6"/>
  <c r="H676" i="6"/>
  <c r="H75" i="6"/>
  <c r="H1173" i="6"/>
  <c r="H565" i="6"/>
  <c r="H1301" i="6"/>
  <c r="H833" i="6"/>
  <c r="H1474" i="6"/>
  <c r="H1204" i="6"/>
  <c r="H156" i="6"/>
  <c r="H1328" i="6"/>
  <c r="H248" i="6"/>
  <c r="H810" i="6"/>
  <c r="H680" i="6"/>
  <c r="H1246" i="6"/>
  <c r="H604" i="6"/>
  <c r="H857" i="6"/>
  <c r="H898" i="6"/>
  <c r="H273" i="6"/>
  <c r="H1525" i="6"/>
  <c r="H462" i="6"/>
  <c r="H1463" i="6"/>
  <c r="H646" i="6"/>
  <c r="H1548" i="6"/>
  <c r="H1050" i="6"/>
  <c r="H235" i="6"/>
  <c r="H329" i="6"/>
  <c r="H522" i="6"/>
  <c r="H298" i="6"/>
  <c r="H1386" i="6"/>
  <c r="H1067" i="6"/>
  <c r="H979" i="6"/>
  <c r="H1094" i="6"/>
  <c r="H632" i="6"/>
  <c r="H1532" i="6"/>
  <c r="H679" i="6"/>
  <c r="H1099" i="6"/>
  <c r="H463" i="6"/>
  <c r="H1311" i="6"/>
  <c r="H27" i="6"/>
  <c r="H464" i="6"/>
  <c r="H526" i="6"/>
  <c r="H642" i="6"/>
  <c r="H1305" i="6"/>
  <c r="H755" i="6"/>
  <c r="H1353" i="6"/>
  <c r="H254" i="6"/>
  <c r="H296" i="6"/>
  <c r="H54" i="6"/>
  <c r="H405" i="6"/>
  <c r="H531" i="6"/>
  <c r="H661" i="6"/>
  <c r="H1182" i="6"/>
  <c r="H1151" i="6"/>
  <c r="H657" i="6"/>
  <c r="H1199" i="6"/>
  <c r="H504" i="6"/>
  <c r="H1096" i="6"/>
  <c r="H1279" i="6"/>
  <c r="H40" i="6"/>
  <c r="H1167" i="6"/>
  <c r="H20" i="6"/>
  <c r="H1131" i="6"/>
  <c r="H564" i="6"/>
  <c r="H1303" i="6"/>
  <c r="H907" i="6"/>
  <c r="H403" i="6"/>
  <c r="H35" i="6"/>
  <c r="H852" i="6"/>
  <c r="H236" i="6"/>
  <c r="H218" i="6"/>
  <c r="H759" i="6"/>
  <c r="H793" i="6"/>
  <c r="H418" i="6"/>
  <c r="H1105" i="6"/>
  <c r="H83" i="6"/>
  <c r="H500" i="6"/>
  <c r="H985" i="6"/>
  <c r="H1106" i="6"/>
  <c r="H815" i="6"/>
  <c r="H909" i="6"/>
  <c r="H56" i="6"/>
  <c r="H57" i="6"/>
  <c r="H1033" i="6"/>
  <c r="H964" i="6"/>
  <c r="H1454" i="6"/>
  <c r="H80" i="6"/>
  <c r="H76" i="6"/>
  <c r="H534" i="6"/>
  <c r="H943" i="6"/>
  <c r="H1241" i="6"/>
  <c r="H1145" i="6"/>
  <c r="H1028" i="6"/>
  <c r="H950" i="6"/>
  <c r="H162" i="6"/>
  <c r="H1225" i="6"/>
  <c r="H707" i="6"/>
  <c r="H1416" i="6"/>
  <c r="H690" i="6"/>
  <c r="H1561" i="6"/>
  <c r="H1275" i="6"/>
  <c r="H647" i="6"/>
  <c r="H883" i="6"/>
  <c r="H1434" i="6"/>
  <c r="H546" i="6"/>
  <c r="H577" i="6"/>
  <c r="H1345" i="6"/>
  <c r="H477" i="6"/>
  <c r="H1142" i="6"/>
  <c r="H765" i="6"/>
  <c r="H346" i="6"/>
  <c r="H1539" i="6"/>
  <c r="H409" i="6"/>
  <c r="H774" i="6"/>
  <c r="H752" i="6"/>
  <c r="H844" i="6"/>
  <c r="H1092" i="6"/>
  <c r="H1292" i="6"/>
  <c r="H1124" i="6"/>
  <c r="H1090" i="6"/>
  <c r="H1485" i="6"/>
  <c r="H1415" i="6"/>
  <c r="H908" i="6"/>
  <c r="H442" i="6"/>
  <c r="H1330" i="6"/>
  <c r="H637" i="6"/>
  <c r="H131" i="6"/>
  <c r="H1313" i="6"/>
  <c r="H433" i="6"/>
  <c r="H425" i="6"/>
  <c r="H878" i="6"/>
  <c r="H588" i="6"/>
  <c r="H1181" i="6"/>
  <c r="H141" i="6"/>
  <c r="H1157" i="6"/>
  <c r="H1154" i="6"/>
  <c r="H924" i="6"/>
  <c r="H570" i="6"/>
  <c r="H636" i="6"/>
  <c r="H1437" i="6"/>
  <c r="H1550" i="6"/>
  <c r="H300" i="6"/>
  <c r="H125" i="6"/>
  <c r="H968" i="6"/>
  <c r="H714" i="6"/>
  <c r="H1333" i="6"/>
  <c r="H224" i="6"/>
  <c r="H336" i="6"/>
  <c r="H790" i="6"/>
  <c r="H177" i="6"/>
  <c r="H1370" i="6"/>
  <c r="H127" i="6"/>
  <c r="H110" i="6"/>
  <c r="H724" i="6"/>
  <c r="H794" i="6"/>
  <c r="H1440" i="6"/>
  <c r="H1371" i="6"/>
  <c r="H1515" i="6"/>
  <c r="H1471" i="6"/>
  <c r="H727" i="6"/>
  <c r="H665" i="6"/>
  <c r="H159" i="6"/>
  <c r="H1387" i="6"/>
  <c r="H195" i="6"/>
  <c r="H814" i="6"/>
  <c r="H98" i="6"/>
  <c r="H221" i="6"/>
  <c r="H128" i="6"/>
  <c r="H22" i="6"/>
  <c r="H1038" i="6"/>
  <c r="H351" i="6"/>
  <c r="H1497" i="6"/>
  <c r="H1555" i="6"/>
  <c r="H324" i="6"/>
  <c r="H725" i="6"/>
  <c r="H633" i="6"/>
  <c r="H1061" i="6"/>
  <c r="H1007" i="6"/>
  <c r="H137" i="6"/>
  <c r="H510" i="6"/>
  <c r="H1161" i="6"/>
  <c r="H474" i="6"/>
  <c r="H361" i="6"/>
  <c r="H100" i="6"/>
  <c r="H299" i="6"/>
  <c r="H803" i="6"/>
  <c r="H884" i="6"/>
  <c r="H621" i="6"/>
  <c r="H1107" i="6"/>
  <c r="H1378" i="6"/>
  <c r="H1500" i="6"/>
  <c r="H138" i="6"/>
  <c r="H910" i="6"/>
  <c r="H879" i="6"/>
  <c r="H307" i="6"/>
  <c r="H333" i="6"/>
  <c r="H712" i="6"/>
  <c r="H1183" i="6"/>
  <c r="H547" i="6"/>
  <c r="H401" i="6"/>
  <c r="H187" i="6"/>
  <c r="H124" i="6"/>
  <c r="H559" i="6"/>
  <c r="H1354" i="6"/>
  <c r="H126" i="6"/>
  <c r="H1268" i="6"/>
  <c r="H468" i="6"/>
  <c r="H777" i="6"/>
  <c r="H667" i="6"/>
  <c r="H748" i="6"/>
  <c r="H1465" i="6"/>
  <c r="H204" i="6"/>
  <c r="H228" i="6"/>
  <c r="H1443" i="6"/>
  <c r="H1289" i="6"/>
  <c r="H412" i="6"/>
  <c r="H1414" i="6"/>
  <c r="H1074" i="6"/>
  <c r="H1329" i="6"/>
  <c r="H935" i="6"/>
  <c r="H496" i="6"/>
  <c r="H498" i="6"/>
  <c r="H208" i="6"/>
  <c r="H1457" i="6"/>
  <c r="H36" i="6"/>
  <c r="H1013" i="6"/>
  <c r="H704" i="6"/>
  <c r="H1553" i="6"/>
  <c r="H1027" i="6"/>
  <c r="H1489" i="6"/>
  <c r="H87" i="6"/>
  <c r="H1245" i="6"/>
  <c r="H705" i="6"/>
  <c r="H60" i="6"/>
  <c r="H813" i="6"/>
  <c r="H1248" i="6"/>
  <c r="H994" i="6"/>
  <c r="H967" i="6"/>
  <c r="H1470" i="6"/>
  <c r="H900" i="6"/>
  <c r="H1538" i="6"/>
  <c r="H505" i="6"/>
  <c r="H701" i="6"/>
  <c r="H730" i="6"/>
  <c r="H1304" i="6"/>
  <c r="H65" i="6"/>
  <c r="H1149" i="6"/>
  <c r="H373" i="6"/>
  <c r="H1122" i="6"/>
  <c r="H47" i="6"/>
  <c r="H820" i="6"/>
  <c r="H1270" i="6"/>
  <c r="H874" i="6"/>
  <c r="H1484" i="6"/>
  <c r="H1430" i="6"/>
  <c r="H668" i="6"/>
  <c r="H729" i="6"/>
  <c r="H849" i="6"/>
  <c r="H1193" i="6"/>
  <c r="H746" i="6"/>
  <c r="H1197" i="6"/>
  <c r="H1041" i="6"/>
  <c r="H1108" i="6"/>
  <c r="H1134" i="6"/>
  <c r="H1089" i="6"/>
  <c r="H1065" i="6"/>
  <c r="H192" i="6"/>
  <c r="H1364" i="6"/>
  <c r="H816" i="6"/>
  <c r="H766" i="6"/>
  <c r="H1536" i="6"/>
  <c r="H1395" i="6"/>
  <c r="H1432" i="6"/>
  <c r="H429" i="6"/>
  <c r="H749" i="6"/>
  <c r="H1162" i="6"/>
  <c r="H503" i="6"/>
  <c r="H1338" i="6"/>
  <c r="H932" i="6"/>
  <c r="H282" i="6"/>
  <c r="H183" i="6"/>
  <c r="H1488" i="6"/>
  <c r="H377" i="6"/>
  <c r="H422" i="6"/>
  <c r="H1455" i="6"/>
  <c r="H785" i="6"/>
  <c r="H1321" i="6"/>
  <c r="H829" i="6"/>
  <c r="H649" i="6"/>
  <c r="H1384" i="6"/>
  <c r="H165" i="6"/>
  <c r="H16" i="6"/>
  <c r="H1083" i="6"/>
  <c r="H807" i="6"/>
  <c r="H653" i="6"/>
  <c r="H516" i="6"/>
  <c r="H209" i="6"/>
  <c r="H15" i="6"/>
  <c r="H34" i="6"/>
  <c r="H659" i="6"/>
  <c r="H916" i="6"/>
  <c r="H1310" i="6"/>
  <c r="H493" i="6"/>
  <c r="H18" i="6"/>
  <c r="H1152" i="6"/>
  <c r="H85" i="6"/>
  <c r="H1472" i="6"/>
  <c r="H153" i="6"/>
  <c r="H217" i="6"/>
  <c r="H116" i="6"/>
  <c r="H870" i="6"/>
  <c r="H928" i="6"/>
  <c r="H847" i="6"/>
  <c r="H778" i="6"/>
  <c r="H854" i="6"/>
  <c r="H1184" i="6"/>
  <c r="H449" i="6"/>
  <c r="H331" i="6"/>
  <c r="H150" i="6"/>
  <c r="H475" i="6"/>
  <c r="H658" i="6"/>
  <c r="H366" i="6"/>
  <c r="H260" i="6"/>
  <c r="H1397" i="6"/>
  <c r="H77" i="6"/>
  <c r="H992" i="6"/>
  <c r="H971" i="6"/>
  <c r="H155" i="6"/>
  <c r="H620" i="6"/>
  <c r="H495" i="6"/>
  <c r="H779" i="6"/>
  <c r="H1003" i="6"/>
  <c r="H1261" i="6"/>
  <c r="H1079" i="6"/>
  <c r="H517" i="6"/>
  <c r="H1456" i="6"/>
  <c r="H11" i="6"/>
  <c r="H1478" i="6"/>
  <c r="H695" i="6"/>
  <c r="H1236" i="6"/>
  <c r="H186" i="6"/>
  <c r="H1406" i="6"/>
  <c r="H190" i="6"/>
  <c r="H926" i="6"/>
  <c r="H734" i="6"/>
  <c r="H238" i="6"/>
  <c r="H63" i="6"/>
  <c r="H288" i="6"/>
  <c r="H1111" i="6"/>
  <c r="H670" i="6"/>
  <c r="H1165" i="6"/>
  <c r="H1405" i="6"/>
  <c r="H797" i="6"/>
  <c r="H1348" i="6"/>
  <c r="H347" i="6"/>
  <c r="H630" i="6"/>
  <c r="H1125" i="6"/>
  <c r="H886" i="6"/>
  <c r="H181" i="6"/>
  <c r="H69" i="6"/>
  <c r="H518" i="6"/>
  <c r="H170" i="6"/>
  <c r="H1022" i="6"/>
  <c r="H997" i="6"/>
  <c r="H220" i="6"/>
  <c r="H350" i="6"/>
  <c r="H861" i="6"/>
  <c r="H567" i="6"/>
  <c r="H78" i="6"/>
  <c r="H258" i="6"/>
  <c r="H21" i="6"/>
  <c r="H776" i="6"/>
  <c r="H513" i="6"/>
  <c r="H1208" i="6"/>
  <c r="H1361" i="6"/>
  <c r="H619" i="6"/>
  <c r="H438" i="6"/>
  <c r="H1042" i="6"/>
  <c r="H555" i="6"/>
  <c r="H1139" i="6"/>
  <c r="H1119" i="6"/>
  <c r="H984" i="6"/>
  <c r="H171" i="6"/>
  <c r="H1285" i="6"/>
  <c r="H889" i="6"/>
  <c r="H1335" i="6"/>
  <c r="H1436" i="6"/>
  <c r="H1355" i="6"/>
  <c r="H1228" i="6"/>
  <c r="H897" i="6"/>
  <c r="H189" i="6"/>
  <c r="H9" i="6"/>
  <c r="H937" i="6"/>
  <c r="H806" i="6"/>
  <c r="H38" i="6"/>
  <c r="H1073" i="6"/>
  <c r="H1179" i="6"/>
  <c r="H1146" i="6"/>
  <c r="H1051" i="6"/>
  <c r="H1237" i="6"/>
  <c r="H673" i="6"/>
  <c r="H1297" i="6"/>
  <c r="H587" i="6"/>
  <c r="H145" i="6"/>
  <c r="H1091" i="6"/>
  <c r="H42" i="6"/>
  <c r="H178" i="6"/>
  <c r="H317" i="6"/>
  <c r="H387" i="6"/>
  <c r="H682" i="6"/>
  <c r="H407" i="6"/>
  <c r="H1278" i="6"/>
  <c r="H1118" i="6"/>
  <c r="H271" i="6"/>
  <c r="H39" i="6"/>
  <c r="H1257" i="6"/>
  <c r="H508" i="6"/>
  <c r="H1400" i="6"/>
  <c r="H309" i="6"/>
  <c r="H374" i="6"/>
  <c r="H1312" i="6"/>
  <c r="H1452" i="6"/>
  <c r="H1114" i="6"/>
  <c r="H697" i="6"/>
  <c r="H82" i="6"/>
  <c r="H486" i="6"/>
  <c r="H250" i="6"/>
  <c r="H122" i="6"/>
  <c r="H1446" i="6"/>
  <c r="H1068" i="6"/>
  <c r="H1120" i="6"/>
  <c r="H264" i="6"/>
  <c r="H1147" i="6"/>
  <c r="H320" i="6"/>
  <c r="H605" i="6"/>
  <c r="H1030" i="6"/>
  <c r="H1547" i="6"/>
  <c r="H1426" i="6"/>
  <c r="H1369" i="6"/>
  <c r="H902" i="6"/>
  <c r="H1206" i="6"/>
  <c r="H569" i="6"/>
  <c r="H43" i="6"/>
  <c r="H549" i="6"/>
  <c r="H1172" i="6"/>
  <c r="H129" i="6"/>
  <c r="H641" i="6"/>
  <c r="H905" i="6"/>
  <c r="H1170" i="6"/>
  <c r="H1524" i="6"/>
  <c r="H1541" i="6"/>
  <c r="H1155" i="6"/>
  <c r="H1444" i="6"/>
  <c r="H1518" i="6"/>
  <c r="H799" i="6"/>
  <c r="H1545" i="6"/>
  <c r="H1507" i="6"/>
  <c r="H349" i="6"/>
  <c r="H689" i="6"/>
  <c r="H1086" i="6"/>
  <c r="H662" i="6"/>
  <c r="H108" i="6"/>
  <c r="H1191" i="6"/>
  <c r="H88" i="6"/>
  <c r="H276" i="6"/>
  <c r="H313" i="6"/>
  <c r="H481" i="6"/>
  <c r="H925" i="6"/>
  <c r="H823" i="6"/>
  <c r="H520" i="6"/>
  <c r="H316" i="6"/>
  <c r="H1168" i="6"/>
  <c r="H1483" i="6"/>
  <c r="H1008" i="6"/>
  <c r="H465" i="6"/>
  <c r="H1331" i="6"/>
  <c r="H1053" i="6"/>
  <c r="H767" i="6"/>
  <c r="H1201" i="6"/>
  <c r="H862" i="6"/>
  <c r="H199" i="6"/>
  <c r="H214" i="6"/>
  <c r="H1026" i="6"/>
  <c r="H1140" i="6"/>
  <c r="H1276" i="6"/>
  <c r="H383" i="6"/>
  <c r="H1002" i="6"/>
  <c r="H146" i="6"/>
  <c r="H608" i="6"/>
  <c r="H160" i="6"/>
  <c r="H460" i="6"/>
  <c r="H1180" i="6"/>
  <c r="H1442" i="6"/>
  <c r="H499" i="6"/>
  <c r="H245" i="6"/>
  <c r="H1264" i="6"/>
  <c r="H24" i="6"/>
  <c r="H700" i="6"/>
  <c r="H1200" i="6"/>
  <c r="H1300" i="6"/>
  <c r="H480" i="6"/>
  <c r="H453" i="6"/>
  <c r="H314" i="6"/>
  <c r="H837" i="6"/>
  <c r="H827" i="6"/>
  <c r="H1062" i="6"/>
  <c r="H674" i="6"/>
  <c r="H1512" i="6"/>
  <c r="H1046" i="6"/>
  <c r="H1373" i="6"/>
  <c r="H1380" i="6"/>
  <c r="H1529" i="6"/>
  <c r="H713" i="6"/>
  <c r="H382" i="6"/>
  <c r="H1401" i="6"/>
  <c r="H252" i="6"/>
  <c r="H327" i="6"/>
  <c r="H1549" i="6"/>
  <c r="H325" i="6"/>
  <c r="H62" i="6"/>
  <c r="H167" i="6"/>
  <c r="H1243" i="6"/>
  <c r="H1530" i="6"/>
  <c r="H936" i="6"/>
  <c r="H173" i="6"/>
  <c r="H103" i="6"/>
  <c r="H1409" i="6"/>
  <c r="H168" i="6"/>
  <c r="H623" i="6"/>
  <c r="H1186" i="6"/>
  <c r="H1000" i="6"/>
  <c r="H259" i="6"/>
  <c r="H1408" i="6"/>
  <c r="H598" i="6"/>
  <c r="H717" i="6"/>
  <c r="H1185" i="6"/>
  <c r="H580" i="6"/>
  <c r="H1546" i="6"/>
  <c r="H91" i="6"/>
  <c r="H440" i="6"/>
  <c r="H1476" i="6"/>
  <c r="H773" i="6"/>
  <c r="H1190" i="6"/>
  <c r="H808" i="6"/>
  <c r="H1318" i="6"/>
  <c r="H1101" i="6"/>
  <c r="H1314" i="6"/>
  <c r="H1219" i="6"/>
  <c r="H233" i="6"/>
  <c r="H1531" i="6"/>
  <c r="H818" i="6"/>
  <c r="H1324" i="6"/>
  <c r="H1004" i="6"/>
  <c r="H1486" i="6"/>
  <c r="H512" i="6"/>
  <c r="H1420" i="6"/>
  <c r="H370" i="6"/>
  <c r="H326" i="6"/>
  <c r="H1460" i="6"/>
  <c r="H1093" i="6"/>
  <c r="H242" i="6"/>
  <c r="H1562" i="6"/>
  <c r="H304" i="6"/>
  <c r="H1349" i="6"/>
  <c r="H839" i="6"/>
  <c r="H13" i="6"/>
  <c r="H1254" i="6"/>
  <c r="H706" i="6"/>
  <c r="H1503" i="6"/>
  <c r="H134" i="6"/>
  <c r="H544" i="6"/>
  <c r="H872" i="6"/>
  <c r="H1343" i="6"/>
  <c r="H52" i="6"/>
  <c r="H74" i="6"/>
  <c r="H1325" i="6"/>
  <c r="H49" i="6"/>
  <c r="H207" i="6"/>
  <c r="H1350" i="6"/>
  <c r="H1258" i="6"/>
  <c r="H424" i="6"/>
  <c r="H1281" i="6"/>
  <c r="H1009" i="6"/>
  <c r="H432" i="6"/>
  <c r="H787" i="6"/>
  <c r="H866" i="6"/>
  <c r="H702" i="6"/>
  <c r="H1238" i="6"/>
  <c r="H772" i="6"/>
  <c r="H1076" i="6"/>
  <c r="H1097" i="6"/>
  <c r="H51" i="6"/>
  <c r="H761" i="6"/>
  <c r="H533" i="6"/>
  <c r="H625" i="6"/>
  <c r="H1085" i="6"/>
  <c r="H1271" i="6"/>
  <c r="H1290" i="6"/>
  <c r="H406" i="6"/>
  <c r="H161" i="6"/>
  <c r="H1448" i="6"/>
  <c r="H836" i="6"/>
  <c r="H1429" i="6"/>
  <c r="H1215" i="6"/>
  <c r="H1428" i="6"/>
  <c r="H865" i="6"/>
  <c r="H345" i="6"/>
  <c r="H783" i="6"/>
  <c r="H1381" i="6"/>
  <c r="H615" i="6"/>
  <c r="H1498" i="6"/>
  <c r="H1511" i="6"/>
  <c r="H1475" i="6"/>
  <c r="H846" i="6"/>
  <c r="H1252" i="6"/>
  <c r="H255" i="6"/>
  <c r="H1221" i="6"/>
  <c r="H1423" i="6"/>
  <c r="H29" i="6"/>
  <c r="H1316" i="6"/>
  <c r="H1424" i="6"/>
  <c r="H1136" i="6"/>
  <c r="H853" i="6"/>
  <c r="H154" i="6"/>
  <c r="H858" i="6"/>
  <c r="H358" i="6"/>
  <c r="H14" i="6"/>
  <c r="H929" i="6"/>
  <c r="H1554" i="6"/>
  <c r="H1410" i="6"/>
  <c r="H782" i="6"/>
  <c r="H7" i="6"/>
  <c r="H399" i="6"/>
  <c r="H1542" i="6"/>
  <c r="H135" i="6"/>
  <c r="H1517" i="6"/>
  <c r="H341" i="6"/>
  <c r="H838" i="6"/>
  <c r="H1130" i="6"/>
  <c r="H1342" i="6"/>
  <c r="H528" i="6"/>
  <c r="H561" i="6"/>
  <c r="H812" i="6"/>
  <c r="H322" i="6"/>
  <c r="H287" i="6"/>
  <c r="H291" i="6"/>
  <c r="H25" i="6"/>
  <c r="H1519" i="6"/>
  <c r="H213" i="6"/>
  <c r="H1011" i="6"/>
  <c r="H1358" i="6"/>
  <c r="H859" i="6"/>
  <c r="H1404" i="6"/>
  <c r="H991" i="6"/>
  <c r="H1466" i="6"/>
  <c r="H1138" i="6"/>
  <c r="H1450" i="6"/>
  <c r="H684" i="6"/>
  <c r="H894" i="6"/>
  <c r="H1234" i="6"/>
  <c r="H553" i="6"/>
  <c r="H983" i="6"/>
  <c r="H1266" i="6"/>
  <c r="H1385" i="6"/>
  <c r="H542" i="6"/>
  <c r="H41" i="6"/>
  <c r="H966" i="6"/>
  <c r="H1128" i="6"/>
  <c r="H975" i="6"/>
  <c r="H1516" i="6"/>
  <c r="H934" i="6"/>
  <c r="H1322" i="6"/>
  <c r="H1272" i="6"/>
  <c r="H444" i="6"/>
  <c r="H1396" i="6"/>
  <c r="H143" i="6"/>
  <c r="H26" i="6"/>
  <c r="H5" i="6"/>
  <c r="H578" i="6"/>
  <c r="H1084" i="6"/>
  <c r="H1379" i="6"/>
  <c r="H417" i="6"/>
  <c r="H1260" i="6"/>
  <c r="H940" i="6"/>
  <c r="H1019" i="6"/>
  <c r="H1482" i="6"/>
  <c r="H174" i="6"/>
  <c r="H1327" i="6"/>
  <c r="H476" i="6"/>
  <c r="H1502" i="6"/>
  <c r="H380" i="6"/>
  <c r="H614" i="6"/>
  <c r="H104" i="6"/>
  <c r="H1533" i="6"/>
  <c r="H845" i="6"/>
  <c r="H901" i="6"/>
  <c r="H919" i="6"/>
  <c r="H1054" i="6"/>
  <c r="H998" i="6"/>
  <c r="H581" i="6"/>
  <c r="H1320" i="6"/>
  <c r="H1210" i="6"/>
  <c r="H1453" i="6"/>
  <c r="H545" i="6"/>
  <c r="H3" i="6"/>
  <c r="H1247" i="6"/>
  <c r="H525" i="6"/>
  <c r="H353" i="6"/>
  <c r="H1202" i="6"/>
  <c r="H681" i="6"/>
  <c r="H1273" i="6"/>
  <c r="H770" i="6"/>
  <c r="H560" i="6"/>
  <c r="H960" i="6"/>
  <c r="H920" i="6"/>
  <c r="H1461" i="6"/>
  <c r="H1163" i="6"/>
  <c r="H978" i="6"/>
  <c r="H591" i="6"/>
  <c r="H1359" i="6"/>
  <c r="H771" i="6"/>
  <c r="H225" i="6"/>
  <c r="H1522" i="6"/>
  <c r="H1421" i="6"/>
  <c r="H1340" i="6"/>
  <c r="H1527" i="6"/>
  <c r="H644" i="6"/>
  <c r="H237" i="6"/>
  <c r="H841" i="6"/>
  <c r="H1135" i="6"/>
  <c r="H618" i="6"/>
  <c r="H197" i="6"/>
  <c r="H800" i="6"/>
  <c r="H953" i="6"/>
  <c r="H1117" i="6"/>
  <c r="H1188" i="6"/>
  <c r="H1514" i="6"/>
  <c r="H1352" i="6"/>
  <c r="H1064" i="6"/>
  <c r="H1557" i="6"/>
  <c r="H1" i="6"/>
  <c r="H348" i="6"/>
  <c r="H1057" i="6"/>
  <c r="H1535" i="6"/>
  <c r="H589" i="6"/>
  <c r="H10" i="6"/>
  <c r="H446" i="6"/>
  <c r="H716" i="6"/>
  <c r="H981" i="6"/>
  <c r="H315" i="6"/>
  <c r="H1501" i="6"/>
  <c r="H848" i="6"/>
  <c r="H1037" i="6"/>
  <c r="H1213" i="6"/>
  <c r="H1411" i="6"/>
  <c r="H600" i="6"/>
  <c r="H579" i="6"/>
  <c r="H1209" i="6"/>
  <c r="H1006" i="6"/>
  <c r="H1056" i="6"/>
  <c r="H1445" i="6"/>
  <c r="H629" i="6"/>
  <c r="H1015" i="6"/>
  <c r="H660" i="6"/>
  <c r="H1480" i="6"/>
  <c r="H781" i="6"/>
  <c r="H17" i="6"/>
  <c r="H1337" i="6"/>
  <c r="H650" i="6"/>
  <c r="H722" i="6"/>
  <c r="H234" i="6"/>
  <c r="H243" i="6"/>
  <c r="H408" i="6"/>
  <c r="H262" i="6"/>
  <c r="H871" i="6"/>
  <c r="H692" i="6"/>
  <c r="H1490" i="6"/>
  <c r="H360" i="6"/>
  <c r="H1171" i="6"/>
  <c r="H672" i="6"/>
  <c r="H1492" i="6"/>
  <c r="H1059" i="6"/>
  <c r="H758" i="6"/>
  <c r="H1143" i="6"/>
  <c r="H489" i="6"/>
  <c r="H720" i="6"/>
  <c r="H875" i="6"/>
  <c r="H93" i="6"/>
  <c r="H1523" i="6"/>
</calcChain>
</file>

<file path=xl/comments1.xml><?xml version="1.0" encoding="utf-8"?>
<comments xmlns="http://schemas.openxmlformats.org/spreadsheetml/2006/main">
  <authors>
    <author>Junho Lee</author>
  </authors>
  <commentList>
    <comment ref="F9" authorId="0" shapeId="0">
      <text>
        <r>
          <rPr>
            <b/>
            <sz val="9"/>
            <color indexed="81"/>
            <rFont val="Tahoma"/>
            <family val="2"/>
          </rPr>
          <t>Junho Lee:</t>
        </r>
        <r>
          <rPr>
            <sz val="9"/>
            <color indexed="81"/>
            <rFont val="Tahoma"/>
            <family val="2"/>
          </rPr>
          <t xml:space="preserve">
</t>
        </r>
        <r>
          <rPr>
            <sz val="9"/>
            <color indexed="81"/>
            <rFont val="돋움"/>
            <family val="3"/>
            <charset val="129"/>
          </rPr>
          <t>포함값이</t>
        </r>
        <r>
          <rPr>
            <sz val="9"/>
            <color indexed="81"/>
            <rFont val="Tahoma"/>
            <family val="2"/>
          </rPr>
          <t xml:space="preserve"> </t>
        </r>
        <r>
          <rPr>
            <sz val="9"/>
            <color indexed="81"/>
            <rFont val="돋움"/>
            <family val="3"/>
            <charset val="129"/>
          </rPr>
          <t>없으면</t>
        </r>
        <r>
          <rPr>
            <sz val="9"/>
            <color indexed="81"/>
            <rFont val="Tahoma"/>
            <family val="2"/>
          </rPr>
          <t xml:space="preserve"> </t>
        </r>
        <r>
          <rPr>
            <sz val="9"/>
            <color indexed="81"/>
            <rFont val="돋움"/>
            <family val="3"/>
            <charset val="129"/>
          </rPr>
          <t>모두</t>
        </r>
        <r>
          <rPr>
            <sz val="9"/>
            <color indexed="81"/>
            <rFont val="Tahoma"/>
            <family val="2"/>
          </rPr>
          <t xml:space="preserve"> </t>
        </r>
        <r>
          <rPr>
            <sz val="9"/>
            <color indexed="81"/>
            <rFont val="돋움"/>
            <family val="3"/>
            <charset val="129"/>
          </rPr>
          <t>불러옴</t>
        </r>
      </text>
    </comment>
    <comment ref="E15" authorId="0" shapeId="0">
      <text>
        <r>
          <rPr>
            <b/>
            <sz val="9"/>
            <color indexed="81"/>
            <rFont val="Tahoma"/>
            <family val="2"/>
          </rPr>
          <t>Junho Lee:</t>
        </r>
        <r>
          <rPr>
            <sz val="9"/>
            <color indexed="81"/>
            <rFont val="Tahoma"/>
            <family val="2"/>
          </rPr>
          <t xml:space="preserve">
</t>
        </r>
        <r>
          <rPr>
            <sz val="9"/>
            <color indexed="81"/>
            <rFont val="돋움"/>
            <family val="3"/>
            <charset val="129"/>
          </rPr>
          <t>값없으면</t>
        </r>
        <r>
          <rPr>
            <sz val="9"/>
            <color indexed="81"/>
            <rFont val="Tahoma"/>
            <family val="2"/>
          </rPr>
          <t xml:space="preserve"> </t>
        </r>
        <r>
          <rPr>
            <sz val="9"/>
            <color indexed="81"/>
            <rFont val="돋움"/>
            <family val="3"/>
            <charset val="129"/>
          </rPr>
          <t>문서의</t>
        </r>
        <r>
          <rPr>
            <sz val="9"/>
            <color indexed="81"/>
            <rFont val="Tahoma"/>
            <family val="2"/>
          </rPr>
          <t xml:space="preserve"> </t>
        </r>
        <r>
          <rPr>
            <sz val="9"/>
            <color indexed="81"/>
            <rFont val="돋움"/>
            <family val="3"/>
            <charset val="129"/>
          </rPr>
          <t>마지막줄</t>
        </r>
        <r>
          <rPr>
            <sz val="9"/>
            <color indexed="81"/>
            <rFont val="Tahoma"/>
            <family val="2"/>
          </rPr>
          <t xml:space="preserve"> </t>
        </r>
        <r>
          <rPr>
            <sz val="9"/>
            <color indexed="81"/>
            <rFont val="돋움"/>
            <family val="3"/>
            <charset val="129"/>
          </rPr>
          <t>자동</t>
        </r>
        <r>
          <rPr>
            <sz val="9"/>
            <color indexed="81"/>
            <rFont val="Tahoma"/>
            <family val="2"/>
          </rPr>
          <t xml:space="preserve"> </t>
        </r>
        <r>
          <rPr>
            <sz val="9"/>
            <color indexed="81"/>
            <rFont val="돋움"/>
            <family val="3"/>
            <charset val="129"/>
          </rPr>
          <t>산출</t>
        </r>
        <r>
          <rPr>
            <sz val="9"/>
            <color indexed="81"/>
            <rFont val="Tahoma"/>
            <family val="2"/>
          </rPr>
          <t xml:space="preserve">, </t>
        </r>
        <r>
          <rPr>
            <sz val="9"/>
            <color indexed="81"/>
            <rFont val="돋움"/>
            <family val="3"/>
            <charset val="129"/>
          </rPr>
          <t>값있으면</t>
        </r>
        <r>
          <rPr>
            <sz val="9"/>
            <color indexed="81"/>
            <rFont val="Tahoma"/>
            <family val="2"/>
          </rPr>
          <t xml:space="preserve"> </t>
        </r>
        <r>
          <rPr>
            <sz val="9"/>
            <color indexed="81"/>
            <rFont val="돋움"/>
            <family val="3"/>
            <charset val="129"/>
          </rPr>
          <t>해당</t>
        </r>
        <r>
          <rPr>
            <sz val="9"/>
            <color indexed="81"/>
            <rFont val="Tahoma"/>
            <family val="2"/>
          </rPr>
          <t xml:space="preserve"> </t>
        </r>
        <r>
          <rPr>
            <sz val="9"/>
            <color indexed="81"/>
            <rFont val="돋움"/>
            <family val="3"/>
            <charset val="129"/>
          </rPr>
          <t>줄수만큼</t>
        </r>
        <r>
          <rPr>
            <sz val="9"/>
            <color indexed="81"/>
            <rFont val="Tahoma"/>
            <family val="2"/>
          </rPr>
          <t xml:space="preserve">. </t>
        </r>
      </text>
    </comment>
    <comment ref="F15" authorId="0" shapeId="0">
      <text>
        <r>
          <rPr>
            <b/>
            <sz val="9"/>
            <color indexed="81"/>
            <rFont val="Tahoma"/>
            <family val="2"/>
          </rPr>
          <t>Junho Lee:</t>
        </r>
        <r>
          <rPr>
            <sz val="9"/>
            <color indexed="81"/>
            <rFont val="Tahoma"/>
            <family val="2"/>
          </rPr>
          <t xml:space="preserve">
</t>
        </r>
        <r>
          <rPr>
            <sz val="9"/>
            <color indexed="81"/>
            <rFont val="돋움"/>
            <family val="3"/>
            <charset val="129"/>
          </rPr>
          <t>첫행제외</t>
        </r>
      </text>
    </comment>
  </commentList>
</comments>
</file>

<file path=xl/comments2.xml><?xml version="1.0" encoding="utf-8"?>
<comments xmlns="http://schemas.openxmlformats.org/spreadsheetml/2006/main">
  <authors>
    <author>Junho Lee</author>
    <author>Lee, Junho</author>
  </authors>
  <commentList>
    <comment ref="G7" authorId="0" shapeId="0">
      <text>
        <r>
          <rPr>
            <b/>
            <sz val="9"/>
            <color indexed="81"/>
            <rFont val="Tahoma"/>
            <family val="2"/>
          </rPr>
          <t>Junho Lee:</t>
        </r>
        <r>
          <rPr>
            <sz val="9"/>
            <color indexed="81"/>
            <rFont val="Tahoma"/>
            <family val="2"/>
          </rPr>
          <t xml:space="preserve">
</t>
        </r>
        <r>
          <rPr>
            <sz val="9"/>
            <color indexed="81"/>
            <rFont val="돋움"/>
            <family val="3"/>
            <charset val="129"/>
          </rPr>
          <t>자동은</t>
        </r>
        <r>
          <rPr>
            <sz val="9"/>
            <color indexed="81"/>
            <rFont val="Tahoma"/>
            <family val="2"/>
          </rPr>
          <t xml:space="preserve"> </t>
        </r>
        <r>
          <rPr>
            <sz val="9"/>
            <color indexed="81"/>
            <rFont val="돋움"/>
            <family val="3"/>
            <charset val="129"/>
          </rPr>
          <t>파일열때</t>
        </r>
        <r>
          <rPr>
            <sz val="9"/>
            <color indexed="81"/>
            <rFont val="Tahoma"/>
            <family val="2"/>
          </rPr>
          <t xml:space="preserve"> </t>
        </r>
        <r>
          <rPr>
            <sz val="9"/>
            <color indexed="81"/>
            <rFont val="돋움"/>
            <family val="3"/>
            <charset val="129"/>
          </rPr>
          <t>나타나는</t>
        </r>
        <r>
          <rPr>
            <sz val="9"/>
            <color indexed="81"/>
            <rFont val="Tahoma"/>
            <family val="2"/>
          </rPr>
          <t xml:space="preserve"> </t>
        </r>
        <r>
          <rPr>
            <sz val="9"/>
            <color indexed="81"/>
            <rFont val="돋움"/>
            <family val="3"/>
            <charset val="129"/>
          </rPr>
          <t>시트내용</t>
        </r>
        <r>
          <rPr>
            <sz val="9"/>
            <color indexed="81"/>
            <rFont val="Tahoma"/>
            <family val="2"/>
          </rPr>
          <t xml:space="preserve"> </t>
        </r>
        <r>
          <rPr>
            <sz val="9"/>
            <color indexed="81"/>
            <rFont val="돋움"/>
            <family val="3"/>
            <charset val="129"/>
          </rPr>
          <t>복사</t>
        </r>
      </text>
    </comment>
    <comment ref="J7" authorId="0" shapeId="0">
      <text>
        <r>
          <rPr>
            <b/>
            <sz val="9"/>
            <color indexed="81"/>
            <rFont val="Tahoma"/>
            <family val="2"/>
          </rPr>
          <t>Junho Lee:</t>
        </r>
        <r>
          <rPr>
            <sz val="9"/>
            <color indexed="81"/>
            <rFont val="Tahoma"/>
            <family val="2"/>
          </rPr>
          <t xml:space="preserve">
</t>
        </r>
        <r>
          <rPr>
            <sz val="9"/>
            <color indexed="81"/>
            <rFont val="돋움"/>
            <family val="3"/>
            <charset val="129"/>
          </rPr>
          <t>포함값이</t>
        </r>
        <r>
          <rPr>
            <sz val="9"/>
            <color indexed="81"/>
            <rFont val="Tahoma"/>
            <family val="2"/>
          </rPr>
          <t xml:space="preserve"> </t>
        </r>
        <r>
          <rPr>
            <sz val="9"/>
            <color indexed="81"/>
            <rFont val="돋움"/>
            <family val="3"/>
            <charset val="129"/>
          </rPr>
          <t>없으면</t>
        </r>
        <r>
          <rPr>
            <sz val="9"/>
            <color indexed="81"/>
            <rFont val="Tahoma"/>
            <family val="2"/>
          </rPr>
          <t xml:space="preserve"> </t>
        </r>
        <r>
          <rPr>
            <sz val="9"/>
            <color indexed="81"/>
            <rFont val="돋움"/>
            <family val="3"/>
            <charset val="129"/>
          </rPr>
          <t>모두</t>
        </r>
        <r>
          <rPr>
            <sz val="9"/>
            <color indexed="81"/>
            <rFont val="Tahoma"/>
            <family val="2"/>
          </rPr>
          <t xml:space="preserve"> </t>
        </r>
        <r>
          <rPr>
            <sz val="9"/>
            <color indexed="81"/>
            <rFont val="돋움"/>
            <family val="3"/>
            <charset val="129"/>
          </rPr>
          <t>불러옴</t>
        </r>
      </text>
    </comment>
    <comment ref="L7" authorId="0" shapeId="0">
      <text>
        <r>
          <rPr>
            <b/>
            <sz val="9"/>
            <color indexed="81"/>
            <rFont val="Tahoma"/>
            <family val="2"/>
          </rPr>
          <t>Junho Lee:</t>
        </r>
        <r>
          <rPr>
            <sz val="9"/>
            <color indexed="81"/>
            <rFont val="Tahoma"/>
            <family val="2"/>
          </rPr>
          <t xml:space="preserve">
</t>
        </r>
        <r>
          <rPr>
            <sz val="9"/>
            <color indexed="81"/>
            <rFont val="돋움"/>
            <family val="3"/>
            <charset val="129"/>
          </rPr>
          <t>포함값이</t>
        </r>
        <r>
          <rPr>
            <sz val="9"/>
            <color indexed="81"/>
            <rFont val="Tahoma"/>
            <family val="2"/>
          </rPr>
          <t xml:space="preserve"> </t>
        </r>
        <r>
          <rPr>
            <sz val="9"/>
            <color indexed="81"/>
            <rFont val="돋움"/>
            <family val="3"/>
            <charset val="129"/>
          </rPr>
          <t>없으면</t>
        </r>
        <r>
          <rPr>
            <sz val="9"/>
            <color indexed="81"/>
            <rFont val="Tahoma"/>
            <family val="2"/>
          </rPr>
          <t xml:space="preserve"> </t>
        </r>
        <r>
          <rPr>
            <sz val="9"/>
            <color indexed="81"/>
            <rFont val="돋움"/>
            <family val="3"/>
            <charset val="129"/>
          </rPr>
          <t>모두</t>
        </r>
        <r>
          <rPr>
            <sz val="9"/>
            <color indexed="81"/>
            <rFont val="Tahoma"/>
            <family val="2"/>
          </rPr>
          <t xml:space="preserve"> </t>
        </r>
        <r>
          <rPr>
            <sz val="9"/>
            <color indexed="81"/>
            <rFont val="돋움"/>
            <family val="3"/>
            <charset val="129"/>
          </rPr>
          <t>불러옴</t>
        </r>
      </text>
    </comment>
    <comment ref="N7" authorId="0" shapeId="0">
      <text>
        <r>
          <rPr>
            <b/>
            <sz val="9"/>
            <color indexed="81"/>
            <rFont val="Tahoma"/>
            <family val="2"/>
          </rPr>
          <t>Junho Lee:</t>
        </r>
        <r>
          <rPr>
            <sz val="9"/>
            <color indexed="81"/>
            <rFont val="Tahoma"/>
            <family val="2"/>
          </rPr>
          <t xml:space="preserve">
</t>
        </r>
        <r>
          <rPr>
            <sz val="9"/>
            <color indexed="81"/>
            <rFont val="돋움"/>
            <family val="3"/>
            <charset val="129"/>
          </rPr>
          <t>포함값이</t>
        </r>
        <r>
          <rPr>
            <sz val="9"/>
            <color indexed="81"/>
            <rFont val="Tahoma"/>
            <family val="2"/>
          </rPr>
          <t xml:space="preserve"> </t>
        </r>
        <r>
          <rPr>
            <sz val="9"/>
            <color indexed="81"/>
            <rFont val="돋움"/>
            <family val="3"/>
            <charset val="129"/>
          </rPr>
          <t>없으면</t>
        </r>
        <r>
          <rPr>
            <sz val="9"/>
            <color indexed="81"/>
            <rFont val="Tahoma"/>
            <family val="2"/>
          </rPr>
          <t xml:space="preserve"> </t>
        </r>
        <r>
          <rPr>
            <sz val="9"/>
            <color indexed="81"/>
            <rFont val="돋움"/>
            <family val="3"/>
            <charset val="129"/>
          </rPr>
          <t>모두</t>
        </r>
        <r>
          <rPr>
            <sz val="9"/>
            <color indexed="81"/>
            <rFont val="Tahoma"/>
            <family val="2"/>
          </rPr>
          <t xml:space="preserve"> </t>
        </r>
        <r>
          <rPr>
            <sz val="9"/>
            <color indexed="81"/>
            <rFont val="돋움"/>
            <family val="3"/>
            <charset val="129"/>
          </rPr>
          <t>불러옴</t>
        </r>
      </text>
    </comment>
    <comment ref="G13" authorId="0" shapeId="0">
      <text>
        <r>
          <rPr>
            <b/>
            <sz val="9"/>
            <color indexed="81"/>
            <rFont val="Tahoma"/>
            <family val="2"/>
          </rPr>
          <t>Junho Lee:</t>
        </r>
        <r>
          <rPr>
            <sz val="9"/>
            <color indexed="81"/>
            <rFont val="Tahoma"/>
            <family val="2"/>
          </rPr>
          <t xml:space="preserve">
</t>
        </r>
        <r>
          <rPr>
            <sz val="9"/>
            <color indexed="81"/>
            <rFont val="돋움"/>
            <family val="3"/>
            <charset val="129"/>
          </rPr>
          <t>자동은</t>
        </r>
        <r>
          <rPr>
            <sz val="9"/>
            <color indexed="81"/>
            <rFont val="Tahoma"/>
            <family val="2"/>
          </rPr>
          <t xml:space="preserve"> </t>
        </r>
        <r>
          <rPr>
            <sz val="9"/>
            <color indexed="81"/>
            <rFont val="돋움"/>
            <family val="3"/>
            <charset val="129"/>
          </rPr>
          <t>파일열때</t>
        </r>
        <r>
          <rPr>
            <sz val="9"/>
            <color indexed="81"/>
            <rFont val="Tahoma"/>
            <family val="2"/>
          </rPr>
          <t xml:space="preserve"> </t>
        </r>
        <r>
          <rPr>
            <sz val="9"/>
            <color indexed="81"/>
            <rFont val="돋움"/>
            <family val="3"/>
            <charset val="129"/>
          </rPr>
          <t>나타나는</t>
        </r>
        <r>
          <rPr>
            <sz val="9"/>
            <color indexed="81"/>
            <rFont val="Tahoma"/>
            <family val="2"/>
          </rPr>
          <t xml:space="preserve"> </t>
        </r>
        <r>
          <rPr>
            <sz val="9"/>
            <color indexed="81"/>
            <rFont val="돋움"/>
            <family val="3"/>
            <charset val="129"/>
          </rPr>
          <t>시트내용</t>
        </r>
        <r>
          <rPr>
            <sz val="9"/>
            <color indexed="81"/>
            <rFont val="Tahoma"/>
            <family val="2"/>
          </rPr>
          <t xml:space="preserve"> </t>
        </r>
        <r>
          <rPr>
            <sz val="9"/>
            <color indexed="81"/>
            <rFont val="돋움"/>
            <family val="3"/>
            <charset val="129"/>
          </rPr>
          <t>복사</t>
        </r>
      </text>
    </comment>
    <comment ref="J13" authorId="0" shapeId="0">
      <text>
        <r>
          <rPr>
            <b/>
            <sz val="9"/>
            <color indexed="81"/>
            <rFont val="Tahoma"/>
            <family val="2"/>
          </rPr>
          <t>Junho Lee:</t>
        </r>
        <r>
          <rPr>
            <sz val="9"/>
            <color indexed="81"/>
            <rFont val="Tahoma"/>
            <family val="2"/>
          </rPr>
          <t xml:space="preserve">
</t>
        </r>
        <r>
          <rPr>
            <sz val="9"/>
            <color indexed="81"/>
            <rFont val="돋움"/>
            <family val="3"/>
            <charset val="129"/>
          </rPr>
          <t>포함값이</t>
        </r>
        <r>
          <rPr>
            <sz val="9"/>
            <color indexed="81"/>
            <rFont val="Tahoma"/>
            <family val="2"/>
          </rPr>
          <t xml:space="preserve"> </t>
        </r>
        <r>
          <rPr>
            <sz val="9"/>
            <color indexed="81"/>
            <rFont val="돋움"/>
            <family val="3"/>
            <charset val="129"/>
          </rPr>
          <t>없으면</t>
        </r>
        <r>
          <rPr>
            <sz val="9"/>
            <color indexed="81"/>
            <rFont val="Tahoma"/>
            <family val="2"/>
          </rPr>
          <t xml:space="preserve"> </t>
        </r>
        <r>
          <rPr>
            <sz val="9"/>
            <color indexed="81"/>
            <rFont val="돋움"/>
            <family val="3"/>
            <charset val="129"/>
          </rPr>
          <t>모두</t>
        </r>
        <r>
          <rPr>
            <sz val="9"/>
            <color indexed="81"/>
            <rFont val="Tahoma"/>
            <family val="2"/>
          </rPr>
          <t xml:space="preserve"> </t>
        </r>
        <r>
          <rPr>
            <sz val="9"/>
            <color indexed="81"/>
            <rFont val="돋움"/>
            <family val="3"/>
            <charset val="129"/>
          </rPr>
          <t>불러옴</t>
        </r>
      </text>
    </comment>
    <comment ref="L13" authorId="0" shapeId="0">
      <text>
        <r>
          <rPr>
            <b/>
            <sz val="9"/>
            <color indexed="81"/>
            <rFont val="Tahoma"/>
            <family val="2"/>
          </rPr>
          <t>Junho Lee:</t>
        </r>
        <r>
          <rPr>
            <sz val="9"/>
            <color indexed="81"/>
            <rFont val="Tahoma"/>
            <family val="2"/>
          </rPr>
          <t xml:space="preserve">
</t>
        </r>
        <r>
          <rPr>
            <sz val="9"/>
            <color indexed="81"/>
            <rFont val="돋움"/>
            <family val="3"/>
            <charset val="129"/>
          </rPr>
          <t>포함값이</t>
        </r>
        <r>
          <rPr>
            <sz val="9"/>
            <color indexed="81"/>
            <rFont val="Tahoma"/>
            <family val="2"/>
          </rPr>
          <t xml:space="preserve"> </t>
        </r>
        <r>
          <rPr>
            <sz val="9"/>
            <color indexed="81"/>
            <rFont val="돋움"/>
            <family val="3"/>
            <charset val="129"/>
          </rPr>
          <t>없으면</t>
        </r>
        <r>
          <rPr>
            <sz val="9"/>
            <color indexed="81"/>
            <rFont val="Tahoma"/>
            <family val="2"/>
          </rPr>
          <t xml:space="preserve"> </t>
        </r>
        <r>
          <rPr>
            <sz val="9"/>
            <color indexed="81"/>
            <rFont val="돋움"/>
            <family val="3"/>
            <charset val="129"/>
          </rPr>
          <t>모두</t>
        </r>
        <r>
          <rPr>
            <sz val="9"/>
            <color indexed="81"/>
            <rFont val="Tahoma"/>
            <family val="2"/>
          </rPr>
          <t xml:space="preserve"> </t>
        </r>
        <r>
          <rPr>
            <sz val="9"/>
            <color indexed="81"/>
            <rFont val="돋움"/>
            <family val="3"/>
            <charset val="129"/>
          </rPr>
          <t>불러옴</t>
        </r>
      </text>
    </comment>
    <comment ref="N13" authorId="0" shapeId="0">
      <text>
        <r>
          <rPr>
            <b/>
            <sz val="9"/>
            <color indexed="81"/>
            <rFont val="Tahoma"/>
            <family val="2"/>
          </rPr>
          <t>Junho Lee:</t>
        </r>
        <r>
          <rPr>
            <sz val="9"/>
            <color indexed="81"/>
            <rFont val="Tahoma"/>
            <family val="2"/>
          </rPr>
          <t xml:space="preserve">
</t>
        </r>
        <r>
          <rPr>
            <sz val="9"/>
            <color indexed="81"/>
            <rFont val="돋움"/>
            <family val="3"/>
            <charset val="129"/>
          </rPr>
          <t>포함값이</t>
        </r>
        <r>
          <rPr>
            <sz val="9"/>
            <color indexed="81"/>
            <rFont val="Tahoma"/>
            <family val="2"/>
          </rPr>
          <t xml:space="preserve"> </t>
        </r>
        <r>
          <rPr>
            <sz val="9"/>
            <color indexed="81"/>
            <rFont val="돋움"/>
            <family val="3"/>
            <charset val="129"/>
          </rPr>
          <t>없으면</t>
        </r>
        <r>
          <rPr>
            <sz val="9"/>
            <color indexed="81"/>
            <rFont val="Tahoma"/>
            <family val="2"/>
          </rPr>
          <t xml:space="preserve"> </t>
        </r>
        <r>
          <rPr>
            <sz val="9"/>
            <color indexed="81"/>
            <rFont val="돋움"/>
            <family val="3"/>
            <charset val="129"/>
          </rPr>
          <t>모두</t>
        </r>
        <r>
          <rPr>
            <sz val="9"/>
            <color indexed="81"/>
            <rFont val="Tahoma"/>
            <family val="2"/>
          </rPr>
          <t xml:space="preserve"> </t>
        </r>
        <r>
          <rPr>
            <sz val="9"/>
            <color indexed="81"/>
            <rFont val="돋움"/>
            <family val="3"/>
            <charset val="129"/>
          </rPr>
          <t>불러옴</t>
        </r>
      </text>
    </comment>
    <comment ref="E39" authorId="0" shapeId="0">
      <text>
        <r>
          <rPr>
            <b/>
            <sz val="9"/>
            <color indexed="81"/>
            <rFont val="Tahoma"/>
            <family val="2"/>
          </rPr>
          <t>Junho Lee:</t>
        </r>
        <r>
          <rPr>
            <sz val="9"/>
            <color indexed="81"/>
            <rFont val="Tahoma"/>
            <family val="2"/>
          </rPr>
          <t xml:space="preserve">
</t>
        </r>
        <r>
          <rPr>
            <sz val="9"/>
            <color indexed="81"/>
            <rFont val="돋움"/>
            <family val="3"/>
            <charset val="129"/>
          </rPr>
          <t>값없으면</t>
        </r>
        <r>
          <rPr>
            <sz val="9"/>
            <color indexed="81"/>
            <rFont val="Tahoma"/>
            <family val="2"/>
          </rPr>
          <t xml:space="preserve"> </t>
        </r>
        <r>
          <rPr>
            <sz val="9"/>
            <color indexed="81"/>
            <rFont val="돋움"/>
            <family val="3"/>
            <charset val="129"/>
          </rPr>
          <t>문서의</t>
        </r>
        <r>
          <rPr>
            <sz val="9"/>
            <color indexed="81"/>
            <rFont val="Tahoma"/>
            <family val="2"/>
          </rPr>
          <t xml:space="preserve"> </t>
        </r>
        <r>
          <rPr>
            <sz val="9"/>
            <color indexed="81"/>
            <rFont val="돋움"/>
            <family val="3"/>
            <charset val="129"/>
          </rPr>
          <t>마지막줄</t>
        </r>
        <r>
          <rPr>
            <sz val="9"/>
            <color indexed="81"/>
            <rFont val="Tahoma"/>
            <family val="2"/>
          </rPr>
          <t xml:space="preserve"> </t>
        </r>
        <r>
          <rPr>
            <sz val="9"/>
            <color indexed="81"/>
            <rFont val="돋움"/>
            <family val="3"/>
            <charset val="129"/>
          </rPr>
          <t>자동</t>
        </r>
        <r>
          <rPr>
            <sz val="9"/>
            <color indexed="81"/>
            <rFont val="Tahoma"/>
            <family val="2"/>
          </rPr>
          <t xml:space="preserve"> </t>
        </r>
        <r>
          <rPr>
            <sz val="9"/>
            <color indexed="81"/>
            <rFont val="돋움"/>
            <family val="3"/>
            <charset val="129"/>
          </rPr>
          <t>산출</t>
        </r>
        <r>
          <rPr>
            <sz val="9"/>
            <color indexed="81"/>
            <rFont val="Tahoma"/>
            <family val="2"/>
          </rPr>
          <t xml:space="preserve">, </t>
        </r>
        <r>
          <rPr>
            <sz val="9"/>
            <color indexed="81"/>
            <rFont val="돋움"/>
            <family val="3"/>
            <charset val="129"/>
          </rPr>
          <t>값있으면</t>
        </r>
        <r>
          <rPr>
            <sz val="9"/>
            <color indexed="81"/>
            <rFont val="Tahoma"/>
            <family val="2"/>
          </rPr>
          <t xml:space="preserve"> </t>
        </r>
        <r>
          <rPr>
            <sz val="9"/>
            <color indexed="81"/>
            <rFont val="돋움"/>
            <family val="3"/>
            <charset val="129"/>
          </rPr>
          <t>해당</t>
        </r>
        <r>
          <rPr>
            <sz val="9"/>
            <color indexed="81"/>
            <rFont val="Tahoma"/>
            <family val="2"/>
          </rPr>
          <t xml:space="preserve"> </t>
        </r>
        <r>
          <rPr>
            <sz val="9"/>
            <color indexed="81"/>
            <rFont val="돋움"/>
            <family val="3"/>
            <charset val="129"/>
          </rPr>
          <t>줄수만큼</t>
        </r>
        <r>
          <rPr>
            <sz val="9"/>
            <color indexed="81"/>
            <rFont val="Tahoma"/>
            <family val="2"/>
          </rPr>
          <t xml:space="preserve">. </t>
        </r>
      </text>
    </comment>
    <comment ref="F39" authorId="0" shapeId="0">
      <text>
        <r>
          <rPr>
            <b/>
            <sz val="9"/>
            <color indexed="81"/>
            <rFont val="Tahoma"/>
            <family val="2"/>
          </rPr>
          <t>Junho Lee:</t>
        </r>
        <r>
          <rPr>
            <sz val="9"/>
            <color indexed="81"/>
            <rFont val="Tahoma"/>
            <family val="2"/>
          </rPr>
          <t xml:space="preserve">
</t>
        </r>
        <r>
          <rPr>
            <sz val="9"/>
            <color indexed="81"/>
            <rFont val="돋움"/>
            <family val="3"/>
            <charset val="129"/>
          </rPr>
          <t>첫행제외</t>
        </r>
      </text>
    </comment>
    <comment ref="C67" authorId="1" shapeId="0">
      <text>
        <r>
          <rPr>
            <b/>
            <sz val="9"/>
            <color indexed="81"/>
            <rFont val="Tahoma"/>
            <family val="2"/>
          </rPr>
          <t>Lee, Junho:</t>
        </r>
        <r>
          <rPr>
            <sz val="9"/>
            <color indexed="81"/>
            <rFont val="Tahoma"/>
            <family val="2"/>
          </rPr>
          <t xml:space="preserve">
</t>
        </r>
        <r>
          <rPr>
            <sz val="9"/>
            <color indexed="81"/>
            <rFont val="돋움"/>
            <family val="3"/>
            <charset val="129"/>
          </rPr>
          <t>전체</t>
        </r>
        <r>
          <rPr>
            <sz val="9"/>
            <color indexed="81"/>
            <rFont val="Tahoma"/>
            <family val="2"/>
          </rPr>
          <t xml:space="preserve"> Ex.: 3</t>
        </r>
      </text>
    </comment>
    <comment ref="C68" authorId="1" shapeId="0">
      <text>
        <r>
          <rPr>
            <b/>
            <sz val="9"/>
            <color indexed="81"/>
            <rFont val="Tahoma"/>
            <family val="2"/>
          </rPr>
          <t>Lee, Junho:</t>
        </r>
        <r>
          <rPr>
            <sz val="9"/>
            <color indexed="81"/>
            <rFont val="Tahoma"/>
            <family val="2"/>
          </rPr>
          <t xml:space="preserve">
</t>
        </r>
        <r>
          <rPr>
            <sz val="9"/>
            <color indexed="81"/>
            <rFont val="돋움"/>
            <family val="3"/>
            <charset val="129"/>
          </rPr>
          <t>부분</t>
        </r>
        <r>
          <rPr>
            <sz val="9"/>
            <color indexed="81"/>
            <rFont val="Tahoma"/>
            <family val="2"/>
          </rPr>
          <t xml:space="preserve"> A3:B</t>
        </r>
        <r>
          <rPr>
            <sz val="9"/>
            <color indexed="81"/>
            <rFont val="돋움"/>
            <family val="3"/>
            <charset val="129"/>
          </rPr>
          <t xml:space="preserve">마지막
</t>
        </r>
        <r>
          <rPr>
            <sz val="9"/>
            <color indexed="81"/>
            <rFont val="Tahoma"/>
            <family val="2"/>
          </rPr>
          <t xml:space="preserve">   or A3:B10</t>
        </r>
      </text>
    </comment>
    <comment ref="F79" authorId="0" shapeId="0">
      <text>
        <r>
          <rPr>
            <b/>
            <sz val="9"/>
            <color indexed="81"/>
            <rFont val="Tahoma"/>
            <family val="2"/>
          </rPr>
          <t>Junho Lee:</t>
        </r>
        <r>
          <rPr>
            <sz val="9"/>
            <color indexed="81"/>
            <rFont val="Tahoma"/>
            <family val="2"/>
          </rPr>
          <t xml:space="preserve">
</t>
        </r>
        <r>
          <rPr>
            <sz val="9"/>
            <color indexed="81"/>
            <rFont val="돋움"/>
            <family val="3"/>
            <charset val="129"/>
          </rPr>
          <t>포함값이</t>
        </r>
        <r>
          <rPr>
            <sz val="9"/>
            <color indexed="81"/>
            <rFont val="Tahoma"/>
            <family val="2"/>
          </rPr>
          <t xml:space="preserve"> </t>
        </r>
        <r>
          <rPr>
            <sz val="9"/>
            <color indexed="81"/>
            <rFont val="돋움"/>
            <family val="3"/>
            <charset val="129"/>
          </rPr>
          <t>없으면</t>
        </r>
        <r>
          <rPr>
            <sz val="9"/>
            <color indexed="81"/>
            <rFont val="Tahoma"/>
            <family val="2"/>
          </rPr>
          <t xml:space="preserve"> </t>
        </r>
        <r>
          <rPr>
            <sz val="9"/>
            <color indexed="81"/>
            <rFont val="돋움"/>
            <family val="3"/>
            <charset val="129"/>
          </rPr>
          <t>모두</t>
        </r>
        <r>
          <rPr>
            <sz val="9"/>
            <color indexed="81"/>
            <rFont val="Tahoma"/>
            <family val="2"/>
          </rPr>
          <t xml:space="preserve"> </t>
        </r>
        <r>
          <rPr>
            <sz val="9"/>
            <color indexed="81"/>
            <rFont val="돋움"/>
            <family val="3"/>
            <charset val="129"/>
          </rPr>
          <t>불러옴</t>
        </r>
      </text>
    </comment>
    <comment ref="E119" authorId="0" shapeId="0">
      <text>
        <r>
          <rPr>
            <b/>
            <sz val="9"/>
            <color indexed="81"/>
            <rFont val="Tahoma"/>
            <family val="2"/>
          </rPr>
          <t>Junho Lee:</t>
        </r>
        <r>
          <rPr>
            <sz val="9"/>
            <color indexed="81"/>
            <rFont val="Tahoma"/>
            <family val="2"/>
          </rPr>
          <t xml:space="preserve">
</t>
        </r>
        <r>
          <rPr>
            <sz val="9"/>
            <color indexed="81"/>
            <rFont val="돋움"/>
            <family val="3"/>
            <charset val="129"/>
          </rPr>
          <t>포함값이</t>
        </r>
        <r>
          <rPr>
            <sz val="9"/>
            <color indexed="81"/>
            <rFont val="Tahoma"/>
            <family val="2"/>
          </rPr>
          <t xml:space="preserve"> </t>
        </r>
        <r>
          <rPr>
            <sz val="9"/>
            <color indexed="81"/>
            <rFont val="돋움"/>
            <family val="3"/>
            <charset val="129"/>
          </rPr>
          <t>없으면</t>
        </r>
        <r>
          <rPr>
            <sz val="9"/>
            <color indexed="81"/>
            <rFont val="Tahoma"/>
            <family val="2"/>
          </rPr>
          <t xml:space="preserve"> </t>
        </r>
        <r>
          <rPr>
            <sz val="9"/>
            <color indexed="81"/>
            <rFont val="돋움"/>
            <family val="3"/>
            <charset val="129"/>
          </rPr>
          <t>모두</t>
        </r>
        <r>
          <rPr>
            <sz val="9"/>
            <color indexed="81"/>
            <rFont val="Tahoma"/>
            <family val="2"/>
          </rPr>
          <t xml:space="preserve"> </t>
        </r>
        <r>
          <rPr>
            <sz val="9"/>
            <color indexed="81"/>
            <rFont val="돋움"/>
            <family val="3"/>
            <charset val="129"/>
          </rPr>
          <t>불러옴</t>
        </r>
        <r>
          <rPr>
            <sz val="9"/>
            <color indexed="81"/>
            <rFont val="Tahoma"/>
            <family val="2"/>
          </rPr>
          <t>, "</t>
        </r>
        <r>
          <rPr>
            <sz val="9"/>
            <color indexed="81"/>
            <rFont val="돋움"/>
            <family val="3"/>
            <charset val="129"/>
          </rPr>
          <t>모든공백</t>
        </r>
        <r>
          <rPr>
            <sz val="9"/>
            <color indexed="81"/>
            <rFont val="Tahoma"/>
            <family val="2"/>
          </rPr>
          <t xml:space="preserve">" </t>
        </r>
        <r>
          <rPr>
            <sz val="9"/>
            <color indexed="81"/>
            <rFont val="돋움"/>
            <family val="3"/>
            <charset val="129"/>
          </rPr>
          <t>입력시</t>
        </r>
        <r>
          <rPr>
            <sz val="9"/>
            <color indexed="81"/>
            <rFont val="Tahoma"/>
            <family val="2"/>
          </rPr>
          <t xml:space="preserve"> </t>
        </r>
        <r>
          <rPr>
            <sz val="9"/>
            <color indexed="81"/>
            <rFont val="돋움"/>
            <family val="3"/>
            <charset val="129"/>
          </rPr>
          <t>값없는</t>
        </r>
        <r>
          <rPr>
            <sz val="9"/>
            <color indexed="81"/>
            <rFont val="Tahoma"/>
            <family val="2"/>
          </rPr>
          <t xml:space="preserve"> </t>
        </r>
        <r>
          <rPr>
            <sz val="9"/>
            <color indexed="81"/>
            <rFont val="돋움"/>
            <family val="3"/>
            <charset val="129"/>
          </rPr>
          <t>모든값</t>
        </r>
        <r>
          <rPr>
            <sz val="9"/>
            <color indexed="81"/>
            <rFont val="Tahoma"/>
            <family val="2"/>
          </rPr>
          <t xml:space="preserve"> </t>
        </r>
        <r>
          <rPr>
            <sz val="9"/>
            <color indexed="81"/>
            <rFont val="돋움"/>
            <family val="3"/>
            <charset val="129"/>
          </rPr>
          <t xml:space="preserve">불러옴
</t>
        </r>
      </text>
    </comment>
    <comment ref="G119" authorId="0" shapeId="0">
      <text>
        <r>
          <rPr>
            <b/>
            <sz val="9"/>
            <color indexed="81"/>
            <rFont val="Tahoma"/>
            <family val="2"/>
          </rPr>
          <t>Junho Lee:</t>
        </r>
        <r>
          <rPr>
            <sz val="9"/>
            <color indexed="81"/>
            <rFont val="Tahoma"/>
            <family val="2"/>
          </rPr>
          <t xml:space="preserve">
</t>
        </r>
        <r>
          <rPr>
            <sz val="9"/>
            <color indexed="81"/>
            <rFont val="돋움"/>
            <family val="3"/>
            <charset val="129"/>
          </rPr>
          <t>포함값이</t>
        </r>
        <r>
          <rPr>
            <sz val="9"/>
            <color indexed="81"/>
            <rFont val="Tahoma"/>
            <family val="2"/>
          </rPr>
          <t xml:space="preserve"> </t>
        </r>
        <r>
          <rPr>
            <sz val="9"/>
            <color indexed="81"/>
            <rFont val="돋움"/>
            <family val="3"/>
            <charset val="129"/>
          </rPr>
          <t>없으면</t>
        </r>
        <r>
          <rPr>
            <sz val="9"/>
            <color indexed="81"/>
            <rFont val="Tahoma"/>
            <family val="2"/>
          </rPr>
          <t xml:space="preserve"> </t>
        </r>
        <r>
          <rPr>
            <sz val="9"/>
            <color indexed="81"/>
            <rFont val="돋움"/>
            <family val="3"/>
            <charset val="129"/>
          </rPr>
          <t>모두</t>
        </r>
        <r>
          <rPr>
            <sz val="9"/>
            <color indexed="81"/>
            <rFont val="Tahoma"/>
            <family val="2"/>
          </rPr>
          <t xml:space="preserve"> </t>
        </r>
        <r>
          <rPr>
            <sz val="9"/>
            <color indexed="81"/>
            <rFont val="돋움"/>
            <family val="3"/>
            <charset val="129"/>
          </rPr>
          <t>불러옴</t>
        </r>
      </text>
    </comment>
    <comment ref="I119" authorId="0" shapeId="0">
      <text>
        <r>
          <rPr>
            <b/>
            <sz val="9"/>
            <color indexed="81"/>
            <rFont val="Tahoma"/>
            <family val="2"/>
          </rPr>
          <t>Junho Lee:</t>
        </r>
        <r>
          <rPr>
            <sz val="9"/>
            <color indexed="81"/>
            <rFont val="Tahoma"/>
            <family val="2"/>
          </rPr>
          <t xml:space="preserve">
</t>
        </r>
        <r>
          <rPr>
            <sz val="9"/>
            <color indexed="81"/>
            <rFont val="돋움"/>
            <family val="3"/>
            <charset val="129"/>
          </rPr>
          <t>포함값이</t>
        </r>
        <r>
          <rPr>
            <sz val="9"/>
            <color indexed="81"/>
            <rFont val="Tahoma"/>
            <family val="2"/>
          </rPr>
          <t xml:space="preserve"> </t>
        </r>
        <r>
          <rPr>
            <sz val="9"/>
            <color indexed="81"/>
            <rFont val="돋움"/>
            <family val="3"/>
            <charset val="129"/>
          </rPr>
          <t>없으면</t>
        </r>
        <r>
          <rPr>
            <sz val="9"/>
            <color indexed="81"/>
            <rFont val="Tahoma"/>
            <family val="2"/>
          </rPr>
          <t xml:space="preserve"> </t>
        </r>
        <r>
          <rPr>
            <sz val="9"/>
            <color indexed="81"/>
            <rFont val="돋움"/>
            <family val="3"/>
            <charset val="129"/>
          </rPr>
          <t>모두</t>
        </r>
        <r>
          <rPr>
            <sz val="9"/>
            <color indexed="81"/>
            <rFont val="Tahoma"/>
            <family val="2"/>
          </rPr>
          <t xml:space="preserve"> </t>
        </r>
        <r>
          <rPr>
            <sz val="9"/>
            <color indexed="81"/>
            <rFont val="돋움"/>
            <family val="3"/>
            <charset val="129"/>
          </rPr>
          <t>불러옴</t>
        </r>
      </text>
    </comment>
    <comment ref="C149" authorId="1" shapeId="0">
      <text>
        <r>
          <rPr>
            <b/>
            <sz val="9"/>
            <color indexed="81"/>
            <rFont val="Tahoma"/>
            <family val="2"/>
          </rPr>
          <t>Lee, Junho:</t>
        </r>
        <r>
          <rPr>
            <sz val="9"/>
            <color indexed="81"/>
            <rFont val="Tahoma"/>
            <family val="2"/>
          </rPr>
          <t xml:space="preserve">
A2:B@</t>
        </r>
        <r>
          <rPr>
            <sz val="9"/>
            <color indexed="81"/>
            <rFont val="돋움"/>
            <family val="3"/>
            <charset val="129"/>
          </rPr>
          <t>마지막
위와</t>
        </r>
        <r>
          <rPr>
            <sz val="9"/>
            <color indexed="81"/>
            <rFont val="Tahoma"/>
            <family val="2"/>
          </rPr>
          <t xml:space="preserve"> </t>
        </r>
        <r>
          <rPr>
            <sz val="9"/>
            <color indexed="81"/>
            <rFont val="돋움"/>
            <family val="3"/>
            <charset val="129"/>
          </rPr>
          <t>같이</t>
        </r>
        <r>
          <rPr>
            <sz val="9"/>
            <color indexed="81"/>
            <rFont val="Tahoma"/>
            <family val="2"/>
          </rPr>
          <t xml:space="preserve"> </t>
        </r>
        <r>
          <rPr>
            <sz val="9"/>
            <color indexed="81"/>
            <rFont val="돋움"/>
            <family val="3"/>
            <charset val="129"/>
          </rPr>
          <t>적용시</t>
        </r>
        <r>
          <rPr>
            <sz val="9"/>
            <color indexed="81"/>
            <rFont val="Tahoma"/>
            <family val="2"/>
          </rPr>
          <t xml:space="preserve"> </t>
        </r>
        <r>
          <rPr>
            <sz val="9"/>
            <color indexed="81"/>
            <rFont val="돋움"/>
            <family val="3"/>
            <charset val="129"/>
          </rPr>
          <t>마지막행을</t>
        </r>
        <r>
          <rPr>
            <sz val="9"/>
            <color indexed="81"/>
            <rFont val="Tahoma"/>
            <family val="2"/>
          </rPr>
          <t xml:space="preserve"> </t>
        </r>
        <r>
          <rPr>
            <sz val="9"/>
            <color indexed="81"/>
            <rFont val="돋움"/>
            <family val="3"/>
            <charset val="129"/>
          </rPr>
          <t>자동으로</t>
        </r>
        <r>
          <rPr>
            <sz val="9"/>
            <color indexed="81"/>
            <rFont val="Tahoma"/>
            <family val="2"/>
          </rPr>
          <t xml:space="preserve"> </t>
        </r>
        <r>
          <rPr>
            <sz val="9"/>
            <color indexed="81"/>
            <rFont val="돋움"/>
            <family val="3"/>
            <charset val="129"/>
          </rPr>
          <t>찾아</t>
        </r>
        <r>
          <rPr>
            <sz val="9"/>
            <color indexed="81"/>
            <rFont val="Tahoma"/>
            <family val="2"/>
          </rPr>
          <t xml:space="preserve"> </t>
        </r>
        <r>
          <rPr>
            <sz val="9"/>
            <color indexed="81"/>
            <rFont val="돋움"/>
            <family val="3"/>
            <charset val="129"/>
          </rPr>
          <t xml:space="preserve">적용
</t>
        </r>
      </text>
    </comment>
    <comment ref="E149" authorId="1" shapeId="0">
      <text>
        <r>
          <rPr>
            <b/>
            <sz val="9"/>
            <color indexed="81"/>
            <rFont val="Tahoma"/>
            <family val="2"/>
          </rPr>
          <t>Lee, Junho:</t>
        </r>
        <r>
          <rPr>
            <sz val="9"/>
            <color indexed="81"/>
            <rFont val="Tahoma"/>
            <family val="2"/>
          </rPr>
          <t xml:space="preserve">
A</t>
        </r>
        <r>
          <rPr>
            <sz val="9"/>
            <color indexed="81"/>
            <rFont val="돋움"/>
            <family val="3"/>
            <charset val="129"/>
          </rPr>
          <t xml:space="preserve">시트마지막
</t>
        </r>
        <r>
          <rPr>
            <sz val="9"/>
            <color indexed="81"/>
            <rFont val="Tahoma"/>
            <family val="2"/>
          </rPr>
          <t>A</t>
        </r>
        <r>
          <rPr>
            <sz val="9"/>
            <color indexed="81"/>
            <rFont val="돋움"/>
            <family val="3"/>
            <charset val="129"/>
          </rPr>
          <t>마지막</t>
        </r>
      </text>
    </comment>
    <comment ref="G149" authorId="1" shapeId="0">
      <text>
        <r>
          <rPr>
            <b/>
            <sz val="9"/>
            <color indexed="81"/>
            <rFont val="Tahoma"/>
            <family val="2"/>
          </rPr>
          <t>Lee, Junho:</t>
        </r>
        <r>
          <rPr>
            <sz val="9"/>
            <color indexed="81"/>
            <rFont val="Tahoma"/>
            <family val="2"/>
          </rPr>
          <t xml:space="preserve">
(</t>
        </r>
        <r>
          <rPr>
            <sz val="9"/>
            <color indexed="81"/>
            <rFont val="돋움"/>
            <family val="3"/>
            <charset val="129"/>
          </rPr>
          <t>행열</t>
        </r>
        <r>
          <rPr>
            <sz val="9"/>
            <color indexed="81"/>
            <rFont val="Tahoma"/>
            <family val="2"/>
          </rPr>
          <t xml:space="preserve"> </t>
        </r>
        <r>
          <rPr>
            <sz val="9"/>
            <color indexed="81"/>
            <rFont val="돋움"/>
            <family val="3"/>
            <charset val="129"/>
          </rPr>
          <t>변환시에는</t>
        </r>
        <r>
          <rPr>
            <sz val="9"/>
            <color indexed="81"/>
            <rFont val="Tahoma"/>
            <family val="2"/>
          </rPr>
          <t xml:space="preserve"> </t>
        </r>
        <r>
          <rPr>
            <sz val="9"/>
            <color indexed="81"/>
            <rFont val="돋움"/>
            <family val="3"/>
            <charset val="129"/>
          </rPr>
          <t>항상</t>
        </r>
        <r>
          <rPr>
            <sz val="9"/>
            <color indexed="81"/>
            <rFont val="Tahoma"/>
            <family val="2"/>
          </rPr>
          <t xml:space="preserve"> </t>
        </r>
        <r>
          <rPr>
            <sz val="9"/>
            <color indexed="81"/>
            <rFont val="돋움"/>
            <family val="3"/>
            <charset val="129"/>
          </rPr>
          <t>값으로</t>
        </r>
        <r>
          <rPr>
            <sz val="9"/>
            <color indexed="81"/>
            <rFont val="Tahoma"/>
            <family val="2"/>
          </rPr>
          <t xml:space="preserve"> </t>
        </r>
        <r>
          <rPr>
            <sz val="9"/>
            <color indexed="81"/>
            <rFont val="돋움"/>
            <family val="3"/>
            <charset val="129"/>
          </rPr>
          <t>붙여</t>
        </r>
        <r>
          <rPr>
            <sz val="9"/>
            <color indexed="81"/>
            <rFont val="Tahoma"/>
            <family val="2"/>
          </rPr>
          <t xml:space="preserve"> </t>
        </r>
        <r>
          <rPr>
            <sz val="9"/>
            <color indexed="81"/>
            <rFont val="돋움"/>
            <family val="3"/>
            <charset val="129"/>
          </rPr>
          <t>넣음</t>
        </r>
        <r>
          <rPr>
            <sz val="9"/>
            <color indexed="81"/>
            <rFont val="Tahoma"/>
            <family val="2"/>
          </rPr>
          <t>)</t>
        </r>
      </text>
    </comment>
    <comment ref="C167" authorId="1" shapeId="0">
      <text>
        <r>
          <rPr>
            <b/>
            <sz val="9"/>
            <color indexed="81"/>
            <rFont val="Tahoma"/>
            <family val="2"/>
          </rPr>
          <t>Lee, Junho:</t>
        </r>
        <r>
          <rPr>
            <sz val="9"/>
            <color indexed="81"/>
            <rFont val="Tahoma"/>
            <family val="2"/>
          </rPr>
          <t xml:space="preserve">
</t>
        </r>
        <r>
          <rPr>
            <sz val="9"/>
            <color indexed="81"/>
            <rFont val="돋움"/>
            <family val="3"/>
            <charset val="129"/>
          </rPr>
          <t>시트삭제</t>
        </r>
        <r>
          <rPr>
            <sz val="9"/>
            <color indexed="81"/>
            <rFont val="Tahoma"/>
            <family val="2"/>
          </rPr>
          <t xml:space="preserve">, </t>
        </r>
        <r>
          <rPr>
            <sz val="9"/>
            <color indexed="81"/>
            <rFont val="돋움"/>
            <family val="3"/>
            <charset val="129"/>
          </rPr>
          <t>내용삭제시</t>
        </r>
        <r>
          <rPr>
            <sz val="9"/>
            <color indexed="81"/>
            <rFont val="Tahoma"/>
            <family val="2"/>
          </rPr>
          <t xml:space="preserve"> </t>
        </r>
        <r>
          <rPr>
            <sz val="9"/>
            <color indexed="81"/>
            <rFont val="돋움"/>
            <family val="3"/>
            <charset val="129"/>
          </rPr>
          <t>주의</t>
        </r>
        <r>
          <rPr>
            <sz val="9"/>
            <color indexed="81"/>
            <rFont val="Tahoma"/>
            <family val="2"/>
          </rPr>
          <t xml:space="preserve">: </t>
        </r>
        <r>
          <rPr>
            <sz val="9"/>
            <color indexed="81"/>
            <rFont val="돋움"/>
            <family val="3"/>
            <charset val="129"/>
          </rPr>
          <t>해당</t>
        </r>
        <r>
          <rPr>
            <sz val="9"/>
            <color indexed="81"/>
            <rFont val="Tahoma"/>
            <family val="2"/>
          </rPr>
          <t xml:space="preserve"> </t>
        </r>
        <r>
          <rPr>
            <sz val="9"/>
            <color indexed="81"/>
            <rFont val="돋움"/>
            <family val="3"/>
            <charset val="129"/>
          </rPr>
          <t>시트와</t>
        </r>
        <r>
          <rPr>
            <sz val="9"/>
            <color indexed="81"/>
            <rFont val="Tahoma"/>
            <family val="2"/>
          </rPr>
          <t xml:space="preserve"> </t>
        </r>
        <r>
          <rPr>
            <sz val="9"/>
            <color indexed="81"/>
            <rFont val="돋움"/>
            <family val="3"/>
            <charset val="129"/>
          </rPr>
          <t>연동된</t>
        </r>
        <r>
          <rPr>
            <sz val="9"/>
            <color indexed="81"/>
            <rFont val="Tahoma"/>
            <family val="2"/>
          </rPr>
          <t xml:space="preserve"> </t>
        </r>
        <r>
          <rPr>
            <sz val="9"/>
            <color indexed="81"/>
            <rFont val="돋움"/>
            <family val="3"/>
            <charset val="129"/>
          </rPr>
          <t>수식이</t>
        </r>
        <r>
          <rPr>
            <sz val="9"/>
            <color indexed="81"/>
            <rFont val="Tahoma"/>
            <family val="2"/>
          </rPr>
          <t xml:space="preserve"> </t>
        </r>
        <r>
          <rPr>
            <sz val="9"/>
            <color indexed="81"/>
            <rFont val="돋움"/>
            <family val="3"/>
            <charset val="129"/>
          </rPr>
          <t>있는지</t>
        </r>
        <r>
          <rPr>
            <sz val="9"/>
            <color indexed="81"/>
            <rFont val="Tahoma"/>
            <family val="2"/>
          </rPr>
          <t xml:space="preserve"> </t>
        </r>
        <r>
          <rPr>
            <sz val="9"/>
            <color indexed="81"/>
            <rFont val="돋움"/>
            <family val="3"/>
            <charset val="129"/>
          </rPr>
          <t>확인</t>
        </r>
        <r>
          <rPr>
            <sz val="9"/>
            <color indexed="81"/>
            <rFont val="Tahoma"/>
            <family val="2"/>
          </rPr>
          <t xml:space="preserve"> </t>
        </r>
        <r>
          <rPr>
            <sz val="9"/>
            <color indexed="81"/>
            <rFont val="돋움"/>
            <family val="3"/>
            <charset val="129"/>
          </rPr>
          <t>할것</t>
        </r>
        <r>
          <rPr>
            <sz val="9"/>
            <color indexed="81"/>
            <rFont val="Tahoma"/>
            <family val="2"/>
          </rPr>
          <t xml:space="preserve">. </t>
        </r>
      </text>
    </comment>
    <comment ref="D167" authorId="1" shapeId="0">
      <text>
        <r>
          <rPr>
            <b/>
            <sz val="9"/>
            <color indexed="81"/>
            <rFont val="Tahoma"/>
            <family val="2"/>
          </rPr>
          <t>Lee, Junho:</t>
        </r>
        <r>
          <rPr>
            <sz val="9"/>
            <color indexed="81"/>
            <rFont val="Tahoma"/>
            <family val="2"/>
          </rPr>
          <t xml:space="preserve">
</t>
        </r>
        <r>
          <rPr>
            <sz val="9"/>
            <color indexed="81"/>
            <rFont val="돋움"/>
            <family val="3"/>
            <charset val="129"/>
          </rPr>
          <t>내용</t>
        </r>
        <r>
          <rPr>
            <sz val="9"/>
            <color indexed="81"/>
            <rFont val="Tahoma"/>
            <family val="2"/>
          </rPr>
          <t xml:space="preserve"> </t>
        </r>
        <r>
          <rPr>
            <sz val="9"/>
            <color indexed="81"/>
            <rFont val="돋움"/>
            <family val="3"/>
            <charset val="129"/>
          </rPr>
          <t>삭제시에만</t>
        </r>
        <r>
          <rPr>
            <sz val="9"/>
            <color indexed="81"/>
            <rFont val="Tahoma"/>
            <family val="2"/>
          </rPr>
          <t xml:space="preserve"> </t>
        </r>
        <r>
          <rPr>
            <sz val="9"/>
            <color indexed="81"/>
            <rFont val="돋움"/>
            <family val="3"/>
            <charset val="129"/>
          </rPr>
          <t xml:space="preserve">적용
</t>
        </r>
      </text>
    </comment>
    <comment ref="C225" authorId="1" shapeId="0">
      <text>
        <r>
          <rPr>
            <b/>
            <sz val="9"/>
            <color indexed="81"/>
            <rFont val="Tahoma"/>
            <family val="2"/>
          </rPr>
          <t>Lee, Junho:</t>
        </r>
        <r>
          <rPr>
            <sz val="9"/>
            <color indexed="81"/>
            <rFont val="Tahoma"/>
            <family val="2"/>
          </rPr>
          <t xml:space="preserve">
A2:B@</t>
        </r>
        <r>
          <rPr>
            <sz val="9"/>
            <color indexed="81"/>
            <rFont val="돋움"/>
            <family val="3"/>
            <charset val="129"/>
          </rPr>
          <t>마지막
위와</t>
        </r>
        <r>
          <rPr>
            <sz val="9"/>
            <color indexed="81"/>
            <rFont val="Tahoma"/>
            <family val="2"/>
          </rPr>
          <t xml:space="preserve"> </t>
        </r>
        <r>
          <rPr>
            <sz val="9"/>
            <color indexed="81"/>
            <rFont val="돋움"/>
            <family val="3"/>
            <charset val="129"/>
          </rPr>
          <t>같이</t>
        </r>
        <r>
          <rPr>
            <sz val="9"/>
            <color indexed="81"/>
            <rFont val="Tahoma"/>
            <family val="2"/>
          </rPr>
          <t xml:space="preserve"> </t>
        </r>
        <r>
          <rPr>
            <sz val="9"/>
            <color indexed="81"/>
            <rFont val="돋움"/>
            <family val="3"/>
            <charset val="129"/>
          </rPr>
          <t>적용시</t>
        </r>
        <r>
          <rPr>
            <sz val="9"/>
            <color indexed="81"/>
            <rFont val="Tahoma"/>
            <family val="2"/>
          </rPr>
          <t xml:space="preserve"> </t>
        </r>
        <r>
          <rPr>
            <sz val="9"/>
            <color indexed="81"/>
            <rFont val="돋움"/>
            <family val="3"/>
            <charset val="129"/>
          </rPr>
          <t>마지막행을</t>
        </r>
        <r>
          <rPr>
            <sz val="9"/>
            <color indexed="81"/>
            <rFont val="Tahoma"/>
            <family val="2"/>
          </rPr>
          <t xml:space="preserve"> </t>
        </r>
        <r>
          <rPr>
            <sz val="9"/>
            <color indexed="81"/>
            <rFont val="돋움"/>
            <family val="3"/>
            <charset val="129"/>
          </rPr>
          <t>자동으로</t>
        </r>
        <r>
          <rPr>
            <sz val="9"/>
            <color indexed="81"/>
            <rFont val="Tahoma"/>
            <family val="2"/>
          </rPr>
          <t xml:space="preserve"> </t>
        </r>
        <r>
          <rPr>
            <sz val="9"/>
            <color indexed="81"/>
            <rFont val="돋움"/>
            <family val="3"/>
            <charset val="129"/>
          </rPr>
          <t>찾아</t>
        </r>
        <r>
          <rPr>
            <sz val="9"/>
            <color indexed="81"/>
            <rFont val="Tahoma"/>
            <family val="2"/>
          </rPr>
          <t xml:space="preserve"> </t>
        </r>
        <r>
          <rPr>
            <sz val="9"/>
            <color indexed="81"/>
            <rFont val="돋움"/>
            <family val="3"/>
            <charset val="129"/>
          </rPr>
          <t xml:space="preserve">적용
</t>
        </r>
      </text>
    </comment>
    <comment ref="C230" authorId="1" shapeId="0">
      <text>
        <r>
          <rPr>
            <b/>
            <sz val="9"/>
            <color indexed="81"/>
            <rFont val="Tahoma"/>
            <family val="2"/>
          </rPr>
          <t>Lee, Junho:</t>
        </r>
        <r>
          <rPr>
            <sz val="9"/>
            <color indexed="81"/>
            <rFont val="Tahoma"/>
            <family val="2"/>
          </rPr>
          <t xml:space="preserve">
A2:B@</t>
        </r>
        <r>
          <rPr>
            <sz val="9"/>
            <color indexed="81"/>
            <rFont val="돋움"/>
            <family val="3"/>
            <charset val="129"/>
          </rPr>
          <t>마지막
위와</t>
        </r>
        <r>
          <rPr>
            <sz val="9"/>
            <color indexed="81"/>
            <rFont val="Tahoma"/>
            <family val="2"/>
          </rPr>
          <t xml:space="preserve"> </t>
        </r>
        <r>
          <rPr>
            <sz val="9"/>
            <color indexed="81"/>
            <rFont val="돋움"/>
            <family val="3"/>
            <charset val="129"/>
          </rPr>
          <t>같이</t>
        </r>
        <r>
          <rPr>
            <sz val="9"/>
            <color indexed="81"/>
            <rFont val="Tahoma"/>
            <family val="2"/>
          </rPr>
          <t xml:space="preserve"> </t>
        </r>
        <r>
          <rPr>
            <sz val="9"/>
            <color indexed="81"/>
            <rFont val="돋움"/>
            <family val="3"/>
            <charset val="129"/>
          </rPr>
          <t>적용시</t>
        </r>
        <r>
          <rPr>
            <sz val="9"/>
            <color indexed="81"/>
            <rFont val="Tahoma"/>
            <family val="2"/>
          </rPr>
          <t xml:space="preserve"> </t>
        </r>
        <r>
          <rPr>
            <sz val="9"/>
            <color indexed="81"/>
            <rFont val="돋움"/>
            <family val="3"/>
            <charset val="129"/>
          </rPr>
          <t>마지막행을</t>
        </r>
        <r>
          <rPr>
            <sz val="9"/>
            <color indexed="81"/>
            <rFont val="Tahoma"/>
            <family val="2"/>
          </rPr>
          <t xml:space="preserve"> </t>
        </r>
        <r>
          <rPr>
            <sz val="9"/>
            <color indexed="81"/>
            <rFont val="돋움"/>
            <family val="3"/>
            <charset val="129"/>
          </rPr>
          <t>자동으로</t>
        </r>
        <r>
          <rPr>
            <sz val="9"/>
            <color indexed="81"/>
            <rFont val="Tahoma"/>
            <family val="2"/>
          </rPr>
          <t xml:space="preserve"> </t>
        </r>
        <r>
          <rPr>
            <sz val="9"/>
            <color indexed="81"/>
            <rFont val="돋움"/>
            <family val="3"/>
            <charset val="129"/>
          </rPr>
          <t>찾아</t>
        </r>
        <r>
          <rPr>
            <sz val="9"/>
            <color indexed="81"/>
            <rFont val="Tahoma"/>
            <family val="2"/>
          </rPr>
          <t xml:space="preserve"> </t>
        </r>
        <r>
          <rPr>
            <sz val="9"/>
            <color indexed="81"/>
            <rFont val="돋움"/>
            <family val="3"/>
            <charset val="129"/>
          </rPr>
          <t xml:space="preserve">적용
</t>
        </r>
      </text>
    </comment>
    <comment ref="E230" authorId="1" shapeId="0">
      <text>
        <r>
          <rPr>
            <b/>
            <sz val="9"/>
            <color indexed="81"/>
            <rFont val="Tahoma"/>
            <family val="2"/>
          </rPr>
          <t>Lee, Junho:</t>
        </r>
        <r>
          <rPr>
            <sz val="9"/>
            <color indexed="81"/>
            <rFont val="Tahoma"/>
            <family val="2"/>
          </rPr>
          <t xml:space="preserve">
</t>
        </r>
        <r>
          <rPr>
            <sz val="9"/>
            <color indexed="81"/>
            <rFont val="Tahoma"/>
            <family val="2"/>
          </rPr>
          <t>A</t>
        </r>
        <r>
          <rPr>
            <sz val="9"/>
            <color indexed="81"/>
            <rFont val="돋움"/>
            <family val="3"/>
            <charset val="129"/>
          </rPr>
          <t>마지막</t>
        </r>
      </text>
    </comment>
    <comment ref="E260" authorId="1" shapeId="0">
      <text>
        <r>
          <rPr>
            <b/>
            <sz val="9"/>
            <color indexed="81"/>
            <rFont val="Tahoma"/>
            <family val="2"/>
          </rPr>
          <t>Lee, Junho:</t>
        </r>
        <r>
          <rPr>
            <sz val="9"/>
            <color indexed="81"/>
            <rFont val="Tahoma"/>
            <family val="2"/>
          </rPr>
          <t xml:space="preserve">
</t>
        </r>
        <r>
          <rPr>
            <sz val="9"/>
            <color indexed="81"/>
            <rFont val="돋움"/>
            <family val="3"/>
            <charset val="129"/>
          </rPr>
          <t>시트이름과</t>
        </r>
        <r>
          <rPr>
            <sz val="9"/>
            <color indexed="81"/>
            <rFont val="Tahoma"/>
            <family val="2"/>
          </rPr>
          <t xml:space="preserve"> </t>
        </r>
        <r>
          <rPr>
            <sz val="9"/>
            <color indexed="81"/>
            <rFont val="돋움"/>
            <family val="3"/>
            <charset val="129"/>
          </rPr>
          <t>동일하게</t>
        </r>
        <r>
          <rPr>
            <sz val="9"/>
            <color indexed="81"/>
            <rFont val="Tahoma"/>
            <family val="2"/>
          </rPr>
          <t xml:space="preserve"> </t>
        </r>
        <r>
          <rPr>
            <sz val="9"/>
            <color indexed="81"/>
            <rFont val="돋움"/>
            <family val="3"/>
            <charset val="129"/>
          </rPr>
          <t>할경우</t>
        </r>
        <r>
          <rPr>
            <sz val="9"/>
            <color indexed="81"/>
            <rFont val="Tahoma"/>
            <family val="2"/>
          </rPr>
          <t xml:space="preserve"> </t>
        </r>
        <r>
          <rPr>
            <sz val="9"/>
            <color indexed="81"/>
            <rFont val="Tahoma"/>
            <family val="2"/>
          </rPr>
          <t xml:space="preserve"> </t>
        </r>
        <r>
          <rPr>
            <sz val="9"/>
            <color indexed="81"/>
            <rFont val="돋움"/>
            <family val="3"/>
            <charset val="129"/>
          </rPr>
          <t>공백으로</t>
        </r>
        <r>
          <rPr>
            <sz val="9"/>
            <color indexed="81"/>
            <rFont val="Tahoma"/>
            <family val="2"/>
          </rPr>
          <t xml:space="preserve"> </t>
        </r>
        <r>
          <rPr>
            <sz val="9"/>
            <color indexed="81"/>
            <rFont val="돋움"/>
            <family val="3"/>
            <charset val="129"/>
          </rPr>
          <t>처리</t>
        </r>
      </text>
    </comment>
  </commentList>
</comments>
</file>

<file path=xl/sharedStrings.xml><?xml version="1.0" encoding="utf-8"?>
<sst xmlns="http://schemas.openxmlformats.org/spreadsheetml/2006/main" count="18582" uniqueCount="7491">
  <si>
    <t>REAL</t>
  </si>
  <si>
    <t>Internet Down Load 자료 + 일부 추가</t>
    <phoneticPr fontId="7" type="noConversion"/>
  </si>
  <si>
    <t>중요도</t>
    <phoneticPr fontId="7" type="noConversion"/>
  </si>
  <si>
    <t>함수 범주</t>
    <phoneticPr fontId="7" type="noConversion"/>
  </si>
  <si>
    <t>함수 이름</t>
    <phoneticPr fontId="7" type="noConversion"/>
  </si>
  <si>
    <t>함수 구문</t>
    <phoneticPr fontId="7" type="noConversion"/>
  </si>
  <si>
    <t>함수 설명</t>
    <phoneticPr fontId="7" type="noConversion"/>
  </si>
  <si>
    <t>Remark</t>
    <phoneticPr fontId="7" type="noConversion"/>
  </si>
  <si>
    <t>A등급</t>
  </si>
  <si>
    <t>수학 및 삼각법 함수</t>
  </si>
  <si>
    <t>ABS</t>
  </si>
  <si>
    <t>ABS(number)</t>
  </si>
  <si>
    <t>숫자의 절대값 구하기</t>
  </si>
  <si>
    <t>논리 함수</t>
  </si>
  <si>
    <t>AND</t>
  </si>
  <si>
    <t>AND(logical1,logical2,...)</t>
  </si>
  <si>
    <t>인수가 모두 TRUE일 때 TRUE가 반환</t>
  </si>
  <si>
    <t>통계 함수</t>
  </si>
  <si>
    <t>AVERAGE</t>
  </si>
  <si>
    <t>AVERAGE(number1,number2,...)</t>
  </si>
  <si>
    <t>인수들의 평균 구하기</t>
  </si>
  <si>
    <t>AVERAGEA</t>
  </si>
  <si>
    <t>AVERAGEA(value1,value2,...)</t>
  </si>
  <si>
    <t>숫자, 텍스트, 논리값 등 인수들의 평균 구하기</t>
  </si>
  <si>
    <t>COUNT</t>
  </si>
  <si>
    <t>COUNTIF(range,criteria)</t>
  </si>
  <si>
    <t>인수 목록에서 숫자의 개수 구하기</t>
  </si>
  <si>
    <t>COUNTA</t>
  </si>
  <si>
    <t>COUNTA(value1,value2,...)</t>
  </si>
  <si>
    <t>인수 목록에서 값의 개수 구하기</t>
  </si>
  <si>
    <t>날짜 및 시간 함수</t>
  </si>
  <si>
    <t>DATE</t>
  </si>
  <si>
    <t>DATE(year,month,day)</t>
  </si>
  <si>
    <t>특정 날짜의 일련 번호 구하기</t>
  </si>
  <si>
    <t>DATEVALUE</t>
  </si>
  <si>
    <t>DATEVALUE(date_text)</t>
  </si>
  <si>
    <t>텍스트 형식의 날짜를 일련 번호로 변환</t>
  </si>
  <si>
    <t>DAY</t>
  </si>
  <si>
    <t>DAY(serial_number)</t>
  </si>
  <si>
    <t>일련 번호를 해당 날짜를 나타내는 일로 변환</t>
  </si>
  <si>
    <t>HOUR</t>
  </si>
  <si>
    <t>HOUR(serial_number)</t>
  </si>
  <si>
    <t>일련 번호를 시간으로 변환</t>
  </si>
  <si>
    <t>IF</t>
  </si>
  <si>
    <t>IF(logical_test,value_if_true,value_if_false)</t>
  </si>
  <si>
    <t>수행할 논리 검사를 지정</t>
  </si>
  <si>
    <t>MAX</t>
  </si>
  <si>
    <t>MAX(number1,number2,...)</t>
  </si>
  <si>
    <t>인수 목록에서 최대값 구하기</t>
  </si>
  <si>
    <t>MAXA</t>
  </si>
  <si>
    <t>MAXA(value1,value2,...)</t>
  </si>
  <si>
    <t>숫자·텍스트·논리값 등 인수 목록에서 최대값 구하기</t>
  </si>
  <si>
    <t>MIN</t>
  </si>
  <si>
    <t>MINUTE(serial_number)</t>
  </si>
  <si>
    <t>인수 목록에서 최소값 구하기</t>
  </si>
  <si>
    <t>MINA</t>
  </si>
  <si>
    <t>MINA(value1,value2,...)</t>
  </si>
  <si>
    <t>숫자·텍스트·논리값 등 인수 목록에서 최소값 구하기</t>
  </si>
  <si>
    <t>MINUTE</t>
  </si>
  <si>
    <t>일련 번호를 분으로 변환</t>
  </si>
  <si>
    <t>MOD</t>
  </si>
  <si>
    <t>MOD(number,divisor)</t>
  </si>
  <si>
    <t>나누기의 나머지 구하기</t>
  </si>
  <si>
    <t>MONTH</t>
  </si>
  <si>
    <t>MONTH(serial_number)</t>
  </si>
  <si>
    <t>일련 번호를 월로 변환</t>
  </si>
  <si>
    <t>NOT</t>
  </si>
  <si>
    <t>NOT(logical)</t>
  </si>
  <si>
    <t>인수의 논리 역 구하기</t>
  </si>
  <si>
    <t>NOW</t>
  </si>
  <si>
    <t>NOW()</t>
  </si>
  <si>
    <t>현재 날짜와 시간의 일련 번호 구하기</t>
  </si>
  <si>
    <t>OR</t>
  </si>
  <si>
    <t>OR(logical1,logical2,...)</t>
  </si>
  <si>
    <t>인수 중 어느 하나라도 TRUE이면 TRUE가 반환</t>
  </si>
  <si>
    <t>PI</t>
  </si>
  <si>
    <t>PI()</t>
  </si>
  <si>
    <t>pi 값 구하기</t>
  </si>
  <si>
    <t>PRODUCT</t>
  </si>
  <si>
    <t>PRODUCT(number1,number2,...)</t>
  </si>
  <si>
    <t>인수들의 곱 구하기</t>
  </si>
  <si>
    <t>RANK</t>
  </si>
  <si>
    <t>RANK(number,ref,order)</t>
  </si>
  <si>
    <t>수 목록에서 지정한 수의 크기 순위 구하기</t>
  </si>
  <si>
    <t>ROUND</t>
  </si>
  <si>
    <t>ROUND(number,num_digits)</t>
  </si>
  <si>
    <t>숫자를 지정한 자릿수로 반올림</t>
  </si>
  <si>
    <t>ROUNDDOWN</t>
  </si>
  <si>
    <t>ROUNDDOWN(number,num_digits)</t>
  </si>
  <si>
    <t>0에 가까운 숫자로 내림된 숫자 구하기</t>
  </si>
  <si>
    <t>ROUNDUP</t>
  </si>
  <si>
    <t>ROUNDUP(number,num_digits)</t>
  </si>
  <si>
    <t>0에서 먼쪽으로 올림된 숫자 구하기</t>
  </si>
  <si>
    <t>SECOND</t>
  </si>
  <si>
    <t>SECOND(serial_number)</t>
  </si>
  <si>
    <t>일련 번호를 초로 변환</t>
  </si>
  <si>
    <t>SUM</t>
  </si>
  <si>
    <t>SUM(number1,number2,...)</t>
  </si>
  <si>
    <t>인수들의 합 구하기</t>
  </si>
  <si>
    <t>SUMIFS</t>
    <phoneticPr fontId="7" type="noConversion"/>
  </si>
  <si>
    <t>SUMIF(sum_range,range,criteria,range,criteria,range,criteria...)</t>
    <phoneticPr fontId="7" type="noConversion"/>
  </si>
  <si>
    <t>주어진 조건으로 지정된 셀들의 합 구하기</t>
  </si>
  <si>
    <t>JHLEE</t>
    <phoneticPr fontId="7" type="noConversion"/>
  </si>
  <si>
    <t>SUMIF</t>
  </si>
  <si>
    <t>SUMIF(range,criteria,sum_range)</t>
  </si>
  <si>
    <t>SUMIFS로 대체할것</t>
    <phoneticPr fontId="7" type="noConversion"/>
  </si>
  <si>
    <t>텍스트 및 데이터 함수</t>
  </si>
  <si>
    <t>TEXT</t>
  </si>
  <si>
    <t>TEXT(value,format_text)</t>
  </si>
  <si>
    <t>숫자에 서식을 지정하고 텍스트로 변환</t>
  </si>
  <si>
    <t>TIME</t>
  </si>
  <si>
    <t>TIME(hour,minute,second)</t>
  </si>
  <si>
    <t>특정 시간의 일련 번호 구하기</t>
  </si>
  <si>
    <t>TIMEVALUE</t>
  </si>
  <si>
    <t>TIMEVALUE(time_text)</t>
  </si>
  <si>
    <t>텍스트 형식의 시간을 일련 번호로 변환</t>
  </si>
  <si>
    <t>TODAY</t>
  </si>
  <si>
    <t>TODAY()</t>
  </si>
  <si>
    <t>오늘 날짜의 일련 번호 구하기</t>
  </si>
  <si>
    <t>TRIM</t>
  </si>
  <si>
    <t>TRIM(text)</t>
  </si>
  <si>
    <t>텍스트에서 공백을 제거</t>
  </si>
  <si>
    <t>TRUNC</t>
  </si>
  <si>
    <t>TRUNC(number,num_digits)</t>
  </si>
  <si>
    <t>숫자의 소수점 이하를 버리고 정수로 변환</t>
  </si>
  <si>
    <t>VALUE</t>
  </si>
  <si>
    <t>VALUE(text)</t>
  </si>
  <si>
    <t>텍스트 인수를 숫자로 변환</t>
  </si>
  <si>
    <t>YEAR</t>
  </si>
  <si>
    <t>YEAR(serial_number)</t>
  </si>
  <si>
    <t>일련 번호를 연으로 변환</t>
  </si>
  <si>
    <t>FALSE()</t>
  </si>
  <si>
    <t>논리값 FALSE가 반환</t>
  </si>
  <si>
    <t>TRUE()</t>
  </si>
  <si>
    <t>논리값 TRUE를 반환</t>
  </si>
  <si>
    <t>B등급</t>
  </si>
  <si>
    <t>조회 및 참조 함수</t>
  </si>
  <si>
    <t>ADDRESS</t>
  </si>
  <si>
    <t>ADDRESS(row_num,column_num,abs_num,a1,sheet_text)</t>
  </si>
  <si>
    <t>참조를 워크시트의 한 셀에 대한 텍스트 구하기</t>
  </si>
  <si>
    <t>AREAS</t>
  </si>
  <si>
    <t>AREAS(reference)</t>
  </si>
  <si>
    <t>참조의 영역 수 구하기</t>
  </si>
  <si>
    <t>CEILING</t>
  </si>
  <si>
    <t>CEILING(number,significance)</t>
  </si>
  <si>
    <t>가장 가까운 정수나 significance의 배수로 올림된 수 구하기</t>
  </si>
  <si>
    <t>정보 함수</t>
  </si>
  <si>
    <t>CELL</t>
  </si>
  <si>
    <t>CELL(info_type,reference)</t>
  </si>
  <si>
    <t>셀의 서식 지정이나 위치, 내용 등에 대한 정보 구하기</t>
  </si>
  <si>
    <t>CHOOSE</t>
  </si>
  <si>
    <t>CHOOSE(index_num,value1,value2,...)</t>
  </si>
  <si>
    <t>값 목록에서 값을 선택</t>
  </si>
  <si>
    <t>COLUMN</t>
  </si>
  <si>
    <t>COLUMN(reference)</t>
  </si>
  <si>
    <t>참조의 열 번호 구하기</t>
  </si>
  <si>
    <t>COLUMNS</t>
  </si>
  <si>
    <t>COLUMNS(array)</t>
  </si>
  <si>
    <t>참조의 열 개수 구하기</t>
  </si>
  <si>
    <t>COUNTBLANK</t>
  </si>
  <si>
    <t>COUNTBLANK(range)</t>
  </si>
  <si>
    <t>범위 중에서 빈 셀의 개수 구하기</t>
  </si>
  <si>
    <t>COUNTIF</t>
  </si>
  <si>
    <t>범위에서 주어진 조건에 맞는 공백이 아닌 셀의 개수 구하기</t>
  </si>
  <si>
    <t>데이터베이스 함수</t>
  </si>
  <si>
    <t>DAVERAGE</t>
  </si>
  <si>
    <t>DAVERAGE(database,field,criteria)</t>
  </si>
  <si>
    <t>선택한 데이터베이스 항목들의 평균 구하기</t>
  </si>
  <si>
    <t>DCOUNT</t>
  </si>
  <si>
    <t>DCOUNT(database,field,criteria)</t>
  </si>
  <si>
    <t>데이터베이스에서 숫자가 들어 있는 셀의 개수 구하기</t>
  </si>
  <si>
    <t>DCOUNTA</t>
  </si>
  <si>
    <t>DCOUNTA(database,field,criteria)</t>
  </si>
  <si>
    <t>데이터베이스에서 공백이 아닌 셀의 개수 구하기</t>
  </si>
  <si>
    <t>공학 함수</t>
  </si>
  <si>
    <t>DELTA</t>
  </si>
  <si>
    <t>DELTA(number1,number2)</t>
  </si>
  <si>
    <t>두 값이 동일한지 여부를 검사</t>
  </si>
  <si>
    <t>DGET</t>
  </si>
  <si>
    <t>DGET(database,field,criteria)</t>
  </si>
  <si>
    <t>데이터베이스에서 지정한 조건에 맞는 레코드 한 개를 추출</t>
  </si>
  <si>
    <t>DMAX</t>
  </si>
  <si>
    <t>DMAX(database,field,criteria)</t>
  </si>
  <si>
    <t>선택한 데이터베이스 항목들 중에서 최대값 구하기</t>
  </si>
  <si>
    <t>DMIN</t>
  </si>
  <si>
    <t>DMIN(database,field,criteria)</t>
  </si>
  <si>
    <t>선택한 데이터베이스 항목들 중에서 최소값 구하기</t>
  </si>
  <si>
    <t>DPRODUCT</t>
  </si>
  <si>
    <t>DPRODUCT(database,field,criteria)</t>
  </si>
  <si>
    <t>데이터베이스에서 조건에 맞는 레코드들의 특정 필드 값을 곱하기</t>
  </si>
  <si>
    <t>DSUM</t>
  </si>
  <si>
    <t>DSUM(database,field,criteria)</t>
  </si>
  <si>
    <t>데이터베이스에서 조건에 맞는 레코드의 필드 열에 있는 숫자들을 더하기</t>
  </si>
  <si>
    <t>EDATE</t>
  </si>
  <si>
    <t>EDATE(start_date,months)</t>
  </si>
  <si>
    <t>시작일로부터 지정한 달 수 전이나 후의 날짜에 대한 일련 번호 구하기</t>
  </si>
  <si>
    <t>EOMONTH</t>
  </si>
  <si>
    <t>EOMONTH(start_date,months)</t>
  </si>
  <si>
    <t>지정한 달 수 전이나 후의 해당 월의 마지막 날짜에 대한 일련 번호 구하기</t>
  </si>
  <si>
    <t>EVEN</t>
  </si>
  <si>
    <t>EVEN(number)</t>
  </si>
  <si>
    <t>가장 가까운 짝수로 올림된 숫자 구하기</t>
  </si>
  <si>
    <t>EXACT</t>
  </si>
  <si>
    <t>EXACT(text1,text2)</t>
  </si>
  <si>
    <t>두 개의 텍스트 값이 동일한지 여부를 확인</t>
  </si>
  <si>
    <t>FIND</t>
  </si>
  <si>
    <t>FIND(find_text,within_text,start_num)</t>
  </si>
  <si>
    <t>텍스트 값에서 다른 텍스트 값 찾기(대소문자 구분)</t>
  </si>
  <si>
    <t>FINDB</t>
  </si>
  <si>
    <t>FINDB(find_text,within_text,start_num)</t>
  </si>
  <si>
    <t>FIXED</t>
  </si>
  <si>
    <t>FIXED(number,decimals,no_commas)</t>
  </si>
  <si>
    <t>고정 자릿수의 텍스트로 숫자의 서식 지정</t>
  </si>
  <si>
    <t>FLOOR</t>
  </si>
  <si>
    <t>FLOOR(number,significance)</t>
  </si>
  <si>
    <t>숫자를 0에 가까운 수로 내림된 값 구하기</t>
  </si>
  <si>
    <t>HLOOKUP</t>
  </si>
  <si>
    <t>HLOOKUP(lookup_value,table_array,row_index_num,range_lookup)</t>
  </si>
  <si>
    <t>배열의 첫 행을 찾아 표시된 셀의 값 구하기</t>
  </si>
  <si>
    <t>INDEX</t>
  </si>
  <si>
    <t>INDEX(array,row_num,column_num)</t>
  </si>
  <si>
    <t>인덱스를 사용하여 참조나 배열의 값을 선택</t>
  </si>
  <si>
    <t>INDIRECT</t>
  </si>
  <si>
    <t>INDIRECT(ref_text,a1)</t>
  </si>
  <si>
    <t>텍스트 값으로 표시된 참조 구하기</t>
  </si>
  <si>
    <t>INFO</t>
  </si>
  <si>
    <t>INFO(type_text)</t>
  </si>
  <si>
    <t>현재 운영 환경에 대한 정보 구하기</t>
  </si>
  <si>
    <t>INT</t>
  </si>
  <si>
    <t>INT(number)</t>
  </si>
  <si>
    <t>가장 가까운 정수로 내림된 숫자 구하기</t>
  </si>
  <si>
    <t>ISBLANK</t>
  </si>
  <si>
    <t>ISBLANK(value)</t>
  </si>
  <si>
    <t>값이 비어 있으면 TRUE가 반환</t>
  </si>
  <si>
    <t>ISERR</t>
  </si>
  <si>
    <t>ISERR(value)</t>
  </si>
  <si>
    <t>#N/A를 제외한 오류 값의 경우 TRUE가 반환</t>
  </si>
  <si>
    <t>IFERROR</t>
    <phoneticPr fontId="7" type="noConversion"/>
  </si>
  <si>
    <t>IFERROR(value,value)</t>
    <phoneticPr fontId="7" type="noConversion"/>
  </si>
  <si>
    <t>오류가 없을경우 해당값, 오류가 있을경우 다른값 반환</t>
    <phoneticPr fontId="7" type="noConversion"/>
  </si>
  <si>
    <t>JHLEE</t>
    <phoneticPr fontId="7" type="noConversion"/>
  </si>
  <si>
    <t>ISERROR</t>
  </si>
  <si>
    <t>ISERROR(value)</t>
  </si>
  <si>
    <t>오류 값의 경우 TRUE가 반환</t>
  </si>
  <si>
    <t>IF문과 조합하여 사용</t>
    <phoneticPr fontId="7" type="noConversion"/>
  </si>
  <si>
    <t>ISEVEN</t>
  </si>
  <si>
    <t>ISEVEN(number)</t>
  </si>
  <si>
    <t>숫자가 짝수이면 TRUE가 반환</t>
  </si>
  <si>
    <t>ISLOGICAL</t>
  </si>
  <si>
    <t>ISLOGICAL(value)</t>
  </si>
  <si>
    <t>논리값의 경우 TRUE가 반환</t>
  </si>
  <si>
    <t>ISNA</t>
  </si>
  <si>
    <t>ISNA(value)</t>
  </si>
  <si>
    <t>#N/A 오류 값의 경우 TRUE가 반환</t>
  </si>
  <si>
    <t>ISNONTEXT</t>
  </si>
  <si>
    <t>ISNONTEXT(value)</t>
  </si>
  <si>
    <t>값이 텍스트가 아니면 TRUE가 반환</t>
  </si>
  <si>
    <t>ISNUMBER</t>
  </si>
  <si>
    <t>ISNUMBER(value)</t>
  </si>
  <si>
    <t>값이 숫자이면 TRUE가 반환</t>
  </si>
  <si>
    <t>ISODD</t>
  </si>
  <si>
    <t>ISODD(number)</t>
  </si>
  <si>
    <t>숫자가 홀수이면 TRUE가 반환</t>
  </si>
  <si>
    <t>ISREF</t>
  </si>
  <si>
    <t>ISREF(value)</t>
  </si>
  <si>
    <t>값이 참조이면 TRUE가 반환</t>
  </si>
  <si>
    <t>ISTEXT</t>
  </si>
  <si>
    <t>ISTEXT(value)</t>
  </si>
  <si>
    <t>값이 텍스트이면 TRUE가 반환</t>
  </si>
  <si>
    <t>LARGE</t>
  </si>
  <si>
    <t>LARGE(array,k)</t>
  </si>
  <si>
    <t>데이터 집합에서 k번째로 큰 값 구하기</t>
  </si>
  <si>
    <t>LEFT</t>
  </si>
  <si>
    <t>LEFT(text,num_chars)</t>
  </si>
  <si>
    <t>텍스트 값에서 가장 왼쪽의 문자 구하기</t>
  </si>
  <si>
    <t>LEFTB</t>
  </si>
  <si>
    <t>LEFTB(text,num_bytes)</t>
  </si>
  <si>
    <t>LEN</t>
  </si>
  <si>
    <t>LEN(text)</t>
  </si>
  <si>
    <t>텍스트의 문자 수 구하기</t>
  </si>
  <si>
    <t>LENB</t>
  </si>
  <si>
    <t>LENB(text)</t>
  </si>
  <si>
    <t>LOWER</t>
  </si>
  <si>
    <t>LOWER(text)</t>
  </si>
  <si>
    <t>텍스트를 소문자로 변환</t>
  </si>
  <si>
    <t>MATCH</t>
  </si>
  <si>
    <t>MATCH(lookup_value,lookup_array,match_type)</t>
  </si>
  <si>
    <t>참조나 배열에서 값 찾기</t>
  </si>
  <si>
    <t>MEDIAN</t>
  </si>
  <si>
    <t>MEDIAN(number1,number2,...)</t>
  </si>
  <si>
    <t>주어진 숫자들의 중간값 구하기</t>
  </si>
  <si>
    <t>MID</t>
  </si>
  <si>
    <t>MID(text,start_num,num_chars)</t>
  </si>
  <si>
    <t>텍스트에서 지정한 위치로부터 지정한 개수의 문자를 표시</t>
  </si>
  <si>
    <t>MIDB</t>
  </si>
  <si>
    <t>MIDB(text,start_num,num_bytes)</t>
  </si>
  <si>
    <t>MODE</t>
  </si>
  <si>
    <t>MODE(number1,number2,...)</t>
  </si>
  <si>
    <t>데이터 집합에서 가장 많이 나오는 값 구하기</t>
  </si>
  <si>
    <t>MROUND</t>
  </si>
  <si>
    <t>MROUND(number,multiple)</t>
  </si>
  <si>
    <t>원하는 배수로 반올림된 숫자 구하기</t>
  </si>
  <si>
    <t>NA</t>
  </si>
  <si>
    <t>NA()</t>
  </si>
  <si>
    <t>오류 값 #N/A 구하기</t>
  </si>
  <si>
    <t>ODD</t>
  </si>
  <si>
    <t>ODD(number)</t>
  </si>
  <si>
    <t>가장 가까운 홀수로 올림된 숫자 구하기</t>
  </si>
  <si>
    <t>OFFSET</t>
  </si>
  <si>
    <t>OFFSET(reference,rows,cols,height,width)</t>
  </si>
  <si>
    <t>주어진 참조로부터 떨어진 위치의 참조 구하기</t>
  </si>
  <si>
    <t>POWER</t>
  </si>
  <si>
    <t>POWER(number,power)</t>
  </si>
  <si>
    <t>밑수를 지정한 만큼 거듭제곱한 결과 구하기</t>
  </si>
  <si>
    <t>QUOTIENT</t>
  </si>
  <si>
    <t>QUOTIENT(numerator,denominator)</t>
  </si>
  <si>
    <t>나눗셈의 정수 부분 구하기</t>
  </si>
  <si>
    <t>RAND</t>
  </si>
  <si>
    <t>RAND()</t>
  </si>
  <si>
    <t>0과 1 사이의 난수 구하기</t>
  </si>
  <si>
    <t>RANDBETWEEN</t>
  </si>
  <si>
    <t>RANDBETWEEN(bottom,top)</t>
  </si>
  <si>
    <t>지정한 두 숫자 사이의 난수 구하기</t>
  </si>
  <si>
    <t>REPLACE</t>
  </si>
  <si>
    <t>REPLACE(old_text,start_num,num_chars,new_text)</t>
  </si>
  <si>
    <t>텍스트의 일부를 다른 내용으로 바꾸기</t>
  </si>
  <si>
    <t>REPLACEB</t>
  </si>
  <si>
    <t>REPLACEB(old_text,start_num,num_bytes,new_text)</t>
  </si>
  <si>
    <t>REPT</t>
  </si>
  <si>
    <t>REPT(text,number_times)</t>
  </si>
  <si>
    <t>텍스트를 주어진 횟수만큼 반복</t>
  </si>
  <si>
    <t>RIGHT</t>
  </si>
  <si>
    <t>RIGHT(text,num_chars)</t>
  </si>
  <si>
    <t>텍스트 값에서 가장 오른쪽에 있는 문자를 지정한 만큼 구하기</t>
  </si>
  <si>
    <t>RIGHTB</t>
  </si>
  <si>
    <t>RIGHTB(text,num_bytes)</t>
  </si>
  <si>
    <t>ROW</t>
  </si>
  <si>
    <t>ROW(reference)</t>
  </si>
  <si>
    <t>참조의 행 번호 구하기</t>
  </si>
  <si>
    <t>ROWS</t>
  </si>
  <si>
    <t>ROWS(array)</t>
  </si>
  <si>
    <t>참조의 행 개수 구하기</t>
  </si>
  <si>
    <t>SEARCH</t>
  </si>
  <si>
    <t>SEARCH(find_text,within_text,start_num)</t>
  </si>
  <si>
    <t>텍스트 값에서 다른 텍스트 찾기(대소문자 구분 안 함)</t>
  </si>
  <si>
    <t>SEARCHB</t>
  </si>
  <si>
    <t>SEARCHB(find_text,within_text,start_num)</t>
  </si>
  <si>
    <t>SMALL</t>
  </si>
  <si>
    <t>SMALL(array,k)</t>
  </si>
  <si>
    <t>데이터 집합에서 k번째로 작은 값 구하기</t>
  </si>
  <si>
    <t>SQRT</t>
  </si>
  <si>
    <t>SQRT(number)</t>
  </si>
  <si>
    <t>양의 제곱근 구하기</t>
  </si>
  <si>
    <t>SUBSTITUTE</t>
  </si>
  <si>
    <t>SUBSTITUTE(text,old_text,new_text,instance_num)</t>
  </si>
  <si>
    <t>텍스트 문자열에서 이전 텍스트를 새 텍스트로 바꾸기</t>
  </si>
  <si>
    <t>SUBTOTAL</t>
  </si>
  <si>
    <t>SUBTOTAL(function_num,ref1,ref2,...)</t>
  </si>
  <si>
    <t>목록이나 데이터베이스에서 부분합 구하기</t>
  </si>
  <si>
    <t>SUMPRODUCT</t>
  </si>
  <si>
    <t>SUMPRODUCT(array1,array2,array3,...)</t>
  </si>
  <si>
    <t>해당 배열 구성 요소의 곱을 합한 값 구하기</t>
  </si>
  <si>
    <t>SUMSQ</t>
  </si>
  <si>
    <t>SUMSQ(number1,number2,...)</t>
  </si>
  <si>
    <t>인수들의 제곱을 합한 값 구하기</t>
  </si>
  <si>
    <t>SUMX2MY2</t>
  </si>
  <si>
    <t>SUMX2MY2(array_x,array_y)</t>
  </si>
  <si>
    <t>두 배열에서 대응하는 값 제곱의 차를 합한 값 구하기</t>
  </si>
  <si>
    <t>SUMX2PY2</t>
  </si>
  <si>
    <t>SUMX2PY2(array_x,array_y)</t>
  </si>
  <si>
    <t>두 배열에서 대응하는 값 제곱의 합을 합한 값 구하기</t>
  </si>
  <si>
    <t>SUMXMY2</t>
  </si>
  <si>
    <t>SUMXMY2(array_x,array_y)</t>
  </si>
  <si>
    <t>두 배열에서 대응하는 값 간의 차를 제곱한 합계 구하기</t>
  </si>
  <si>
    <t>UPPER</t>
  </si>
  <si>
    <t>UPPER(text)</t>
  </si>
  <si>
    <t>텍스트를 대문자로 변환</t>
  </si>
  <si>
    <t>WEEKDAY</t>
  </si>
  <si>
    <t>WEEKDAY(serial_number,return_type)</t>
  </si>
  <si>
    <t>일련 번호를 요일로 변환</t>
  </si>
  <si>
    <t>WEEKNUM</t>
  </si>
  <si>
    <t>WEEKNUM(serial_num,return_type)</t>
  </si>
  <si>
    <t>일련 번호가 1년 중 몇째 주인가를 나타내는 숫자로 변환</t>
  </si>
  <si>
    <t>WON</t>
  </si>
  <si>
    <t>WON(number,decimals)</t>
  </si>
  <si>
    <t>(원) 통화 형식을 사용하여 숫자를 텍스트로 변환</t>
  </si>
  <si>
    <t>WORKDAY</t>
  </si>
  <si>
    <t>WORKDAY(start_date,days,holidays)</t>
  </si>
  <si>
    <t>지정한 작업일 수 전이나 후의 날짜에 대한 일련 번호 구하기</t>
  </si>
  <si>
    <t>C등급</t>
  </si>
  <si>
    <t>ACOS</t>
  </si>
  <si>
    <t>ACOS(number)</t>
  </si>
  <si>
    <t>숫자의 아크코사인값 구하기</t>
  </si>
  <si>
    <t>ACOSH</t>
  </si>
  <si>
    <t>ACOSH(number)</t>
  </si>
  <si>
    <t>숫자의 하이퍼볼릭 코사인값 구하기</t>
  </si>
  <si>
    <t>ASIN</t>
  </si>
  <si>
    <t>ASIN(number)</t>
  </si>
  <si>
    <t>숫자의 아크사인값 구하기</t>
  </si>
  <si>
    <t>ASINH</t>
  </si>
  <si>
    <t>ASINH(number)</t>
  </si>
  <si>
    <t>숫자의 역 하이퍼볼릭 사인값 구하기</t>
  </si>
  <si>
    <t>ATAN</t>
  </si>
  <si>
    <t>ATAN(number)</t>
  </si>
  <si>
    <t>숫자의 아크탄젠트값 구하기</t>
  </si>
  <si>
    <t>ATAN2</t>
  </si>
  <si>
    <t>ATAN2(x_num,y_num)</t>
  </si>
  <si>
    <t>x, y 좌표의 아크탄젠트값 구하기</t>
  </si>
  <si>
    <t>ATANH</t>
  </si>
  <si>
    <t>ATANH(number)</t>
  </si>
  <si>
    <t>숫자의 역 하이퍼볼릭 탄젠트 구하기</t>
  </si>
  <si>
    <t>AVEDEV</t>
  </si>
  <si>
    <t>AVEDEV(number1,number2,...)</t>
  </si>
  <si>
    <t>데이터 요소 평균으로부터 절대 편차의 평균 구하기</t>
  </si>
  <si>
    <t>COMBIN</t>
  </si>
  <si>
    <t>COMBIN(number,number_chosen)</t>
  </si>
  <si>
    <t>주어진 수의 개체로 만들 수 있는 조합 수 구하기</t>
  </si>
  <si>
    <t>CONCATENATE</t>
  </si>
  <si>
    <t>CONCATENATE(text1,text2,...)</t>
  </si>
  <si>
    <t>몇 가지 텍스트 항목을 한 개의 텍스트 항목으로 결합</t>
  </si>
  <si>
    <t>CONVERT</t>
  </si>
  <si>
    <t>CONVERT(number,from_unit,to_unit)</t>
  </si>
  <si>
    <t>현재 단위의 숫자를 다른 단위로 변환</t>
  </si>
  <si>
    <t>COS</t>
  </si>
  <si>
    <t>COS(number)</t>
  </si>
  <si>
    <t>숫자의 코사인값 구하기</t>
  </si>
  <si>
    <t>COSH</t>
  </si>
  <si>
    <t>COSH(number)</t>
  </si>
  <si>
    <t>DAYS360</t>
  </si>
  <si>
    <t>DAYS360(start_date,end_date,method)</t>
  </si>
  <si>
    <t>1년을 360일로 하여 두 날짜 사이의 날짜 수를 계산</t>
  </si>
  <si>
    <t>DEGREES</t>
  </si>
  <si>
    <t>DEGREES(angle)</t>
  </si>
  <si>
    <t>라디안 각도를 도 단위로 변환</t>
  </si>
  <si>
    <t>재무 함수</t>
  </si>
  <si>
    <t>DOLLARDE</t>
  </si>
  <si>
    <t>DOLLARDE(fractional_dollar,fraction)</t>
  </si>
  <si>
    <t>분수로 표시된 금액을 소수로 표시된 금액으로 변환</t>
  </si>
  <si>
    <t>DOLLARFR</t>
  </si>
  <si>
    <t>DOLLARFR(decimal_dollar,fraction)</t>
  </si>
  <si>
    <t>소수로 표시된 금액을 분수로 표시된 금액으로 변환</t>
  </si>
  <si>
    <t>DSTDEV</t>
  </si>
  <si>
    <t>DSTDEV(database,field,criteria)</t>
  </si>
  <si>
    <t>선택한 데이터베이스 항목들의 표본을 기준으로 표준 편차의 예상값 구하기</t>
  </si>
  <si>
    <t>DSTDEVP</t>
  </si>
  <si>
    <t>DSTDEVP(database,field,criteria)</t>
  </si>
  <si>
    <t>선택한 데이터베이스 항목들의 전체 모집단을 기준으로 표준 편차 계산</t>
  </si>
  <si>
    <t>DVAR</t>
  </si>
  <si>
    <t>DVAR(database,field,criteria)</t>
  </si>
  <si>
    <t>선택한 데이터베이스 항목들의 표본을 기준으로 분산의 예상값 구하기</t>
  </si>
  <si>
    <t>DVARP</t>
  </si>
  <si>
    <t>DVARP(database,field,criteria)</t>
  </si>
  <si>
    <t>선택한 데이터베이스 항목들의 전체 모집단을 기준으로 분산을 계산</t>
  </si>
  <si>
    <t>ERROR.TYPE</t>
  </si>
  <si>
    <t>ERROR.TYPE(error_val)</t>
  </si>
  <si>
    <t>오류 유형에 해당하는 숫자 구하기</t>
  </si>
  <si>
    <t>EXP</t>
  </si>
  <si>
    <t>EXP(number)</t>
  </si>
  <si>
    <t>e를 주어진 수만큼 거듭 제곱한 값 구하기</t>
  </si>
  <si>
    <t>FACT</t>
  </si>
  <si>
    <t>FACT(number)</t>
  </si>
  <si>
    <t>숫자의 계승값 구하기</t>
  </si>
  <si>
    <t>FACTDOUBLE</t>
  </si>
  <si>
    <t>FACTDOUBLE(number)</t>
  </si>
  <si>
    <t>숫자의 이중 계승값 구하기</t>
  </si>
  <si>
    <t>GCD</t>
  </si>
  <si>
    <t>GCD(number1,number2,...)</t>
  </si>
  <si>
    <t>최대 공약수 구하기</t>
  </si>
  <si>
    <t>HYPERLINK</t>
  </si>
  <si>
    <t>HYPERLINK(link_location,friendly_name)</t>
  </si>
  <si>
    <t>네트워크 서버, 인트라넷, 인터넷에 저장된 문서를 액세스하는 바로 가기나 이동 텍스트 만들기</t>
  </si>
  <si>
    <t>JUNJA</t>
  </si>
  <si>
    <t>JUNJA(text)</t>
  </si>
  <si>
    <t>반자(싱글바이트)를 전자(더블바이트)를 가진 문자열로 변환</t>
  </si>
  <si>
    <t>LCM</t>
  </si>
  <si>
    <t>LCM(number1,number2,...)</t>
  </si>
  <si>
    <t>최소 공배수 구하기</t>
  </si>
  <si>
    <t>LN</t>
  </si>
  <si>
    <t>LN(number)</t>
  </si>
  <si>
    <t>숫자의 자연 로그 구하기</t>
  </si>
  <si>
    <t>LOG</t>
  </si>
  <si>
    <t>LOG(number,base)</t>
  </si>
  <si>
    <t>지정한 밑의 로그 구하기</t>
  </si>
  <si>
    <t>LOG10</t>
  </si>
  <si>
    <t>LOG10(number)</t>
  </si>
  <si>
    <t>밑이 10인 로그값 구하기</t>
  </si>
  <si>
    <t>LOOKUP</t>
  </si>
  <si>
    <t>LOOKUP(lookup_value,lookup_vector,result_vector)</t>
  </si>
  <si>
    <t>벡터나 배열에서 값 찾기</t>
  </si>
  <si>
    <t>MDETERM</t>
  </si>
  <si>
    <t>MDETERM(array)</t>
  </si>
  <si>
    <t>배열의 행렬식 구하기</t>
  </si>
  <si>
    <t>MINVERSE</t>
  </si>
  <si>
    <t>MINVERSE(array)</t>
  </si>
  <si>
    <t>배열의 역 행렬 구하기</t>
  </si>
  <si>
    <t>MMULT</t>
  </si>
  <si>
    <t>MMULT(array1,array2)</t>
  </si>
  <si>
    <t>두 배열의 행렬 곱 구하기</t>
  </si>
  <si>
    <t>MULTINOMIAL</t>
  </si>
  <si>
    <t>MULTINOMIAL(number1,number2,...)</t>
  </si>
  <si>
    <t>숫자 집합의 다항값 구하기</t>
  </si>
  <si>
    <t>N</t>
  </si>
  <si>
    <t>NETWORKDAYS(start_date,end_date,holidays)</t>
  </si>
  <si>
    <t>숫자로 변환된 값 구하기</t>
  </si>
  <si>
    <t>NETWORKDAYS</t>
  </si>
  <si>
    <t>두 날짜 사이에 있는 전체 작업일의 날짜 수 구하기</t>
  </si>
  <si>
    <t>PROPER</t>
  </si>
  <si>
    <t>PROPER(text)</t>
  </si>
  <si>
    <t>텍스트 값의 각 단어에 있는 첫째 문자를 대문자로 바꾸기</t>
  </si>
  <si>
    <t>QUARTILE</t>
  </si>
  <si>
    <t>QUARTILE(array,quart)</t>
  </si>
  <si>
    <t>데이터 집합에서 사분위수 구하기</t>
  </si>
  <si>
    <t>RADIANS</t>
  </si>
  <si>
    <t>RADIANS(angle)</t>
  </si>
  <si>
    <t>도 단위를 라디안 각도로 변환</t>
  </si>
  <si>
    <t>ROMAN</t>
  </si>
  <si>
    <t>ROMAN(number,form)</t>
  </si>
  <si>
    <t>아라비아 숫자를 텍스트인 로마 숫자로 변환</t>
  </si>
  <si>
    <t>SIGN</t>
  </si>
  <si>
    <t>SIGN(number)</t>
  </si>
  <si>
    <t>숫자의 부호 구하기</t>
  </si>
  <si>
    <t>SIN</t>
  </si>
  <si>
    <t>SIN(number)</t>
  </si>
  <si>
    <t>주어진 각도의 사인값 구하기</t>
  </si>
  <si>
    <t>SINH</t>
  </si>
  <si>
    <t>SINH(number)</t>
  </si>
  <si>
    <t>숫자의 하이퍼볼릭 사인값 구하기</t>
  </si>
  <si>
    <t>SQRTPI</t>
  </si>
  <si>
    <t>SQRTPI(number)</t>
  </si>
  <si>
    <t>(number * pi)의 제곱근 구하기</t>
  </si>
  <si>
    <t>T</t>
  </si>
  <si>
    <t>인수를 텍스트로 변환</t>
  </si>
  <si>
    <t>TAN</t>
  </si>
  <si>
    <t>TAN(number)</t>
  </si>
  <si>
    <t>숫자의 탄젠트값 구하기</t>
  </si>
  <si>
    <t>TANH</t>
  </si>
  <si>
    <t>TANH(number)</t>
  </si>
  <si>
    <t>숫자의 하이퍼볼릭 탄젠트값 구하기</t>
  </si>
  <si>
    <t>TRIMMEAN</t>
  </si>
  <si>
    <t>TRIMMEAN(array,percent)</t>
  </si>
  <si>
    <t>데이터 집합 내부의 중간값 구하기</t>
  </si>
  <si>
    <t>TYPE</t>
  </si>
  <si>
    <t>TYPE(value)</t>
  </si>
  <si>
    <t>값의 데이터 형식을 나타내는 숫자 구하기</t>
  </si>
  <si>
    <t>VAR</t>
  </si>
  <si>
    <t>VAR(number1,number2,...)</t>
  </si>
  <si>
    <t>표본의 분산 구하기</t>
  </si>
  <si>
    <t>VARA</t>
  </si>
  <si>
    <t>VARA(value1,value2,...)</t>
  </si>
  <si>
    <t>숫자·텍스트·논리값 등 표본의 분산 구하기</t>
  </si>
  <si>
    <t>VARP</t>
  </si>
  <si>
    <t>VARP(number1,number2,...)</t>
  </si>
  <si>
    <t>전체 모집단의 분산을 계산</t>
  </si>
  <si>
    <t>VARPA</t>
  </si>
  <si>
    <t>VARPA(value1,value2,...)</t>
  </si>
  <si>
    <t>숫자·텍스트·논리값 등 전체 모집단의 분산을 계산</t>
  </si>
  <si>
    <t>YEARFRAC</t>
  </si>
  <si>
    <t>YEARFRAC(start_date,end_date,basis)</t>
  </si>
  <si>
    <t>1년에 대한 start_date와 end_date 사이의 만 날짜 수 비율 구하기</t>
  </si>
  <si>
    <t>D등급</t>
  </si>
  <si>
    <t>ACCRINT</t>
  </si>
  <si>
    <t>ACCRINT(issue,first_interest,settlement,rate,par,frequency,basis)</t>
  </si>
  <si>
    <t>정기적인 이자를 지급하는 유가 증권의 경과 이자 구하기</t>
  </si>
  <si>
    <t>ACCRINTM</t>
  </si>
  <si>
    <t>ACCRINTM(issue,maturity,rate,par,basis)</t>
  </si>
  <si>
    <t>만기에 이자를 지급하는 유가 증권의 경과 이자 구하기</t>
  </si>
  <si>
    <t>AMORDEGRC</t>
  </si>
  <si>
    <t>AMORDEGRC(cost,date_purchased,first_period,salvage,period,rate,basis)</t>
  </si>
  <si>
    <t>감가상각 계수를 사용하여 각 회계 기간의 감가상각액 구하기</t>
  </si>
  <si>
    <t>AMORLINC</t>
  </si>
  <si>
    <t>AMORLINC(cost,date_purchased,first_period,salvage,period,rate,basis)</t>
  </si>
  <si>
    <t>각 회계 기간의 감가상각액 구하기</t>
  </si>
  <si>
    <t>ASC</t>
  </si>
  <si>
    <t>ASC(text)</t>
  </si>
  <si>
    <t>텍스트의 전자 영문과 가타가나를 반자로 바꾸기</t>
  </si>
  <si>
    <t>BETADIST</t>
  </si>
  <si>
    <t>BETADIST(x,alpha,beta,A,B)</t>
  </si>
  <si>
    <t>누적 베타 확률 밀도 함수 구하기</t>
  </si>
  <si>
    <t>BETAINV</t>
  </si>
  <si>
    <t>BETAINV(probability,alpha,beta,A,B)</t>
  </si>
  <si>
    <t>역 누적 베타 확률 밀도 함수 구하기</t>
  </si>
  <si>
    <t>BIN2DEC</t>
  </si>
  <si>
    <t>BIN2DEC(number)</t>
  </si>
  <si>
    <t>이진수를 10진수로 변환</t>
  </si>
  <si>
    <t>BIN2HEX</t>
  </si>
  <si>
    <t>BIN2HEX(number,places)</t>
  </si>
  <si>
    <t>이진수를 16진수로 변환</t>
  </si>
  <si>
    <t>BIN2OCT</t>
  </si>
  <si>
    <t>BIN2OCT(number,places)</t>
  </si>
  <si>
    <t>이진수를 8진수로 변환</t>
  </si>
  <si>
    <t>BINOMDIST</t>
  </si>
  <si>
    <t>BINOMDIST(number_s,trials,probability_s,cumulative)</t>
  </si>
  <si>
    <t>개별항 이항 분포 확률 구하기</t>
  </si>
  <si>
    <t>CORREL</t>
  </si>
  <si>
    <t>CORREL(array1,array2)</t>
  </si>
  <si>
    <t>두 데이터 집합 사이의 상관 계수 구하기</t>
  </si>
  <si>
    <t>COUPDAYBS</t>
  </si>
  <si>
    <t>COUPDAYBS(settlement,maturity,frequency,basis)</t>
  </si>
  <si>
    <t>이자 지급 기간의 시작일부터 결산일까지의 일 수 구하기</t>
  </si>
  <si>
    <t>COUPDAYS</t>
  </si>
  <si>
    <t>COUPDAYS(settlement,maturity,frequency,basis)</t>
  </si>
  <si>
    <t>결산일이 들어 있는 이자 지급 기간의 일 수 구하기</t>
  </si>
  <si>
    <t>COUPDAYSNC</t>
  </si>
  <si>
    <t>COUPDAYSNC(settlement,maturity,frequency,basis)</t>
  </si>
  <si>
    <t>결산일에서 다음 이자 지급일까지의 일 수 구하기</t>
  </si>
  <si>
    <t>COUPNCD</t>
  </si>
  <si>
    <t>COUPNCD(settlement,maturity,frequency,basis)</t>
  </si>
  <si>
    <t>결산일 후 다음 이자 지급 날짜 구하기</t>
  </si>
  <si>
    <t>COUPNUM</t>
  </si>
  <si>
    <t>COUPNUM(settlement,maturity,frequency,basis)</t>
  </si>
  <si>
    <t>결산일과 만기일 사이에 가능한 이자 지급 횟수 구하기</t>
  </si>
  <si>
    <t>COUPPCD</t>
  </si>
  <si>
    <t>COUPPCD(settlement,maturity,frequency,basis)</t>
  </si>
  <si>
    <t>결산일 전의 이전 이자 지급 날짜 구하기</t>
  </si>
  <si>
    <t>COVAR</t>
  </si>
  <si>
    <t>COVAR(array1,array2)</t>
  </si>
  <si>
    <t>각 데이터 요소 쌍에 대한 편차 곱의 평균인 공분산 구하기</t>
  </si>
  <si>
    <t>CRITBINOM</t>
  </si>
  <si>
    <t>CRITBINOM(trials,probability_s,alpha)</t>
  </si>
  <si>
    <t>누적 이항 분포 확률값이 기준치 이하인 최소값 구하기</t>
  </si>
  <si>
    <t>CUMIPMT</t>
  </si>
  <si>
    <t>CUMIPMT(rate,nper,pv,start_period,end_period,type)</t>
  </si>
  <si>
    <t>두 기간 사이에 지급된 누적 이자 구하기</t>
  </si>
  <si>
    <t>CUMPRINC</t>
  </si>
  <si>
    <t>CUMPRINC(rate,nper,pv,start_period,end_period,type)</t>
  </si>
  <si>
    <t>두 기간 사이에 대출금에 대해 지불된 누적 원금 구하기</t>
  </si>
  <si>
    <t>DB</t>
  </si>
  <si>
    <t>DB(cost,salvage,life,period,month)</t>
  </si>
  <si>
    <t>정율법을 사용하여 지정된 상각 기간의 감가상각액 구하기</t>
  </si>
  <si>
    <t>DDB</t>
  </si>
  <si>
    <t>DDB(cost,salvage,life,period,factor)</t>
  </si>
  <si>
    <t>이중 체감법이나 기타 방법을 사용하여 지정된 기간의 감가상각액 구하기</t>
  </si>
  <si>
    <t>DEC2BIN</t>
  </si>
  <si>
    <t>DEC2BIN(number,places)</t>
  </si>
  <si>
    <t>10진수를 이진수로 변환</t>
  </si>
  <si>
    <t>DEC2HEX</t>
  </si>
  <si>
    <t>DEC2HEX(number,places)</t>
  </si>
  <si>
    <t>10진수를 16진수로 변환</t>
  </si>
  <si>
    <t>DEC2OCT</t>
  </si>
  <si>
    <t>DEC2OCT(number,places)</t>
  </si>
  <si>
    <t>10진수를 8진수로 변환</t>
  </si>
  <si>
    <t>DEVSQ</t>
  </si>
  <si>
    <t>DEVSQ(number1,number2,...)</t>
  </si>
  <si>
    <t>편차 제곱의 합 구하기</t>
  </si>
  <si>
    <t>DISC</t>
  </si>
  <si>
    <t>DISC(settlement,maturity,pr,redemption,basis)</t>
  </si>
  <si>
    <t>유가 증권의 할인율 구하기</t>
  </si>
  <si>
    <t>DURATION</t>
  </si>
  <si>
    <t>DURATION(settlement,maturity,coupon,yld,frequency,basis)</t>
  </si>
  <si>
    <t>정기적인 이자 지급이 이루어지는 유가 증권의 연간 듀레이션 구하기</t>
  </si>
  <si>
    <t>EFFECT</t>
  </si>
  <si>
    <t>EFFECT(nominal_rate,npery)</t>
  </si>
  <si>
    <t>현재 시행되고 있는 연이율 구하기</t>
  </si>
  <si>
    <t>ERF</t>
  </si>
  <si>
    <t>ERF(lower_limit,upper_limit)</t>
  </si>
  <si>
    <t>오류 함수 구하기</t>
  </si>
  <si>
    <t>ERFC</t>
  </si>
  <si>
    <t>ERFC(x)</t>
  </si>
  <si>
    <t>오류 함수의 여값 구하기</t>
  </si>
  <si>
    <t>EXPONDIST</t>
  </si>
  <si>
    <t>EXPONDIST(x,lambda,cumulative)</t>
  </si>
  <si>
    <t>지수 분포값 구하기</t>
  </si>
  <si>
    <t>FDIST</t>
  </si>
  <si>
    <t>FDIST(x,degrees_freedom1,degrees_freedom2)</t>
  </si>
  <si>
    <t>F 확률 분포값 구하기</t>
  </si>
  <si>
    <t>FINV</t>
  </si>
  <si>
    <t>FINV(probability,degrees_freedom1,degrees_freedom2)</t>
  </si>
  <si>
    <t>F 확률 분포의 역함수 구하기</t>
  </si>
  <si>
    <t>FISHER</t>
  </si>
  <si>
    <t>FISHER(x)</t>
  </si>
  <si>
    <t>Fisher 변환값 구하기</t>
  </si>
  <si>
    <t>FISHERINV</t>
  </si>
  <si>
    <t>FISHERINV(y)</t>
  </si>
  <si>
    <t>Fisher 변환의 역변환 값 구하기</t>
  </si>
  <si>
    <t>FORECAST</t>
  </si>
  <si>
    <t>FORECAST(x,known_y's,known_x's)</t>
  </si>
  <si>
    <t>선형 추세에 따라 값 구하기</t>
  </si>
  <si>
    <t>FREQUENCY</t>
  </si>
  <si>
    <t>FREQUENCY(data_array,bins_array)</t>
  </si>
  <si>
    <t>빈도 분포값을 세로 배열 형태로 반환</t>
  </si>
  <si>
    <t>FTEST</t>
  </si>
  <si>
    <t>FTEST(array1,array2)</t>
  </si>
  <si>
    <t>F-검정 결과 구하기</t>
  </si>
  <si>
    <t>FV</t>
  </si>
  <si>
    <t>FV(rate,nper,pmt,pv,type)</t>
  </si>
  <si>
    <t>투자의 미래 가치 구하기</t>
  </si>
  <si>
    <t>FVSCHEDULE</t>
  </si>
  <si>
    <t>FVSCHEDULE(principal,schedule)</t>
  </si>
  <si>
    <t>초기 원금에 일련의 복리 이자율을 적용했을 때의 예상 금액 구하기</t>
  </si>
  <si>
    <t>GAMMADIST</t>
  </si>
  <si>
    <t>GAMMADIST(x,alpha,beta,cumulative)</t>
  </si>
  <si>
    <t>감마 분포값 구하기</t>
  </si>
  <si>
    <t>GAMMAINV</t>
  </si>
  <si>
    <t>GAMMAINV(probability,alpha,beta)</t>
  </si>
  <si>
    <t>감마 누적 분포의 역함수 구하기</t>
  </si>
  <si>
    <t>GAMMALN</t>
  </si>
  <si>
    <t>GAMMALN(x)</t>
  </si>
  <si>
    <t>감마 함수 Γ(x)의 자연 로그 구하기</t>
  </si>
  <si>
    <t>GEOMEAN</t>
  </si>
  <si>
    <t>GEOMEAN(number1,number2,...)</t>
  </si>
  <si>
    <t>기하 평균 구하기</t>
  </si>
  <si>
    <t>GESTEP</t>
  </si>
  <si>
    <t>GESTEP(number,step)</t>
  </si>
  <si>
    <t>숫자가 임계값보다 큰지 여부를 검사</t>
  </si>
  <si>
    <t>GETPIVOTDATA</t>
  </si>
  <si>
    <t>GETPIVOTDATA(data_field,pivot_table,field1,item1,field2,item2,...)</t>
  </si>
  <si>
    <t>피벗 테이블에 저장된 데이터 구하기</t>
  </si>
  <si>
    <t>GROWTH</t>
  </si>
  <si>
    <t>GROWTH(known_y's,known_x's,new_x's,const)</t>
  </si>
  <si>
    <t>지수 추세를 따라 값 구하기</t>
  </si>
  <si>
    <t>HARMEAN</t>
  </si>
  <si>
    <t>HARMEAN(number1,number2,...)</t>
  </si>
  <si>
    <t>조화 평균 구하기</t>
  </si>
  <si>
    <t>HEX2BIN</t>
  </si>
  <si>
    <t>HEX2BIN(number,places)</t>
  </si>
  <si>
    <t>16진수를 이진수로 변환</t>
  </si>
  <si>
    <t>HEX2DEC</t>
  </si>
  <si>
    <t>HEX2DEC(number)</t>
  </si>
  <si>
    <t>16진수를 10진수로 변환</t>
  </si>
  <si>
    <t>HEX2OCT</t>
  </si>
  <si>
    <t>HEX2OCT(number,places)</t>
  </si>
  <si>
    <t>16진수를 8진수로 변환</t>
  </si>
  <si>
    <t>HYPGEOMDIST</t>
  </si>
  <si>
    <t>HYPGEOMDIST(sample_s,number_sample,population_s,number_population)</t>
  </si>
  <si>
    <t>초기하 분포값 구하기</t>
  </si>
  <si>
    <t>IMABS</t>
  </si>
  <si>
    <t>IMABS(inumber)</t>
  </si>
  <si>
    <t>복소수의 절대값 구하기</t>
  </si>
  <si>
    <t>IMAGINARY</t>
  </si>
  <si>
    <t>IMAGINARY(inumber)</t>
  </si>
  <si>
    <t>복소수의 허수부 계수 구하기</t>
  </si>
  <si>
    <t>IMARGUMENT</t>
  </si>
  <si>
    <t>IMARGUMENT(inumber)</t>
  </si>
  <si>
    <t>라디안으로 표시되는 각도인 테타 인수 구하기</t>
  </si>
  <si>
    <t>IMCONJUGATE</t>
  </si>
  <si>
    <t>IMCONJUGATE(inumber)</t>
  </si>
  <si>
    <t>복소수의 켤레 복소수 구하기</t>
  </si>
  <si>
    <t>IMCOS</t>
  </si>
  <si>
    <t>IMCOS(inumber)</t>
  </si>
  <si>
    <t>복소수의 코사인 구하기</t>
  </si>
  <si>
    <t>IMDIV</t>
  </si>
  <si>
    <t>IMDIV(inumber1,inumber2)</t>
  </si>
  <si>
    <t>두 복소수의 나눗셈 몫 구하기</t>
  </si>
  <si>
    <t>IMEXP</t>
  </si>
  <si>
    <t>IMEXP(inumber)</t>
  </si>
  <si>
    <t>복소수의 지수 구하기</t>
  </si>
  <si>
    <t>IMLN</t>
  </si>
  <si>
    <t>IMLN(inumber)</t>
  </si>
  <si>
    <t>복소수의 자연 로그 구하기</t>
  </si>
  <si>
    <t>IMLOG10</t>
  </si>
  <si>
    <t>IMLOG10(inumber)</t>
  </si>
  <si>
    <t>복소수의 밑이 10인 로그 구하기</t>
  </si>
  <si>
    <t>IMLOG2</t>
  </si>
  <si>
    <t>IMLOG2(inumber)</t>
  </si>
  <si>
    <t>복소수의 밑이 2인 로그 구하기</t>
  </si>
  <si>
    <t>IMPOWER</t>
  </si>
  <si>
    <t>IMPOWER(inumber,number)</t>
  </si>
  <si>
    <t>정수를 지수로 한 복소수의 누승을 계산</t>
  </si>
  <si>
    <t>IMPRODUCT</t>
  </si>
  <si>
    <t>IMPRODUCT(inumber1,inumber2,...)</t>
  </si>
  <si>
    <t>두 복소수의 곱 구하기</t>
  </si>
  <si>
    <t>IMREAL</t>
  </si>
  <si>
    <t>IMREAL(inumber)</t>
  </si>
  <si>
    <t>복소수의 실수부 계수 구하기</t>
  </si>
  <si>
    <t>IMSIN</t>
  </si>
  <si>
    <t>IMSIN(inumber)</t>
  </si>
  <si>
    <t>복소수의 사인 구하기</t>
  </si>
  <si>
    <t>IMSQRT</t>
  </si>
  <si>
    <t>IMSQRT(inumber)</t>
  </si>
  <si>
    <t>복소수의 제곱근 구하기</t>
  </si>
  <si>
    <t>IMSUB</t>
  </si>
  <si>
    <t>IMSUB(inumber1,inumber2)</t>
  </si>
  <si>
    <t>두 복소수 간의 차 구하기</t>
  </si>
  <si>
    <t>IMSUM</t>
  </si>
  <si>
    <t>IMSUM(inumber1,inumber2,...)</t>
  </si>
  <si>
    <t>복소수의 합 구하기</t>
  </si>
  <si>
    <t>INTERCEPT</t>
  </si>
  <si>
    <t>INTERCEPT(known_y's,known_x's)</t>
  </si>
  <si>
    <t>선형 회귀선의 절편 구하기</t>
  </si>
  <si>
    <t>INTRATE</t>
  </si>
  <si>
    <t>INTRATE(settlement,maturity,investment,redemption,basis)</t>
  </si>
  <si>
    <t>완전 투자한 유가 증권의 이율 구하기</t>
  </si>
  <si>
    <t>IPMT</t>
  </si>
  <si>
    <t>IPMT(rate,per,nper,pv,fv,type)</t>
  </si>
  <si>
    <t>주어진 기간 동안 투자에 대해 지급된 이자 구하기</t>
  </si>
  <si>
    <t>IRR</t>
  </si>
  <si>
    <t>IRR(values,guess)</t>
  </si>
  <si>
    <t>일련의 현금 흐름에 대한 내부 수익률 구하기</t>
  </si>
  <si>
    <t>ISPMT</t>
  </si>
  <si>
    <t>ISPMT(rate,per,nper,pv)</t>
  </si>
  <si>
    <t>특정 투자 기간 동안 지급된 이자를 계산</t>
  </si>
  <si>
    <t>KURT</t>
  </si>
  <si>
    <t>KURT(number1,number2,...)</t>
  </si>
  <si>
    <t>데이터 집합의 첨도 구하기</t>
  </si>
  <si>
    <t>LINEST</t>
  </si>
  <si>
    <t>LINEST(known_y's,known_x's,const,stats)</t>
  </si>
  <si>
    <t>선형 추세의 매개 변수 구하기</t>
  </si>
  <si>
    <t>LOGEST</t>
  </si>
  <si>
    <t>LOGEST(known_y's,known_x's,const,stats)</t>
  </si>
  <si>
    <t>지수 추세의 매개 변수 구하기</t>
  </si>
  <si>
    <t>LOGINV</t>
  </si>
  <si>
    <t>LOGINV(probability,mean,standard_dev)</t>
  </si>
  <si>
    <t>로그 정규 분포의 역함수 값 구하기</t>
  </si>
  <si>
    <t>LOGNORMDIST</t>
  </si>
  <si>
    <t>LOGNORMDIST(x,mean,standard_dev)</t>
  </si>
  <si>
    <t>로그 정규 누적 분포값 구하기</t>
  </si>
  <si>
    <t>MDURATION</t>
  </si>
  <si>
    <t>MDURATION(settlement,maturity,coupon,yld,frequency,basis)</t>
  </si>
  <si>
    <t>가정된 액면가 $100에 대한 증권의 Macauley 수정 듀레이션 구하기</t>
  </si>
  <si>
    <t>MIRR</t>
  </si>
  <si>
    <t>MIRR(values,finance_rate,reinvest_rate)</t>
  </si>
  <si>
    <t>양수 및 음수 현금 흐름이 서로 다른 이율로 관리되는 내부 수익률 구하기</t>
  </si>
  <si>
    <t>NEGBINOMDIST</t>
  </si>
  <si>
    <t>NEGBINOMDIST(number_f,number_s,probability_s)</t>
  </si>
  <si>
    <t>음 이항 분포값 구하기</t>
  </si>
  <si>
    <t>NOMINAL</t>
  </si>
  <si>
    <t>NOMINAL(effect_rate,npery)</t>
  </si>
  <si>
    <t>명목상의 연이율을 반환</t>
  </si>
  <si>
    <t>NORMDIST</t>
  </si>
  <si>
    <t>NORMDIST(x,mean,standard_dev,cumulative)</t>
  </si>
  <si>
    <t>정규 누적 분포 구하기</t>
  </si>
  <si>
    <t>NORMINV</t>
  </si>
  <si>
    <t>NORMINV(probability,mean,standard_dev)</t>
  </si>
  <si>
    <t>정규 누적 분포의 역함수 구하기</t>
  </si>
  <si>
    <t>NORMSDIST</t>
  </si>
  <si>
    <t>NORMSDIST(z)</t>
  </si>
  <si>
    <t>표준 정규 누적 분포 구하기</t>
  </si>
  <si>
    <t>NORMSINV</t>
  </si>
  <si>
    <t>NORMSINV(probability)</t>
  </si>
  <si>
    <t>표준 정규 누적 분포의 역함수 구하기</t>
  </si>
  <si>
    <t>NPER</t>
  </si>
  <si>
    <t>NPER(rate,pmt,pv,fv,type)</t>
  </si>
  <si>
    <t>투자의 기간 구하기</t>
  </si>
  <si>
    <t>NPV</t>
  </si>
  <si>
    <t>NPV(rate,value1,value2,...)</t>
  </si>
  <si>
    <t>일련의 정기적인 현금 흐름과 할인율을 기준으로 투자의 순 현재 가치 를 계산</t>
  </si>
  <si>
    <t>OCT2BIN</t>
  </si>
  <si>
    <t>OCT2BIN(number,places)</t>
  </si>
  <si>
    <t>8진수를 이진수로 변환</t>
  </si>
  <si>
    <t>OCT2DEC</t>
  </si>
  <si>
    <t>OCT2DEC(number)</t>
  </si>
  <si>
    <t>8진수를 10진수로 변환</t>
  </si>
  <si>
    <t>OCT2HEX</t>
  </si>
  <si>
    <t>OCT2HEX(number,places)</t>
  </si>
  <si>
    <t>8진수를 16진수로 변환</t>
  </si>
  <si>
    <t>ODDFPRICE</t>
  </si>
  <si>
    <t>ODDFPRICE(settlement,maturity,issue,first_coupon,rate,yld,redemption,frequency,basis)</t>
  </si>
  <si>
    <t>첫 이수 기간이 경상 이수 기간과 다른 유가 증권의 액면가 $100 당 금액 구하기</t>
  </si>
  <si>
    <t>ODDFYIELD</t>
  </si>
  <si>
    <t>ODDFYIELD(settlement,maturity,issue,first_coupon,rate,pr,redemption,frequency,basis)</t>
  </si>
  <si>
    <t>첫 이수 기간이 경상 이수 기간과 다른 유가 증권의 수익률을 반환</t>
  </si>
  <si>
    <t>ODDLPRICE</t>
  </si>
  <si>
    <t>ODDLPRICE(settlement,maturity,last_interest,rate,yld,redemption,frequency,basis)</t>
  </si>
  <si>
    <t>마지막 이수 기간이 경상 이수 기간과 다른 유가 증권의 액면가 $100 당 가격을 반환</t>
  </si>
  <si>
    <t>ODDLYIELD</t>
  </si>
  <si>
    <t>ODDLYIELD(settlement,maturity,last_interest,rate,pr,redemption,frequency,basis)</t>
  </si>
  <si>
    <t>마지막 이수 기간이 경상 이수 기간과 다른 유가 증권의 수익률을 반환</t>
  </si>
  <si>
    <t>PEARSON</t>
  </si>
  <si>
    <t>PEARSON(array1,array2)</t>
  </si>
  <si>
    <t>피어슨 곱 모멘트 상관 계수 구하기</t>
  </si>
  <si>
    <t>PERCENTILE</t>
  </si>
  <si>
    <t>PERCENTILE(array,k)</t>
  </si>
  <si>
    <t>범위에서 k번째 백분위수 구하기</t>
  </si>
  <si>
    <t>PERCENTRANK</t>
  </si>
  <si>
    <t>PERCENTRANK(array,x,significance)</t>
  </si>
  <si>
    <t>데이터 집합의 값에 대한 백분율 순위 구하기</t>
  </si>
  <si>
    <t>PERMUT</t>
  </si>
  <si>
    <t>PERMUT(number,number_chosen)</t>
  </si>
  <si>
    <t>주어진 개체 수로 만들 수 있는 순열의 수 구하기</t>
  </si>
  <si>
    <t>PHONETIC</t>
  </si>
  <si>
    <t>PHONETIC(reference)</t>
  </si>
  <si>
    <t>텍스트에서 윗주(후리가나) 문자를 추출</t>
  </si>
  <si>
    <t>PMT</t>
  </si>
  <si>
    <t>PMT(rate,nper,pv,fv,type)</t>
  </si>
  <si>
    <t>정기적으로 불입하는 매회 불입액 구하기</t>
  </si>
  <si>
    <t>POISSON</t>
  </si>
  <si>
    <t>POISSON(x,mean,cumulative)</t>
  </si>
  <si>
    <t>포아송 분포값 구하기</t>
  </si>
  <si>
    <t>PPMT</t>
  </si>
  <si>
    <t>PPMT(rate,per,nper,pv,fv,type)</t>
  </si>
  <si>
    <t>투자액에 대한 주어진 기간 동안의 원금 상환액 구하기</t>
  </si>
  <si>
    <t>PRICE</t>
  </si>
  <si>
    <t>PRICE(settlement,maturity,rate,yld,redemption,frequency,basis)</t>
  </si>
  <si>
    <t>정기적으로 이자를 지급하는 유가 증권의 액면가 $100 당 가격 구하기</t>
  </si>
  <si>
    <t>PRICEDISC</t>
  </si>
  <si>
    <t>PRICEDISC(settlement,maturity,discount,redemption,basis)</t>
  </si>
  <si>
    <t>할인된 유가 증권의 액면가 $100 당 가격 구하기</t>
  </si>
  <si>
    <t>PRICEMAT</t>
  </si>
  <si>
    <t>PRICEMAT(settlement,maturity,issue,rate,yld,basis)</t>
  </si>
  <si>
    <t>만기일에 이자를 지급하는 유가 증권의 액면가 $100 당 가격 구하기</t>
  </si>
  <si>
    <t>PROB</t>
  </si>
  <si>
    <t>PROB(x_range,prob_range,lower_limit,upper_limit)</t>
  </si>
  <si>
    <t>값이 두 한계값 사이에 있을 확률 구하기</t>
  </si>
  <si>
    <t>PV</t>
  </si>
  <si>
    <t>PV(rate,nper,pmt,fv,type)</t>
  </si>
  <si>
    <t>투자의 현재 가치 구하기</t>
  </si>
  <si>
    <t>RATE</t>
  </si>
  <si>
    <t>RATE(nper,pmt,pv,fv,type,guess)</t>
  </si>
  <si>
    <t>정기 불입금의 기간당 이율 구하기</t>
  </si>
  <si>
    <t>RECEIVED</t>
  </si>
  <si>
    <t>RECEIVED(settlement,maturity,investment,discount,basis)</t>
  </si>
  <si>
    <t>완전 투자 유가 증권에 대하여 만기 시 수령하는 금액 구하기</t>
  </si>
  <si>
    <t>RSQ</t>
  </si>
  <si>
    <t>RSQ(known_y's,known_x's)</t>
  </si>
  <si>
    <t>피어슨 곱 모멘트 상관 계수의 제곱 구하기</t>
  </si>
  <si>
    <t>SERIESSUM</t>
  </si>
  <si>
    <t>SERIESSUM(x,n,m,coefficients)</t>
  </si>
  <si>
    <t>수식에 따라 멱급수의 합 구하기</t>
  </si>
  <si>
    <t>SKEW</t>
  </si>
  <si>
    <t>SKEW(number1,number2,...)</t>
  </si>
  <si>
    <t>분포의 왜곡도 구하기</t>
  </si>
  <si>
    <t>SLN</t>
  </si>
  <si>
    <t>SLN(cost,salvage,life)</t>
  </si>
  <si>
    <t>단위 기간 동안 자산의 감가상각액을 정액법으로 구하기</t>
  </si>
  <si>
    <t>SLOPE</t>
  </si>
  <si>
    <t>SLOPE(known_y's,known_x's)</t>
  </si>
  <si>
    <t>선형 회귀선의 기울기 구하기</t>
  </si>
  <si>
    <t>STANDARDIZE</t>
  </si>
  <si>
    <t>STANDARDIZE(x,mean,standard_dev)</t>
  </si>
  <si>
    <t>정규화된 값 구하기</t>
  </si>
  <si>
    <t>STDEV</t>
  </si>
  <si>
    <t>STDEV(number1,number2,...)</t>
  </si>
  <si>
    <t>표본의 표준 편차 구하기</t>
  </si>
  <si>
    <t>STDEVA</t>
  </si>
  <si>
    <t>STDEVA(value1,value2,...)</t>
  </si>
  <si>
    <t>숫자, 텍스트, 논리값 등 표본의 표준 편차 구하기</t>
  </si>
  <si>
    <t>STDEVP</t>
  </si>
  <si>
    <t>STDEVP(number1,number2,...)</t>
  </si>
  <si>
    <t>전체 모집단의 표준 편차를 계산</t>
  </si>
  <si>
    <t>STDEVPA</t>
  </si>
  <si>
    <t>STDEVPA(value1,value2,...)</t>
  </si>
  <si>
    <t>숫자·텍스트·논리값 등 전체 모집단의 표준 편차를 계산</t>
  </si>
  <si>
    <t>STEYX</t>
  </si>
  <si>
    <t>STEYX(known_y's,known_x's)</t>
  </si>
  <si>
    <t>회귀 분석에서 각각의 x에 대해 예측한 y 값의 표준 오차 구하기</t>
  </si>
  <si>
    <t>SYD</t>
  </si>
  <si>
    <t>SYD(cost,salvage,life,per)</t>
  </si>
  <si>
    <t>지정된 감가 상각 기간 중, 자산의 감가 상각액을 연수 합계법으로 구하기</t>
  </si>
  <si>
    <t>TBILLEQ</t>
  </si>
  <si>
    <t>TBILLEQ(settlement,maturity,discount)</t>
  </si>
  <si>
    <t>국채의 수익률 구하기</t>
  </si>
  <si>
    <t>TBILLPRICE</t>
  </si>
  <si>
    <t>TBILLPRICE(settlement,maturity,discount)</t>
  </si>
  <si>
    <t>국채의 액면가 $100 당 가격 구하기</t>
  </si>
  <si>
    <t>TBILLYIELD</t>
  </si>
  <si>
    <t>TBILLYIELD(settlement,maturity,pr)</t>
  </si>
  <si>
    <t>TDIST</t>
  </si>
  <si>
    <t>TDIST(x,degrees_freedom,tails)</t>
  </si>
  <si>
    <t>스튜던트 t-분포값 구하기</t>
  </si>
  <si>
    <t>TINV</t>
  </si>
  <si>
    <t>TINV(probability,degrees_freedom)</t>
  </si>
  <si>
    <t>소표본 t-분포 확률값의 역함수 구하기</t>
  </si>
  <si>
    <t>TREND</t>
  </si>
  <si>
    <t>TREND(known_y's,known_x's,new_x's,const)</t>
  </si>
  <si>
    <t>TTEST</t>
  </si>
  <si>
    <t>TTEST(array1,array2,tails,type)</t>
  </si>
  <si>
    <t>스튜던트 t-검정에 근거한 확률 구하기</t>
  </si>
  <si>
    <t>VDB</t>
  </si>
  <si>
    <t>VDB(cost,salvage,life,start_period,end_period,factor,no_switch)</t>
  </si>
  <si>
    <t>이중 체감법으로 지정한 기간에 대한 자산의 감가 상각액 구하기</t>
  </si>
  <si>
    <t>WEIBULL</t>
  </si>
  <si>
    <t>WEIBULL(x,alpha,beta,cumulative)</t>
  </si>
  <si>
    <t>와이블 분포값 구하기</t>
  </si>
  <si>
    <t>XIRR</t>
  </si>
  <si>
    <t>XIRR(values,dates,guess)</t>
  </si>
  <si>
    <t>비정기적인 현금 흐름의 내부 수익률 구하기</t>
  </si>
  <si>
    <t>XNPV</t>
  </si>
  <si>
    <t>XNPV(rate,values,dates)</t>
  </si>
  <si>
    <t>비정기적인 현금 흐름의 순 현재 가치 구하기</t>
  </si>
  <si>
    <t>YIELD</t>
  </si>
  <si>
    <t>YIELD(settlement,maturity,rate,pr,redemption,frequency,basis)</t>
  </si>
  <si>
    <t>정기적으로 이자를 지급하는 유가 증권의 수익률 구하기</t>
  </si>
  <si>
    <t>YIELDDISC</t>
  </si>
  <si>
    <t>YIELDDISC(settlement,maturity,pr,redemption,basis)</t>
  </si>
  <si>
    <t>할인된 유가 증권(예: 국채)의 연 수익률 구하기</t>
  </si>
  <si>
    <t>YIELDMAT</t>
  </si>
  <si>
    <t>YIELDMAT(settlement,maturity,issue,rate,pr,basis)</t>
  </si>
  <si>
    <t>만기 시 이자를 지급하는 유가 증권의 연 수익률 구하기</t>
  </si>
  <si>
    <t>ZTEST</t>
  </si>
  <si>
    <t>ZTEST(array,x,sigma)</t>
  </si>
  <si>
    <t>z-검정의 양측 P-값 구하기</t>
    <phoneticPr fontId="7" type="noConversion"/>
  </si>
  <si>
    <t>E등급</t>
  </si>
  <si>
    <t>BAHTTEXT</t>
  </si>
  <si>
    <t>BAHTTEXT(number)</t>
  </si>
  <si>
    <t>ß(바트) 통화 형식을 사용하여 숫자를 텍스트로 변환</t>
  </si>
  <si>
    <t>BESSELI</t>
  </si>
  <si>
    <t>BESSELI(x,n)</t>
  </si>
  <si>
    <t>Bessel 함수 In(x) 구하기</t>
  </si>
  <si>
    <t>BESSELJ</t>
  </si>
  <si>
    <t>BESSELJ(x,n)</t>
  </si>
  <si>
    <t>Bessel 함수 Jn(x) 구하기</t>
  </si>
  <si>
    <t>BESSELK</t>
  </si>
  <si>
    <t>BESSELK(x,n)</t>
  </si>
  <si>
    <t>수정된 Bessel 함수 Kn(x) 구하기</t>
  </si>
  <si>
    <t>BESSELY</t>
  </si>
  <si>
    <t>BESSELY(x,n)</t>
  </si>
  <si>
    <t>Bessel 함수 Yn(x) 구하기</t>
  </si>
  <si>
    <t>CHAR</t>
  </si>
  <si>
    <t>CHAR(number)</t>
  </si>
  <si>
    <t>코드 번호로 지정된 문자 구하기</t>
  </si>
  <si>
    <t>CHIDIST</t>
  </si>
  <si>
    <t>CHIDIST(x,degrees_freedom)</t>
  </si>
  <si>
    <t>카이 제곱 분포의 단측 검정 확률 구하기</t>
  </si>
  <si>
    <t>CHIINV</t>
  </si>
  <si>
    <t>CHIINV(probability,degrees_freedom)</t>
  </si>
  <si>
    <t>카이 제곱 분포의 역 단측 검정 확률 구하기</t>
  </si>
  <si>
    <t>CHITEST</t>
  </si>
  <si>
    <t>CHITEST(actual_range,expected_range)</t>
  </si>
  <si>
    <t>독립 검증 결과 구하기</t>
  </si>
  <si>
    <t>CLEAN</t>
  </si>
  <si>
    <t>CLEAN(text)</t>
  </si>
  <si>
    <t>인쇄할 수 없는 모든 문자들을 텍스트에서 제거</t>
  </si>
  <si>
    <t>CODE</t>
  </si>
  <si>
    <t>CODE(text)</t>
  </si>
  <si>
    <t>텍스트의 첫째 문자에 대한 숫자 코드 구하기</t>
  </si>
  <si>
    <t>COMPLEX</t>
  </si>
  <si>
    <t>COMPLEX(real_num,i_num,suffix)</t>
  </si>
  <si>
    <t>실수부와 허수부 계수를 복소수로 변환</t>
  </si>
  <si>
    <t>CONFIDENCE</t>
  </si>
  <si>
    <t>CONFIDENCE(alpha,standard_dev,size)</t>
  </si>
  <si>
    <t>모집단 평균의 신뢰 구간을 반환</t>
  </si>
  <si>
    <t>RTD</t>
  </si>
  <si>
    <t>RTD(ProgID,server,topic1,[topic2],...)</t>
  </si>
  <si>
    <t>COM 자동화를 지원하는 프로그램으로부터 실시간 데이터 가져오기</t>
  </si>
  <si>
    <t>동작 구분</t>
    <phoneticPr fontId="4" type="noConversion"/>
  </si>
  <si>
    <t>KEY</t>
    <phoneticPr fontId="4" type="noConversion"/>
  </si>
  <si>
    <t>값 입력</t>
    <phoneticPr fontId="4" type="noConversion"/>
  </si>
  <si>
    <t>직접값 기록</t>
    <phoneticPr fontId="4" type="noConversion"/>
  </si>
  <si>
    <t>프로그램 이동</t>
    <phoneticPr fontId="4" type="noConversion"/>
  </si>
  <si>
    <t>사용자 지정</t>
    <phoneticPr fontId="4" type="noConversion"/>
  </si>
  <si>
    <t>직접 조정 완료후 메시지 확인 버튼 클릭</t>
    <phoneticPr fontId="4" type="noConversion"/>
  </si>
  <si>
    <t>경로와 이름(실행파일)</t>
    <phoneticPr fontId="4" type="noConversion"/>
  </si>
  <si>
    <t>SHELL</t>
    <phoneticPr fontId="4" type="noConversion"/>
  </si>
  <si>
    <t>ALT + S (SHIIS SEARCH)</t>
    <phoneticPr fontId="4" type="noConversion"/>
  </si>
  <si>
    <t>%s</t>
    <phoneticPr fontId="4" type="noConversion"/>
  </si>
  <si>
    <t>ALT + W (SHIIS DOWN)</t>
    <phoneticPr fontId="4" type="noConversion"/>
  </si>
  <si>
    <t>%w</t>
    <phoneticPr fontId="4" type="noConversion"/>
  </si>
  <si>
    <t>ALT + F4 (종료)</t>
    <phoneticPr fontId="4" type="noConversion"/>
  </si>
  <si>
    <t>%{F4}</t>
    <phoneticPr fontId="4" type="noConversion"/>
  </si>
  <si>
    <t>CTRL + TAB</t>
    <phoneticPr fontId="4" type="noConversion"/>
  </si>
  <si>
    <t>^{TAB}</t>
    <phoneticPr fontId="4" type="noConversion"/>
  </si>
  <si>
    <t xml:space="preserve">SHIFT + TAB </t>
    <phoneticPr fontId="4" type="noConversion"/>
  </si>
  <si>
    <t>+{TAB}</t>
    <phoneticPr fontId="4" type="noConversion"/>
  </si>
  <si>
    <t>ALT + TAB</t>
    <phoneticPr fontId="4" type="noConversion"/>
  </si>
  <si>
    <t>%{TAB}</t>
    <phoneticPr fontId="4" type="noConversion"/>
  </si>
  <si>
    <t>BACKSPACE</t>
    <phoneticPr fontId="4" type="noConversion"/>
  </si>
  <si>
    <t>{BACKSPACE}</t>
  </si>
  <si>
    <t>BREAK</t>
  </si>
  <si>
    <t>{BREAK}</t>
  </si>
  <si>
    <t>CAPS LOCK</t>
  </si>
  <si>
    <t>{CAPSLOCK}</t>
  </si>
  <si>
    <t>DELETE</t>
    <phoneticPr fontId="4" type="noConversion"/>
  </si>
  <si>
    <t>{DELETE}</t>
    <phoneticPr fontId="4" type="noConversion"/>
  </si>
  <si>
    <t>DOWN ARROW</t>
  </si>
  <si>
    <t>{DOWN}</t>
  </si>
  <si>
    <t>END</t>
  </si>
  <si>
    <t>{END}</t>
  </si>
  <si>
    <t>ENTER</t>
  </si>
  <si>
    <t>~</t>
    <phoneticPr fontId="4" type="noConversion"/>
  </si>
  <si>
    <t>ESC</t>
  </si>
  <si>
    <t>{ESC}</t>
  </si>
  <si>
    <t>HELP</t>
  </si>
  <si>
    <t>{HELP}</t>
  </si>
  <si>
    <t>HOME</t>
  </si>
  <si>
    <t>{HOME}</t>
  </si>
  <si>
    <t>INSERT</t>
    <phoneticPr fontId="4" type="noConversion"/>
  </si>
  <si>
    <t>{INSERT}</t>
    <phoneticPr fontId="4" type="noConversion"/>
  </si>
  <si>
    <t>LEFT ARROW</t>
  </si>
  <si>
    <t>{LEFT}</t>
  </si>
  <si>
    <t>NUM LOCK</t>
  </si>
  <si>
    <t>{NUMLOCK}</t>
  </si>
  <si>
    <t>PAGE DOWN</t>
  </si>
  <si>
    <t>{PGDN}</t>
  </si>
  <si>
    <t>PAGE UP</t>
  </si>
  <si>
    <t>{PGUP}</t>
  </si>
  <si>
    <t>PRINT SCREEN</t>
  </si>
  <si>
    <t>{PRTSC}</t>
  </si>
  <si>
    <t>RIGHT ARROW</t>
  </si>
  <si>
    <t>{RIGHT}</t>
  </si>
  <si>
    <t>SCROLL LOCK</t>
  </si>
  <si>
    <t>{SCROLLLOCK}</t>
  </si>
  <si>
    <t>TAB</t>
  </si>
  <si>
    <t>{TAB}</t>
  </si>
  <si>
    <t>UP ARROW</t>
  </si>
  <si>
    <t>{UP}</t>
  </si>
  <si>
    <t>F1</t>
  </si>
  <si>
    <t>{F1}</t>
  </si>
  <si>
    <t>F2</t>
  </si>
  <si>
    <t>{F2}</t>
  </si>
  <si>
    <t>F3</t>
  </si>
  <si>
    <t>{F3}</t>
  </si>
  <si>
    <t>F4</t>
  </si>
  <si>
    <t>{F4}</t>
  </si>
  <si>
    <t>F5</t>
  </si>
  <si>
    <t>{F5}</t>
  </si>
  <si>
    <t>F6</t>
  </si>
  <si>
    <t>{F6}</t>
  </si>
  <si>
    <t>F7</t>
  </si>
  <si>
    <t>{F7}</t>
  </si>
  <si>
    <t>F8</t>
  </si>
  <si>
    <t>{F8}</t>
  </si>
  <si>
    <t>F9</t>
  </si>
  <si>
    <t>{F9}</t>
  </si>
  <si>
    <t>F10</t>
  </si>
  <si>
    <t>{F10}</t>
  </si>
  <si>
    <t>F11</t>
  </si>
  <si>
    <t>{F11}</t>
  </si>
  <si>
    <t>F12</t>
  </si>
  <si>
    <t>{F12}</t>
  </si>
  <si>
    <t>F13</t>
  </si>
  <si>
    <t>{F13}</t>
  </si>
  <si>
    <t>F14</t>
  </si>
  <si>
    <t>{F14}</t>
  </si>
  <si>
    <t>F15</t>
  </si>
  <si>
    <t>{F15}</t>
  </si>
  <si>
    <t>F16</t>
  </si>
  <si>
    <t>{F16}</t>
  </si>
  <si>
    <t>SHIFT</t>
  </si>
  <si>
    <t>+</t>
  </si>
  <si>
    <t>CTRL</t>
  </si>
  <si>
    <t>^</t>
  </si>
  <si>
    <t>ALT</t>
  </si>
  <si>
    <t>%</t>
  </si>
  <si>
    <t>끝</t>
    <phoneticPr fontId="4" type="noConversion"/>
  </si>
  <si>
    <t>Function</t>
    <phoneticPr fontId="4" type="noConversion"/>
  </si>
  <si>
    <t>User Design</t>
    <phoneticPr fontId="4" type="noConversion"/>
  </si>
  <si>
    <r>
      <t xml:space="preserve">Input: </t>
    </r>
    <r>
      <rPr>
        <sz val="11"/>
        <color rgb="FFFF0000"/>
        <rFont val="맑은 고딕"/>
        <family val="3"/>
        <charset val="129"/>
        <scheme val="minor"/>
      </rPr>
      <t xml:space="preserve">Red, </t>
    </r>
    <r>
      <rPr>
        <sz val="11"/>
        <color rgb="FF00B050"/>
        <rFont val="맑은 고딕"/>
        <family val="3"/>
        <charset val="129"/>
        <scheme val="minor"/>
      </rPr>
      <t>Green</t>
    </r>
  </si>
  <si>
    <t>● 외부 파일 갱신(값)</t>
    <phoneticPr fontId="4" type="noConversion"/>
  </si>
  <si>
    <t>순번</t>
    <phoneticPr fontId="4" type="noConversion"/>
  </si>
  <si>
    <t>Sheet Name</t>
    <phoneticPr fontId="4" type="noConversion"/>
  </si>
  <si>
    <t>파일 이름</t>
    <phoneticPr fontId="4" type="noConversion"/>
  </si>
  <si>
    <t>파일 확장자</t>
    <phoneticPr fontId="4" type="noConversion"/>
  </si>
  <si>
    <t>파일 경로</t>
    <phoneticPr fontId="4" type="noConversion"/>
  </si>
  <si>
    <t>시트[지정 or "모든시트" or 공백]</t>
    <phoneticPr fontId="4" type="noConversion"/>
  </si>
  <si>
    <t xml:space="preserve">필터 </t>
    <phoneticPr fontId="4" type="noConversion"/>
  </si>
  <si>
    <t>행</t>
    <phoneticPr fontId="4" type="noConversion"/>
  </si>
  <si>
    <t>포함값</t>
    <phoneticPr fontId="4" type="noConversion"/>
  </si>
  <si>
    <t>행</t>
    <phoneticPr fontId="4" type="noConversion"/>
  </si>
  <si>
    <t>포함값</t>
    <phoneticPr fontId="4" type="noConversion"/>
  </si>
  <si>
    <t>포함값</t>
    <phoneticPr fontId="4" type="noConversion"/>
  </si>
  <si>
    <t>복사위치</t>
    <phoneticPr fontId="4" type="noConversion"/>
  </si>
  <si>
    <t>기존내용지움</t>
    <phoneticPr fontId="4" type="noConversion"/>
  </si>
  <si>
    <t>외부파일갱신_값</t>
    <phoneticPr fontId="4" type="noConversion"/>
  </si>
  <si>
    <t>MAT_값</t>
    <phoneticPr fontId="4" type="noConversion"/>
  </si>
  <si>
    <t>MATL_TRACKING_LIST</t>
    <phoneticPr fontId="4" type="noConversion"/>
  </si>
  <si>
    <t>xls</t>
    <phoneticPr fontId="4" type="noConversion"/>
  </si>
  <si>
    <t>C:\Users\jhlee\Desktop\자동문서 call</t>
    <phoneticPr fontId="4" type="noConversion"/>
  </si>
  <si>
    <t>A1</t>
    <phoneticPr fontId="4" type="noConversion"/>
  </si>
  <si>
    <t>● 외부 파일 갱신(수식, 서식유지)</t>
    <phoneticPr fontId="4" type="noConversion"/>
  </si>
  <si>
    <t>S.N</t>
    <phoneticPr fontId="4" type="noConversion"/>
  </si>
  <si>
    <t>Sheet Name</t>
    <phoneticPr fontId="4" type="noConversion"/>
  </si>
  <si>
    <t>파일 이름</t>
    <phoneticPr fontId="4" type="noConversion"/>
  </si>
  <si>
    <t>파일 확장자</t>
    <phoneticPr fontId="4" type="noConversion"/>
  </si>
  <si>
    <t>파일 경로</t>
    <phoneticPr fontId="4" type="noConversion"/>
  </si>
  <si>
    <t>시트[지정 or "모든시트" or 공백]</t>
    <phoneticPr fontId="4" type="noConversion"/>
  </si>
  <si>
    <t>행</t>
    <phoneticPr fontId="4" type="noConversion"/>
  </si>
  <si>
    <t>행</t>
    <phoneticPr fontId="4" type="noConversion"/>
  </si>
  <si>
    <t>포함값</t>
    <phoneticPr fontId="4" type="noConversion"/>
  </si>
  <si>
    <t>기존내용지움</t>
    <phoneticPr fontId="4" type="noConversion"/>
  </si>
  <si>
    <t>외부파일갱신_서식</t>
    <phoneticPr fontId="4" type="noConversion"/>
  </si>
  <si>
    <t>MAT_서식</t>
    <phoneticPr fontId="4" type="noConversion"/>
  </si>
  <si>
    <t>MATL_TRACKING_LIST</t>
    <phoneticPr fontId="4" type="noConversion"/>
  </si>
  <si>
    <t>xls</t>
    <phoneticPr fontId="4" type="noConversion"/>
  </si>
  <si>
    <t>C:\Users\jhlee\Desktop\자동문서 call</t>
    <phoneticPr fontId="4" type="noConversion"/>
  </si>
  <si>
    <t>A1</t>
    <phoneticPr fontId="4" type="noConversion"/>
  </si>
  <si>
    <t>● TEXT 파일복사</t>
    <phoneticPr fontId="4" type="noConversion"/>
  </si>
  <si>
    <t>Sheet Name</t>
    <phoneticPr fontId="4" type="noConversion"/>
  </si>
  <si>
    <t>기존내역 삭제</t>
    <phoneticPr fontId="4" type="noConversion"/>
  </si>
  <si>
    <t>파일 확장자</t>
    <phoneticPr fontId="4" type="noConversion"/>
  </si>
  <si>
    <t>Text 나누기[공백시 나누기 없음]</t>
    <phoneticPr fontId="4" type="noConversion"/>
  </si>
  <si>
    <t>TEXT 파일 복사</t>
    <phoneticPr fontId="4" type="noConversion"/>
  </si>
  <si>
    <t>TEST</t>
    <phoneticPr fontId="4" type="noConversion"/>
  </si>
  <si>
    <t>Y</t>
  </si>
  <si>
    <t>SPOOL_BOP</t>
    <phoneticPr fontId="4" type="noConversion"/>
  </si>
  <si>
    <t>txt</t>
    <phoneticPr fontId="4" type="noConversion"/>
  </si>
  <si>
    <t>C:\R14</t>
    <phoneticPr fontId="4" type="noConversion"/>
  </si>
  <si>
    <t>@</t>
    <phoneticPr fontId="4" type="noConversion"/>
  </si>
  <si>
    <t>● 시트 합병</t>
    <phoneticPr fontId="4" type="noConversion"/>
  </si>
  <si>
    <t>Sheet Name</t>
    <phoneticPr fontId="4" type="noConversion"/>
  </si>
  <si>
    <t>Sheet1</t>
    <phoneticPr fontId="4" type="noConversion"/>
  </si>
  <si>
    <t>Sheet2</t>
  </si>
  <si>
    <t>Sheet3</t>
  </si>
  <si>
    <t>--&gt; 확장가능</t>
    <phoneticPr fontId="4" type="noConversion"/>
  </si>
  <si>
    <t>파일합치기</t>
    <phoneticPr fontId="4" type="noConversion"/>
  </si>
  <si>
    <t>TOTAL</t>
    <phoneticPr fontId="4" type="noConversion"/>
  </si>
  <si>
    <t>MAT LIST</t>
  </si>
  <si>
    <t>MAT 복사</t>
  </si>
  <si>
    <t>병합 첫줄</t>
    <phoneticPr fontId="4" type="noConversion"/>
  </si>
  <si>
    <t>값으로 붙여넣기</t>
    <phoneticPr fontId="4" type="noConversion"/>
  </si>
  <si>
    <t>● 특정위치 값 추가</t>
    <phoneticPr fontId="4" type="noConversion"/>
  </si>
  <si>
    <t>위치</t>
    <phoneticPr fontId="4" type="noConversion"/>
  </si>
  <si>
    <t>값 or 수식</t>
    <phoneticPr fontId="4" type="noConversion"/>
  </si>
  <si>
    <t>값추가</t>
    <phoneticPr fontId="4" type="noConversion"/>
  </si>
  <si>
    <t>TEST</t>
    <phoneticPr fontId="4" type="noConversion"/>
  </si>
  <si>
    <t>A1</t>
  </si>
  <si>
    <t>=B1&amp;C1</t>
    <phoneticPr fontId="4" type="noConversion"/>
  </si>
  <si>
    <t>● 수식추가</t>
    <phoneticPr fontId="4" type="noConversion"/>
  </si>
  <si>
    <t>위치</t>
    <phoneticPr fontId="4" type="noConversion"/>
  </si>
  <si>
    <t>값 or 수식</t>
    <phoneticPr fontId="4" type="noConversion"/>
  </si>
  <si>
    <t>복사마지막 행</t>
    <phoneticPr fontId="4" type="noConversion"/>
  </si>
  <si>
    <t>값으로 변경</t>
    <phoneticPr fontId="4" type="noConversion"/>
  </si>
  <si>
    <t>수식유지위치</t>
    <phoneticPr fontId="4" type="noConversion"/>
  </si>
  <si>
    <t>수식추가</t>
    <phoneticPr fontId="4" type="noConversion"/>
  </si>
  <si>
    <t>=B1&amp;C1</t>
  </si>
  <si>
    <t>● 참고시트 복사하여 최종시트에 붙여넣기</t>
    <phoneticPr fontId="4" type="noConversion"/>
  </si>
  <si>
    <t>최종시트 모두 지울경우 "1" 입력. 지우지 않을경우 "N" 입력</t>
    <phoneticPr fontId="4" type="noConversion"/>
  </si>
  <si>
    <t>구분</t>
    <phoneticPr fontId="4" type="noConversion"/>
  </si>
  <si>
    <t>Sheet Name</t>
    <phoneticPr fontId="4" type="noConversion"/>
  </si>
  <si>
    <t>복사/붙여널을 열순번</t>
    <phoneticPr fontId="4" type="noConversion"/>
  </si>
  <si>
    <t>최종시트 지움시작행</t>
    <phoneticPr fontId="4" type="noConversion"/>
  </si>
  <si>
    <t>복사 1</t>
    <phoneticPr fontId="4" type="noConversion"/>
  </si>
  <si>
    <t>복사 2</t>
  </si>
  <si>
    <t>복사 3</t>
  </si>
  <si>
    <t>행복사</t>
    <phoneticPr fontId="4" type="noConversion"/>
  </si>
  <si>
    <t>참고시트</t>
    <phoneticPr fontId="4" type="noConversion"/>
  </si>
  <si>
    <t>Sheet1</t>
  </si>
  <si>
    <t>-</t>
    <phoneticPr fontId="4" type="noConversion"/>
  </si>
  <si>
    <t>B</t>
    <phoneticPr fontId="4" type="noConversion"/>
  </si>
  <si>
    <t>B</t>
    <phoneticPr fontId="4" type="noConversion"/>
  </si>
  <si>
    <t>C</t>
    <phoneticPr fontId="4" type="noConversion"/>
  </si>
  <si>
    <t>최종시트</t>
    <phoneticPr fontId="4" type="noConversion"/>
  </si>
  <si>
    <t>B</t>
    <phoneticPr fontId="4" type="noConversion"/>
  </si>
  <si>
    <t>C</t>
    <phoneticPr fontId="4" type="noConversion"/>
  </si>
  <si>
    <t xml:space="preserve">복사방법:   </t>
    <phoneticPr fontId="4" type="noConversion"/>
  </si>
  <si>
    <t>값으로</t>
  </si>
  <si>
    <t>수식 유지</t>
  </si>
  <si>
    <t>● 최종시트 중복된 항목 제거.     1.중복대상 시트는 병합되지 않아야함됨</t>
    <phoneticPr fontId="4" type="noConversion"/>
  </si>
  <si>
    <t>값이 없을경우 2번째 줄부터</t>
    <phoneticPr fontId="4" type="noConversion"/>
  </si>
  <si>
    <t>Sheet Name</t>
    <phoneticPr fontId="4" type="noConversion"/>
  </si>
  <si>
    <t>From</t>
    <phoneticPr fontId="4" type="noConversion"/>
  </si>
  <si>
    <t>To</t>
    <phoneticPr fontId="4" type="noConversion"/>
  </si>
  <si>
    <t>간격 [50까지 가능]</t>
    <phoneticPr fontId="4" type="noConversion"/>
  </si>
  <si>
    <t>시작열</t>
    <phoneticPr fontId="4" type="noConversion"/>
  </si>
  <si>
    <t>중복제거</t>
    <phoneticPr fontId="4" type="noConversion"/>
  </si>
  <si>
    <t>TEST</t>
    <phoneticPr fontId="4" type="noConversion"/>
  </si>
  <si>
    <t>C</t>
    <phoneticPr fontId="4" type="noConversion"/>
  </si>
  <si>
    <t>F</t>
    <phoneticPr fontId="4" type="noConversion"/>
  </si>
  <si>
    <t>● 수식 채움</t>
    <phoneticPr fontId="4" type="noConversion"/>
  </si>
  <si>
    <t>수식이 있는 처음 위치</t>
    <phoneticPr fontId="4" type="noConversion"/>
  </si>
  <si>
    <t>수식행 1</t>
    <phoneticPr fontId="4" type="noConversion"/>
  </si>
  <si>
    <t>수식행 2</t>
  </si>
  <si>
    <t>수식채움</t>
    <phoneticPr fontId="4" type="noConversion"/>
  </si>
  <si>
    <t>B:C</t>
    <phoneticPr fontId="4" type="noConversion"/>
  </si>
  <si>
    <t>D</t>
    <phoneticPr fontId="4" type="noConversion"/>
  </si>
  <si>
    <r>
      <t>● 정렬 (</t>
    </r>
    <r>
      <rPr>
        <b/>
        <sz val="11"/>
        <color rgb="FF0070C0"/>
        <rFont val="맑은 고딕"/>
        <family val="2"/>
        <scheme val="minor"/>
      </rPr>
      <t>수식이 있는 시트는 정렬하지 말 것</t>
    </r>
    <r>
      <rPr>
        <sz val="11"/>
        <color theme="1"/>
        <rFont val="맑은 고딕"/>
        <family val="2"/>
        <charset val="129"/>
        <scheme val="minor"/>
      </rPr>
      <t>)</t>
    </r>
  </si>
  <si>
    <t>시트 전체 or  부분</t>
    <phoneticPr fontId="4" type="noConversion"/>
  </si>
  <si>
    <t>기준 1</t>
    <phoneticPr fontId="4" type="noConversion"/>
  </si>
  <si>
    <t>기준 2</t>
  </si>
  <si>
    <t>--&gt; 확장가능</t>
    <phoneticPr fontId="4" type="noConversion"/>
  </si>
  <si>
    <t>시트정렬</t>
    <phoneticPr fontId="4" type="noConversion"/>
  </si>
  <si>
    <t>A</t>
    <phoneticPr fontId="4" type="noConversion"/>
  </si>
  <si>
    <t>A2:B마지막</t>
    <phoneticPr fontId="4" type="noConversion"/>
  </si>
  <si>
    <t>오름차순</t>
  </si>
  <si>
    <t>● 값으로 변경</t>
    <phoneticPr fontId="4" type="noConversion"/>
  </si>
  <si>
    <t>값변경여부</t>
    <phoneticPr fontId="4" type="noConversion"/>
  </si>
  <si>
    <t>값 변경 첫행</t>
    <phoneticPr fontId="4" type="noConversion"/>
  </si>
  <si>
    <t>값으로붙여넣기</t>
    <phoneticPr fontId="4" type="noConversion"/>
  </si>
  <si>
    <t>TEST</t>
    <phoneticPr fontId="4" type="noConversion"/>
  </si>
  <si>
    <t>● 시트복사</t>
    <phoneticPr fontId="4" type="noConversion"/>
  </si>
  <si>
    <t>New Sheet Name</t>
    <phoneticPr fontId="4" type="noConversion"/>
  </si>
  <si>
    <t>복사시트</t>
    <phoneticPr fontId="4" type="noConversion"/>
  </si>
  <si>
    <t xml:space="preserve">필터 </t>
    <phoneticPr fontId="4" type="noConversion"/>
  </si>
  <si>
    <t>필터행</t>
    <phoneticPr fontId="4" type="noConversion"/>
  </si>
  <si>
    <t>필터 포함값</t>
    <phoneticPr fontId="4" type="noConversion"/>
  </si>
  <si>
    <t>서식복사</t>
    <phoneticPr fontId="4" type="noConversion"/>
  </si>
  <si>
    <t>시트위치(특정시트 앞)</t>
    <phoneticPr fontId="4" type="noConversion"/>
  </si>
  <si>
    <t>시트복사</t>
    <phoneticPr fontId="4" type="noConversion"/>
  </si>
  <si>
    <t>TEST</t>
    <phoneticPr fontId="4" type="noConversion"/>
  </si>
  <si>
    <t>MPR 도면 자재현황</t>
    <phoneticPr fontId="4" type="noConversion"/>
  </si>
  <si>
    <t>Sheet3</t>
    <phoneticPr fontId="4" type="noConversion"/>
  </si>
  <si>
    <t>● 행삽입</t>
    <phoneticPr fontId="4" type="noConversion"/>
  </si>
  <si>
    <t>삽입 1</t>
    <phoneticPr fontId="4" type="noConversion"/>
  </si>
  <si>
    <t>삽입 2</t>
  </si>
  <si>
    <t>행삽입</t>
    <phoneticPr fontId="4" type="noConversion"/>
  </si>
  <si>
    <t>A:B</t>
    <phoneticPr fontId="4" type="noConversion"/>
  </si>
  <si>
    <t>C:C</t>
    <phoneticPr fontId="4" type="noConversion"/>
  </si>
  <si>
    <t>● 글자크기에 맞게 열크기 조절</t>
    <phoneticPr fontId="4" type="noConversion"/>
  </si>
  <si>
    <t>여부</t>
    <phoneticPr fontId="4" type="noConversion"/>
  </si>
  <si>
    <t>자동열맞춤</t>
    <phoneticPr fontId="4" type="noConversion"/>
  </si>
  <si>
    <t>● 셀서식관리</t>
    <phoneticPr fontId="4" type="noConversion"/>
  </si>
  <si>
    <t>현제 가능 항목</t>
    <phoneticPr fontId="4" type="noConversion"/>
  </si>
  <si>
    <t>날짜, 백분율(%), 숫자(0), 숫자(0.0), 숫자(0.00)</t>
    <phoneticPr fontId="4" type="noConversion"/>
  </si>
  <si>
    <t>열1</t>
    <phoneticPr fontId="4" type="noConversion"/>
  </si>
  <si>
    <t>열2</t>
  </si>
  <si>
    <t>열3</t>
  </si>
  <si>
    <t>열4</t>
  </si>
  <si>
    <t>열5</t>
  </si>
  <si>
    <t>셀표시형식</t>
    <phoneticPr fontId="4" type="noConversion"/>
  </si>
  <si>
    <t>A</t>
    <phoneticPr fontId="4" type="noConversion"/>
  </si>
  <si>
    <t>B</t>
    <phoneticPr fontId="4" type="noConversion"/>
  </si>
  <si>
    <t>D</t>
    <phoneticPr fontId="4" type="noConversion"/>
  </si>
  <si>
    <t>E</t>
    <phoneticPr fontId="4" type="noConversion"/>
  </si>
  <si>
    <t>숫자(0.0)</t>
  </si>
  <si>
    <t>숫자(0.00)</t>
  </si>
  <si>
    <t>날짜</t>
  </si>
  <si>
    <t>백분율(%)</t>
  </si>
  <si>
    <t>숫자(0)</t>
  </si>
  <si>
    <t>왼쪽맞춤</t>
  </si>
  <si>
    <t>가운데맞춤</t>
  </si>
  <si>
    <t>셀너비관리</t>
    <phoneticPr fontId="4" type="noConversion"/>
  </si>
  <si>
    <t>A</t>
    <phoneticPr fontId="4" type="noConversion"/>
  </si>
  <si>
    <t>● 틀고정/해제</t>
    <phoneticPr fontId="4" type="noConversion"/>
  </si>
  <si>
    <t>고정행</t>
    <phoneticPr fontId="4" type="noConversion"/>
  </si>
  <si>
    <t>틀고정</t>
    <phoneticPr fontId="4" type="noConversion"/>
  </si>
  <si>
    <t>TEST</t>
    <phoneticPr fontId="4" type="noConversion"/>
  </si>
  <si>
    <t>A4:A4</t>
    <phoneticPr fontId="4" type="noConversion"/>
  </si>
  <si>
    <t>&lt;-- 공백 처리시 틀고정 해제</t>
    <phoneticPr fontId="4" type="noConversion"/>
  </si>
  <si>
    <t>● 필터 (*연속 작업 불가, 여러시트 작업할경우 시트마다 별도 코딩)</t>
    <phoneticPr fontId="4" type="noConversion"/>
  </si>
  <si>
    <t>값 없을경우 모두표시, "공백제외" 입력시 공백제외만, "공백만"  입력시에는 공백만</t>
    <phoneticPr fontId="4" type="noConversion"/>
  </si>
  <si>
    <t>Sheet Name</t>
    <phoneticPr fontId="4" type="noConversion"/>
  </si>
  <si>
    <t>열 [대문자]</t>
    <phoneticPr fontId="4" type="noConversion"/>
  </si>
  <si>
    <t>포함 값</t>
    <phoneticPr fontId="4" type="noConversion"/>
  </si>
  <si>
    <t>필터</t>
    <phoneticPr fontId="4" type="noConversion"/>
  </si>
  <si>
    <t>2</t>
    <phoneticPr fontId="4" type="noConversion"/>
  </si>
  <si>
    <t>공백만</t>
    <phoneticPr fontId="4" type="noConversion"/>
  </si>
  <si>
    <t>● 테두리 [외관 실선, 내부 점선]</t>
    <phoneticPr fontId="4" type="noConversion"/>
  </si>
  <si>
    <t>범위 (공백-&gt;시트전체)</t>
    <phoneticPr fontId="4" type="noConversion"/>
  </si>
  <si>
    <t>테두리추가</t>
    <phoneticPr fontId="4" type="noConversion"/>
  </si>
  <si>
    <t>G9:K19</t>
    <phoneticPr fontId="4" type="noConversion"/>
  </si>
  <si>
    <t>● 찾기 바꾸기</t>
    <phoneticPr fontId="4" type="noConversion"/>
  </si>
  <si>
    <t>찾기</t>
    <phoneticPr fontId="4" type="noConversion"/>
  </si>
  <si>
    <t>바꾸기</t>
    <phoneticPr fontId="4" type="noConversion"/>
  </si>
  <si>
    <t>찾기_바꾸기</t>
    <phoneticPr fontId="4" type="noConversion"/>
  </si>
  <si>
    <t>TEST 시트</t>
    <phoneticPr fontId="4" type="noConversion"/>
  </si>
  <si>
    <t>A:B</t>
    <phoneticPr fontId="4" type="noConversion"/>
  </si>
  <si>
    <t>A</t>
    <phoneticPr fontId="4" type="noConversion"/>
  </si>
  <si>
    <t>● 특정시트 다른엑셀파일로 저장 / 동일한 이름의 파일이 있을경우 덮어씀.</t>
    <phoneticPr fontId="4" type="noConversion"/>
  </si>
  <si>
    <t>파일 이름</t>
    <phoneticPr fontId="4" type="noConversion"/>
  </si>
  <si>
    <t>저장 Sheet Name</t>
    <phoneticPr fontId="4" type="noConversion"/>
  </si>
  <si>
    <t>파일저장위치</t>
    <phoneticPr fontId="4" type="noConversion"/>
  </si>
  <si>
    <t>시트내보내기</t>
    <phoneticPr fontId="4" type="noConversion"/>
  </si>
  <si>
    <t>TOTAL</t>
    <phoneticPr fontId="4" type="noConversion"/>
  </si>
  <si>
    <t>C:\Users\jhlee\Desktop</t>
    <phoneticPr fontId="4" type="noConversion"/>
  </si>
  <si>
    <t>● 함께 열린 다른엑셀 파일로 특정시트 복사</t>
    <phoneticPr fontId="4" type="noConversion"/>
  </si>
  <si>
    <t>다른파일이름</t>
    <phoneticPr fontId="4" type="noConversion"/>
  </si>
  <si>
    <t>다른파일 생성/수정시트</t>
    <phoneticPr fontId="4" type="noConversion"/>
  </si>
  <si>
    <t>본파일에서 복사되는 시트</t>
    <phoneticPr fontId="4" type="noConversion"/>
  </si>
  <si>
    <t>값으로 복사</t>
    <phoneticPr fontId="4" type="noConversion"/>
  </si>
  <si>
    <t>다른파일 내용지움후 복사</t>
    <phoneticPr fontId="4" type="noConversion"/>
  </si>
  <si>
    <t>다른파일로 시트복사</t>
    <phoneticPr fontId="4" type="noConversion"/>
  </si>
  <si>
    <t>통합 문서1</t>
    <phoneticPr fontId="4" type="noConversion"/>
  </si>
  <si>
    <t>MAT LIST</t>
    <phoneticPr fontId="4" type="noConversion"/>
  </si>
  <si>
    <t>MAT 복사</t>
    <phoneticPr fontId="4" type="noConversion"/>
  </si>
  <si>
    <t>● 부분 복사</t>
    <phoneticPr fontId="4" type="noConversion"/>
  </si>
  <si>
    <t>복사 시트</t>
    <phoneticPr fontId="4" type="noConversion"/>
  </si>
  <si>
    <t>복사 범위</t>
    <phoneticPr fontId="4" type="noConversion"/>
  </si>
  <si>
    <t>최종시트</t>
    <phoneticPr fontId="4" type="noConversion"/>
  </si>
  <si>
    <t>붙여넣을 위치(A1 or..)</t>
    <phoneticPr fontId="4" type="noConversion"/>
  </si>
  <si>
    <t>값으로 변경 여부</t>
    <phoneticPr fontId="4" type="noConversion"/>
  </si>
  <si>
    <t>행열 변환</t>
    <phoneticPr fontId="4" type="noConversion"/>
  </si>
  <si>
    <t>셀부분복사</t>
    <phoneticPr fontId="4" type="noConversion"/>
  </si>
  <si>
    <t>Sheet3</t>
    <phoneticPr fontId="4" type="noConversion"/>
  </si>
  <si>
    <t>A2:B@마지막</t>
    <phoneticPr fontId="4" type="noConversion"/>
  </si>
  <si>
    <t>Sheet5</t>
    <phoneticPr fontId="4" type="noConversion"/>
  </si>
  <si>
    <t>A시트마지막</t>
    <phoneticPr fontId="4" type="noConversion"/>
  </si>
  <si>
    <t>Y</t>
    <phoneticPr fontId="4" type="noConversion"/>
  </si>
  <si>
    <t>N</t>
    <phoneticPr fontId="4" type="noConversion"/>
  </si>
  <si>
    <t>● 열 삽입</t>
    <phoneticPr fontId="4" type="noConversion"/>
  </si>
  <si>
    <t>삽입 1</t>
    <phoneticPr fontId="4" type="noConversion"/>
  </si>
  <si>
    <t>--&gt; 확장가능</t>
    <phoneticPr fontId="4" type="noConversion"/>
  </si>
  <si>
    <t>열삽입</t>
    <phoneticPr fontId="4" type="noConversion"/>
  </si>
  <si>
    <t>Sheet1</t>
    <phoneticPr fontId="4" type="noConversion"/>
  </si>
  <si>
    <t>1:1</t>
    <phoneticPr fontId="4" type="noConversion"/>
  </si>
  <si>
    <t>5:6</t>
    <phoneticPr fontId="4" type="noConversion"/>
  </si>
  <si>
    <t>● 시트삭제</t>
    <phoneticPr fontId="4" type="noConversion"/>
  </si>
  <si>
    <t>내용 삭제 / 시트 삭제</t>
    <phoneticPr fontId="4" type="noConversion"/>
  </si>
  <si>
    <t>시트삭제</t>
    <phoneticPr fontId="4" type="noConversion"/>
  </si>
  <si>
    <t>Sheet4</t>
    <phoneticPr fontId="4" type="noConversion"/>
  </si>
  <si>
    <t>시트 삭제</t>
  </si>
  <si>
    <t>● 시트생성, 시트삭제, 시트 내용만 삭제</t>
    <phoneticPr fontId="4" type="noConversion"/>
  </si>
  <si>
    <t>유형 선택</t>
    <phoneticPr fontId="4" type="noConversion"/>
  </si>
  <si>
    <t>내용 삭제/지움 시 시작열</t>
    <phoneticPr fontId="4" type="noConversion"/>
  </si>
  <si>
    <t>시트생성및 삭제</t>
    <phoneticPr fontId="4" type="noConversion"/>
  </si>
  <si>
    <t>Sheet4</t>
    <phoneticPr fontId="4" type="noConversion"/>
  </si>
  <si>
    <t>시트 생성</t>
  </si>
  <si>
    <t>● 현재상태에서 계산수행여부</t>
    <phoneticPr fontId="4" type="noConversion"/>
  </si>
  <si>
    <t>자동계산</t>
    <phoneticPr fontId="4" type="noConversion"/>
  </si>
  <si>
    <t>계산옵션</t>
    <phoneticPr fontId="4" type="noConversion"/>
  </si>
  <si>
    <t>ON</t>
  </si>
  <si>
    <t>● 다중시트 다른엑셀파일로 저장.</t>
    <phoneticPr fontId="4" type="noConversion"/>
  </si>
  <si>
    <t>생성파일이름</t>
    <phoneticPr fontId="4" type="noConversion"/>
  </si>
  <si>
    <t>파일저장위치</t>
    <phoneticPr fontId="4" type="noConversion"/>
  </si>
  <si>
    <t>내보낼시트 1</t>
    <phoneticPr fontId="4" type="noConversion"/>
  </si>
  <si>
    <t>내보낼시트 2</t>
  </si>
  <si>
    <t>--&gt; 확장가능( Max 9 개 )</t>
    <phoneticPr fontId="4" type="noConversion"/>
  </si>
  <si>
    <t>다중시트내보내기</t>
    <phoneticPr fontId="4" type="noConversion"/>
  </si>
  <si>
    <t>● 행삭제, (*연속 작업 불가, 여러시트 작업할경우 시트마다 별도 코딩)</t>
    <phoneticPr fontId="4" type="noConversion"/>
  </si>
  <si>
    <t>행 삭제</t>
  </si>
  <si>
    <t>--&gt; 확장가능</t>
    <phoneticPr fontId="4" type="noConversion"/>
  </si>
  <si>
    <t>행삭제</t>
    <phoneticPr fontId="4" type="noConversion"/>
  </si>
  <si>
    <t>E:E</t>
    <phoneticPr fontId="4" type="noConversion"/>
  </si>
  <si>
    <t>● 열삭제, (*연속 작업 불가, 여러시트 작업할경우 시트마다 별도 코딩)</t>
    <phoneticPr fontId="4" type="noConversion"/>
  </si>
  <si>
    <t>Sheet Name</t>
    <phoneticPr fontId="4" type="noConversion"/>
  </si>
  <si>
    <t>열 삭제</t>
  </si>
  <si>
    <t>열삭제</t>
    <phoneticPr fontId="4" type="noConversion"/>
  </si>
  <si>
    <t>3:3</t>
    <phoneticPr fontId="4" type="noConversion"/>
  </si>
  <si>
    <t>6:7</t>
    <phoneticPr fontId="4" type="noConversion"/>
  </si>
  <si>
    <t>● 필터 제거</t>
    <phoneticPr fontId="4" type="noConversion"/>
  </si>
  <si>
    <t>시트 1</t>
    <phoneticPr fontId="4" type="noConversion"/>
  </si>
  <si>
    <t>시트 2</t>
  </si>
  <si>
    <t>시트 3</t>
  </si>
  <si>
    <t>--&gt; 확장가능</t>
    <phoneticPr fontId="4" type="noConversion"/>
  </si>
  <si>
    <t>필터제거</t>
    <phoneticPr fontId="4" type="noConversion"/>
  </si>
  <si>
    <t>Sheet2</t>
    <phoneticPr fontId="4" type="noConversion"/>
  </si>
  <si>
    <t>● 시트 숨김</t>
    <phoneticPr fontId="4" type="noConversion"/>
  </si>
  <si>
    <t>시트 1</t>
    <phoneticPr fontId="4" type="noConversion"/>
  </si>
  <si>
    <t>시트숨김</t>
    <phoneticPr fontId="4" type="noConversion"/>
  </si>
  <si>
    <t>Sheet1</t>
    <phoneticPr fontId="4" type="noConversion"/>
  </si>
  <si>
    <t>Sheet2</t>
    <phoneticPr fontId="4" type="noConversion"/>
  </si>
  <si>
    <t>● 시트 숨김취 소</t>
    <phoneticPr fontId="4" type="noConversion"/>
  </si>
  <si>
    <t>시트숨김취소</t>
    <phoneticPr fontId="4" type="noConversion"/>
  </si>
  <si>
    <t>● 마지막 시트 선택</t>
    <phoneticPr fontId="4" type="noConversion"/>
  </si>
  <si>
    <t>마지막 시트</t>
    <phoneticPr fontId="4" type="noConversion"/>
  </si>
  <si>
    <t>마지막표시시트</t>
    <phoneticPr fontId="4" type="noConversion"/>
  </si>
  <si>
    <t>AutoSendKey</t>
    <phoneticPr fontId="4" type="noConversion"/>
  </si>
  <si>
    <t>동작 구분</t>
  </si>
  <si>
    <t>경로와 이름(파일)</t>
  </si>
  <si>
    <t>ENTER</t>
    <phoneticPr fontId="4" type="noConversion"/>
  </si>
  <si>
    <t>값 입력</t>
  </si>
  <si>
    <t>ENTER</t>
    <phoneticPr fontId="4" type="noConversion"/>
  </si>
  <si>
    <t>프로그램 이동</t>
  </si>
  <si>
    <t>참고이름,값 or 반복--&gt;</t>
    <phoneticPr fontId="4" type="noConversion"/>
  </si>
  <si>
    <t>Mat Tracking List</t>
    <phoneticPr fontId="4" type="noConversion"/>
  </si>
  <si>
    <t>C:\Seonghwa\SHIIS2\COERP.exe</t>
    <phoneticPr fontId="4" type="noConversion"/>
  </si>
  <si>
    <t>SHIIS [이준호]</t>
    <phoneticPr fontId="4" type="noConversion"/>
  </si>
  <si>
    <t>대기시간(S)</t>
    <phoneticPr fontId="4" type="noConversion"/>
  </si>
  <si>
    <t>● 영역 지움</t>
    <phoneticPr fontId="4" type="noConversion"/>
  </si>
  <si>
    <t>지움 시트</t>
    <phoneticPr fontId="4" type="noConversion"/>
  </si>
  <si>
    <t>지움 범위</t>
    <phoneticPr fontId="4" type="noConversion"/>
  </si>
  <si>
    <t>셀영역지움</t>
    <phoneticPr fontId="4" type="noConversion"/>
  </si>
  <si>
    <t>test</t>
    <phoneticPr fontId="4" type="noConversion"/>
  </si>
  <si>
    <t>A2:Z@마지막</t>
    <phoneticPr fontId="4" type="noConversion"/>
  </si>
  <si>
    <t>● 서식만 복사</t>
    <phoneticPr fontId="4" type="noConversion"/>
  </si>
  <si>
    <t>복사 시트</t>
    <phoneticPr fontId="4" type="noConversion"/>
  </si>
  <si>
    <t>복사 서식</t>
    <phoneticPr fontId="4" type="noConversion"/>
  </si>
  <si>
    <t>변경위치(A1, A1:A@마지막)</t>
    <phoneticPr fontId="4" type="noConversion"/>
  </si>
  <si>
    <t>서식복사</t>
    <phoneticPr fontId="4" type="noConversion"/>
  </si>
  <si>
    <t>서식</t>
    <phoneticPr fontId="4" type="noConversion"/>
  </si>
  <si>
    <t>D1:D2</t>
    <phoneticPr fontId="4" type="noConversion"/>
  </si>
  <si>
    <t>G1:G4</t>
    <phoneticPr fontId="4" type="noConversion"/>
  </si>
  <si>
    <t>● 외부파일 인쇄</t>
    <phoneticPr fontId="4" type="noConversion"/>
  </si>
  <si>
    <t>S.N</t>
    <phoneticPr fontId="4" type="noConversion"/>
  </si>
  <si>
    <t>시트 이름</t>
    <phoneticPr fontId="4" type="noConversion"/>
  </si>
  <si>
    <t>확장자</t>
    <phoneticPr fontId="4" type="noConversion"/>
  </si>
  <si>
    <t>파일 경로</t>
    <phoneticPr fontId="4" type="noConversion"/>
  </si>
  <si>
    <t>출력_외부파일</t>
    <phoneticPr fontId="4" type="noConversion"/>
  </si>
  <si>
    <t>xlsm</t>
  </si>
  <si>
    <t>● 시트 인쇄</t>
    <phoneticPr fontId="4" type="noConversion"/>
  </si>
  <si>
    <t>S.N</t>
    <phoneticPr fontId="4" type="noConversion"/>
  </si>
  <si>
    <t>시트 이름</t>
    <phoneticPr fontId="4" type="noConversion"/>
  </si>
  <si>
    <t>출력_시트</t>
    <phoneticPr fontId="4" type="noConversion"/>
  </si>
  <si>
    <t>● 메크로 건너뛰기</t>
    <phoneticPr fontId="4" type="noConversion"/>
  </si>
  <si>
    <t>Skip From[숫자]</t>
  </si>
  <si>
    <t>Skip To[숫자]</t>
  </si>
  <si>
    <t>User 확인</t>
    <phoneticPr fontId="4" type="noConversion"/>
  </si>
  <si>
    <t>Question</t>
    <phoneticPr fontId="4" type="noConversion"/>
  </si>
  <si>
    <t>User 확인 'N' 경우, Skip From / To 값을 기준으로 해당 줄의 프로그램은 실행하지 않음.</t>
  </si>
  <si>
    <t>프로그램 건너뛰기</t>
    <phoneticPr fontId="4" type="noConversion"/>
  </si>
  <si>
    <t>Start</t>
  </si>
  <si>
    <t xml:space="preserve"> 단계까지의 메크로 무시</t>
    <phoneticPr fontId="4" type="noConversion"/>
  </si>
  <si>
    <t>User 확인 'Y' 경우, Skip From/ To  값과 상관없이 다음번 프로그램 건너뛰기의 End값까지 실행하지 않음.</t>
  </si>
  <si>
    <t>● 그림추가</t>
    <phoneticPr fontId="4" type="noConversion"/>
  </si>
  <si>
    <t>시트이름</t>
    <phoneticPr fontId="4" type="noConversion"/>
  </si>
  <si>
    <t>파일 이름</t>
    <phoneticPr fontId="4" type="noConversion"/>
  </si>
  <si>
    <t>파일 확장자</t>
    <phoneticPr fontId="4" type="noConversion"/>
  </si>
  <si>
    <t>그림추가</t>
    <phoneticPr fontId="4" type="noConversion"/>
  </si>
  <si>
    <t>TEST</t>
    <phoneticPr fontId="4" type="noConversion"/>
  </si>
  <si>
    <t>TK1001_10HAC30-BR201-P01_R1_SHEET1(스풀)_page-0001</t>
    <phoneticPr fontId="4" type="noConversion"/>
  </si>
  <si>
    <t>jpg</t>
  </si>
  <si>
    <t>● PDF 내보내기</t>
    <phoneticPr fontId="4" type="noConversion"/>
  </si>
  <si>
    <t>저장 경로</t>
    <phoneticPr fontId="4" type="noConversion"/>
  </si>
  <si>
    <t>파일이름</t>
    <phoneticPr fontId="4" type="noConversion"/>
  </si>
  <si>
    <t>PDF_내보내기</t>
    <phoneticPr fontId="4" type="noConversion"/>
  </si>
  <si>
    <t>C:\Users\jhlee\Documents</t>
  </si>
  <si>
    <t>● 다른시트에서 만들어 놓은 메크로 실행</t>
  </si>
  <si>
    <t>메크로 시트</t>
  </si>
  <si>
    <t>숨기기</t>
  </si>
  <si>
    <t>기존프로그램실행</t>
  </si>
  <si>
    <t>Coding 1</t>
  </si>
  <si>
    <t>● 종료시 완료 메시지 표시</t>
  </si>
  <si>
    <t>종료후 메시지</t>
  </si>
  <si>
    <t>완료메세지</t>
  </si>
  <si>
    <t>완료</t>
  </si>
  <si>
    <t>● 폴더생성. 기존폴더 존재시 무시.</t>
  </si>
  <si>
    <t>폴더 이름</t>
  </si>
  <si>
    <t>폴더생성</t>
  </si>
  <si>
    <t>C:\Users\jhlee\Desktopa\key test\2021.11.15</t>
  </si>
  <si>
    <t>● 프로그램 실행위치 이동</t>
  </si>
  <si>
    <t>이동위치[숫자)</t>
  </si>
  <si>
    <t>이동여부</t>
  </si>
  <si>
    <t>GOTO_IF</t>
  </si>
  <si>
    <t>Y: 프로그램 실행 위치 이동. N: 무시하고 진행</t>
  </si>
  <si>
    <t>● 파일 복사</t>
  </si>
  <si>
    <t>순번</t>
    <phoneticPr fontId="4" type="noConversion"/>
  </si>
  <si>
    <t>원복 파일(확장자 포함)</t>
  </si>
  <si>
    <t>원복 파일 경로</t>
  </si>
  <si>
    <t>복사 경로</t>
  </si>
  <si>
    <t>덮어쓰기</t>
  </si>
  <si>
    <t>파일복사</t>
  </si>
  <si>
    <t>SMRun.png</t>
  </si>
  <si>
    <t>C:\Users\jhlee\Desktop\새 폴더\새 폴더</t>
  </si>
  <si>
    <t>C:\Users\jhlee\Desktop\새 폴더\새 폴더 (2)</t>
  </si>
  <si>
    <t>No</t>
  </si>
  <si>
    <t>실행메크로</t>
  </si>
  <si>
    <t>다른시트메크로실행</t>
  </si>
  <si>
    <t>파일이름</t>
  </si>
  <si>
    <t>폴더내_파일이름확인</t>
  </si>
  <si>
    <t>Smart Excel</t>
    <phoneticPr fontId="4" type="noConversion"/>
  </si>
  <si>
    <t>Sheet1</t>
    <phoneticPr fontId="4" type="noConversion"/>
  </si>
  <si>
    <t>Collection()</t>
  </si>
  <si>
    <t>Constructor (initialises all the object settings).</t>
  </si>
  <si>
    <t>Scope (COLLECTION)</t>
  </si>
  <si>
    <t>Empties the current scope list and makes the passed COLLECTION the current scope.</t>
  </si>
  <si>
    <t>Scope (DBREF)</t>
  </si>
  <si>
    <t>Empties the current scope list and makes the passed DBREF the current scope.</t>
  </si>
  <si>
    <t>Adds the passed DBREF to the current scope list.</t>
  </si>
  <si>
    <t>Replaces the current scope list with the passed list of DBREFs.</t>
  </si>
  <si>
    <t>Appends the passed list of DBREFs to the scope list.</t>
  </si>
  <si>
    <t>ClearScope()</t>
  </si>
  <si>
    <t>Empties the current scope list.</t>
  </si>
  <si>
    <t>Filter (EXPRESSION)</t>
  </si>
  <si>
    <t>Sets the filter to be applied to the collection.</t>
  </si>
  <si>
    <t>ClearFilter ()</t>
  </si>
  <si>
    <t>Empties the filter to be applied to the collection.</t>
  </si>
  <si>
    <t>Type (STRING)</t>
  </si>
  <si>
    <t>Empties the current scope type list and adds the passed element type.</t>
  </si>
  <si>
    <t>AddType(STRING)</t>
  </si>
  <si>
    <t>Adds the passed element type to the scope type list.</t>
  </si>
  <si>
    <t>ClearTypes()</t>
  </si>
  <si>
    <t>Empties the types to be applied to the collection.</t>
  </si>
  <si>
    <t>Types (ARRAY elements)</t>
  </si>
  <si>
    <r>
      <t xml:space="preserve">Replaces the scope element type list with the passed list, </t>
    </r>
    <r>
      <rPr>
        <b/>
        <sz val="10"/>
        <color rgb="FF000000"/>
        <rFont val="Arial"/>
        <family val="2"/>
      </rPr>
      <t>elements</t>
    </r>
    <r>
      <rPr>
        <sz val="10"/>
        <color rgb="FF000000"/>
        <rFont val="Arial"/>
        <family val="2"/>
      </rPr>
      <t>.</t>
    </r>
  </si>
  <si>
    <t>AppendTypes (ARRAY types)</t>
  </si>
  <si>
    <r>
      <t xml:space="preserve">Appends the passed list, </t>
    </r>
    <r>
      <rPr>
        <b/>
        <sz val="10"/>
        <color rgb="FF000000"/>
        <rFont val="Arial"/>
        <family val="2"/>
      </rPr>
      <t>types</t>
    </r>
    <r>
      <rPr>
        <sz val="10"/>
        <color rgb="FF000000"/>
        <rFont val="Arial"/>
        <family val="2"/>
      </rPr>
      <t>, to the scope type list.</t>
    </r>
  </si>
  <si>
    <t>Initialise()</t>
  </si>
  <si>
    <t>Initialises an evaluate list, so all query actions re-evaluate the collection rules. Sets index position to 1.</t>
  </si>
  <si>
    <t>Filter()</t>
  </si>
  <si>
    <t>Scope()</t>
  </si>
  <si>
    <t>Returns the list of database elements to scan.</t>
  </si>
  <si>
    <t>Types()</t>
  </si>
  <si>
    <t>STRING ARRAY</t>
  </si>
  <si>
    <t>Returns the list of database element types to be collected.</t>
  </si>
  <si>
    <t>Results()</t>
  </si>
  <si>
    <t>Returns the whole collection.</t>
  </si>
  <si>
    <t>Next(REAL n)</t>
  </si>
  <si>
    <r>
      <t xml:space="preserve">Returns sub array from collection of </t>
    </r>
    <r>
      <rPr>
        <b/>
        <sz val="10"/>
        <color rgb="FF000000"/>
        <rFont val="Arial"/>
        <family val="2"/>
      </rPr>
      <t>n</t>
    </r>
    <r>
      <rPr>
        <sz val="10"/>
        <color rgb="FF000000"/>
        <rFont val="Arial"/>
        <family val="2"/>
      </rPr>
      <t xml:space="preserve"> elements starting at current index position.</t>
    </r>
  </si>
  <si>
    <t>Index()</t>
  </si>
  <si>
    <t>Size ()</t>
  </si>
  <si>
    <t>Returns the number of elements in the collection.</t>
  </si>
  <si>
    <t xml:space="preserve">East </t>
  </si>
  <si>
    <t>Get/Set</t>
  </si>
  <si>
    <t>EAST or X component direction vector in frame of reference of the Origin element</t>
  </si>
  <si>
    <t xml:space="preserve">North </t>
  </si>
  <si>
    <t>NORTH or Y component direction vector in frame of reference of the Origin element</t>
  </si>
  <si>
    <t xml:space="preserve">Up </t>
  </si>
  <si>
    <t>UP or Z component direction vector in frame of reference of the Origin element</t>
  </si>
  <si>
    <t xml:space="preserve">Origin </t>
  </si>
  <si>
    <t>DBREF</t>
  </si>
  <si>
    <t>DB element that is the origin and which defines the frame of reference DIRECTION</t>
  </si>
  <si>
    <t>REAL Get/Set</t>
  </si>
  <si>
    <t>Direction( STRING )</t>
  </si>
  <si>
    <t>DIRECTION</t>
  </si>
  <si>
    <t>Creates a DIRECTION with the value given by STRING.</t>
  </si>
  <si>
    <t>Direction( STRING, FORMAT )</t>
  </si>
  <si>
    <t>Creates a DIRECTION with the value given by STRING, in the format specified.</t>
  </si>
  <si>
    <t xml:space="preserve">EQ(DIRECTION) </t>
  </si>
  <si>
    <t>BOOLEAN</t>
  </si>
  <si>
    <t>TRUE if two directions are the same</t>
  </si>
  <si>
    <t xml:space="preserve">LT(DIRECTION) </t>
  </si>
  <si>
    <t>TRUE if direction is less than argument</t>
  </si>
  <si>
    <t xml:space="preserve">WRT(DBREF) </t>
  </si>
  <si>
    <t>Convert to a new DIRECTION with respect to a given element.</t>
  </si>
  <si>
    <t>Angle(DIRECTION)</t>
  </si>
  <si>
    <t>Returns the angle between the two directions</t>
  </si>
  <si>
    <t>Bisect(DIRECTION)</t>
  </si>
  <si>
    <t>Returns the direction which is half way between the two directions</t>
  </si>
  <si>
    <t>Cross(DIRECTION)</t>
  </si>
  <si>
    <t>Returns the cross product of the two directions</t>
  </si>
  <si>
    <t>Dot(DIRECTION)</t>
  </si>
  <si>
    <t>Returns the dot product of the two directions</t>
  </si>
  <si>
    <t>IsParallel(DIRECTION)</t>
  </si>
  <si>
    <t>Returns true if the supplied directions are parallel, false otherwise.</t>
  </si>
  <si>
    <t>IsParallel(DIRECTION, REAL)</t>
  </si>
  <si>
    <t>Returns true if the supplied directions are parallel according to tolerance supplied, false otherwise.</t>
  </si>
  <si>
    <t>Opposite()</t>
  </si>
  <si>
    <t>Returns  the  opposite</t>
  </si>
  <si>
    <t>direction</t>
  </si>
  <si>
    <t>Orthogonal(DIRECTION)</t>
  </si>
  <si>
    <t>Returns the direction orthogonal between the two directions</t>
  </si>
  <si>
    <t>Projected(PLANE)</t>
  </si>
  <si>
    <t>Returns a direction projected onto the passed plane.</t>
  </si>
  <si>
    <t>Name</t>
  </si>
  <si>
    <t>Result</t>
  </si>
  <si>
    <t>Purpose</t>
  </si>
  <si>
    <t>IsPerpendicular(DIRECTION)</t>
  </si>
  <si>
    <t>Returns true if the supplied directions are perpendicular, false otherwise.</t>
  </si>
  <si>
    <t>IsPerpendicular(DIRECTION, REAL)</t>
  </si>
  <si>
    <t>Returns true if the supplied directions are perpendicular according to tolerance supplied, false otherwise.</t>
  </si>
  <si>
    <t>Date</t>
  </si>
  <si>
    <t>ARRAY</t>
  </si>
  <si>
    <t>BLOCK</t>
  </si>
  <si>
    <t>FILE</t>
  </si>
  <si>
    <t>OBJECT</t>
  </si>
  <si>
    <t>STRING</t>
  </si>
  <si>
    <t>DATETIME</t>
  </si>
  <si>
    <t>UNIT</t>
  </si>
  <si>
    <t>MEASURE</t>
  </si>
  <si>
    <t>ARC</t>
  </si>
  <si>
    <t>LINE</t>
  </si>
  <si>
    <t>LINEARGRID</t>
  </si>
  <si>
    <t>LOCATION</t>
  </si>
  <si>
    <t>PLANE</t>
  </si>
  <si>
    <t>PLANTGRID</t>
  </si>
  <si>
    <t>POINTVECTOR</t>
  </si>
  <si>
    <t>PROFILE</t>
  </si>
  <si>
    <t>XYPOSITION</t>
  </si>
  <si>
    <t>BORE</t>
  </si>
  <si>
    <t>DBSESS</t>
  </si>
  <si>
    <t>MDB</t>
  </si>
  <si>
    <t>ORIENTATION</t>
  </si>
  <si>
    <t>POSITION</t>
  </si>
  <si>
    <t>SESSION</t>
  </si>
  <si>
    <t>TEAM</t>
  </si>
  <si>
    <t>USER</t>
  </si>
  <si>
    <t>FORM</t>
  </si>
  <si>
    <t>MENU</t>
  </si>
  <si>
    <t>TABLE</t>
  </si>
  <si>
    <t>FORMAT</t>
  </si>
  <si>
    <t>ANY</t>
  </si>
  <si>
    <t>Attributes()</t>
  </si>
  <si>
    <t>ARRAY OF STRINGS</t>
  </si>
  <si>
    <t>Delete()</t>
  </si>
  <si>
    <t>NO RESULT</t>
  </si>
  <si>
    <t>Set()</t>
  </si>
  <si>
    <t>String()</t>
  </si>
  <si>
    <t>Type</t>
  </si>
  <si>
    <t>visible</t>
  </si>
  <si>
    <t>active</t>
  </si>
  <si>
    <t>callback</t>
  </si>
  <si>
    <t>tag</t>
  </si>
  <si>
    <t>/</t>
  </si>
  <si>
    <t>|</t>
  </si>
  <si>
    <t>|/</t>
  </si>
  <si>
    <t>Object Type Details</t>
  </si>
  <si>
    <t>2.5.1</t>
  </si>
  <si>
    <t>ALERT Object</t>
  </si>
  <si>
    <t>Methods</t>
  </si>
  <si>
    <t xml:space="preserve">Confirm( Message is STRING, X is </t>
  </si>
  <si>
    <t>REAL, Y is REAL )</t>
  </si>
  <si>
    <t>‘YES’  OR</t>
  </si>
  <si>
    <t>‘NO’</t>
  </si>
  <si>
    <r>
      <t xml:space="preserve">Show a blocking CONFIRM ALERT and retrieve the response. </t>
    </r>
    <r>
      <rPr>
        <b/>
        <sz val="10"/>
        <color rgb="FF000000"/>
        <rFont val="Arial"/>
        <family val="2"/>
      </rPr>
      <t>X</t>
    </r>
    <r>
      <rPr>
        <sz val="10"/>
        <color rgb="FF000000"/>
        <rFont val="Arial"/>
        <family val="2"/>
      </rPr>
      <t xml:space="preserve"> and </t>
    </r>
    <r>
      <rPr>
        <b/>
        <sz val="10"/>
        <color rgb="FF000000"/>
        <rFont val="Arial"/>
        <family val="2"/>
      </rPr>
      <t>Y</t>
    </r>
    <r>
      <rPr>
        <sz val="10"/>
        <color rgb="FF000000"/>
        <rFont val="Arial"/>
        <family val="2"/>
      </rPr>
      <t xml:space="preserve"> are optional screen positions.</t>
    </r>
  </si>
  <si>
    <t xml:space="preserve">Error(Message is STRING, X is </t>
  </si>
  <si>
    <t xml:space="preserve"> ‘YES’ </t>
  </si>
  <si>
    <r>
      <t xml:space="preserve">Show a blocking ERROR ALERT and retrieve the response. </t>
    </r>
    <r>
      <rPr>
        <b/>
        <sz val="10"/>
        <color rgb="FF000000"/>
        <rFont val="Arial"/>
        <family val="2"/>
      </rPr>
      <t>X</t>
    </r>
    <r>
      <rPr>
        <sz val="10"/>
        <color rgb="FF000000"/>
        <rFont val="Arial"/>
        <family val="2"/>
      </rPr>
      <t xml:space="preserve"> and </t>
    </r>
    <r>
      <rPr>
        <b/>
        <sz val="10"/>
        <color rgb="FF000000"/>
        <rFont val="Arial"/>
        <family val="2"/>
      </rPr>
      <t>Y</t>
    </r>
    <r>
      <rPr>
        <sz val="10"/>
        <color rgb="FF000000"/>
        <rFont val="Arial"/>
        <family val="2"/>
      </rPr>
      <t xml:space="preserve"> are optional screen positions.</t>
    </r>
  </si>
  <si>
    <t xml:space="preserve">Message(Message is STRING, X is </t>
  </si>
  <si>
    <t>REAL, Y is REAL)</t>
  </si>
  <si>
    <r>
      <t xml:space="preserve">Show a blocking MESSAGE ALERT and retrieve the response and retrieve the response. </t>
    </r>
    <r>
      <rPr>
        <b/>
        <sz val="10"/>
        <color rgb="FF000000"/>
        <rFont val="Arial"/>
        <family val="2"/>
      </rPr>
      <t>X</t>
    </r>
    <r>
      <rPr>
        <sz val="10"/>
        <color rgb="FF000000"/>
        <rFont val="Arial"/>
        <family val="2"/>
      </rPr>
      <t xml:space="preserve"> and </t>
    </r>
    <r>
      <rPr>
        <b/>
        <sz val="10"/>
        <color rgb="FF000000"/>
        <rFont val="Arial"/>
        <family val="2"/>
      </rPr>
      <t>Y</t>
    </r>
    <r>
      <rPr>
        <sz val="10"/>
        <color rgb="FF000000"/>
        <rFont val="Arial"/>
        <family val="2"/>
      </rPr>
      <t xml:space="preserve"> are optional screen positions.</t>
    </r>
  </si>
  <si>
    <t xml:space="preserve">Question(Message is STRING, X is </t>
  </si>
  <si>
    <t>‘YES’, ‘NO’</t>
  </si>
  <si>
    <t>‘CANCEL’</t>
  </si>
  <si>
    <r>
      <t xml:space="preserve">Show a blocking QUESTION ALERT and retrieve the response. </t>
    </r>
    <r>
      <rPr>
        <b/>
        <sz val="10"/>
        <color rgb="FF000000"/>
        <rFont val="Arial"/>
        <family val="2"/>
      </rPr>
      <t>X</t>
    </r>
    <r>
      <rPr>
        <sz val="10"/>
        <color rgb="FF000000"/>
        <rFont val="Arial"/>
        <family val="2"/>
      </rPr>
      <t xml:space="preserve"> and </t>
    </r>
    <r>
      <rPr>
        <b/>
        <sz val="10"/>
        <color rgb="FF000000"/>
        <rFont val="Arial"/>
        <family val="2"/>
      </rPr>
      <t>Y</t>
    </r>
    <r>
      <rPr>
        <sz val="10"/>
        <color rgb="FF000000"/>
        <rFont val="Arial"/>
        <family val="2"/>
      </rPr>
      <t xml:space="preserve"> are optional screen positions.</t>
    </r>
  </si>
  <si>
    <t xml:space="preserve">Warning(Message is STRING, X is </t>
  </si>
  <si>
    <r>
      <t xml:space="preserve">Show a blocking WARNING ALERT and retrieve the response and retrieve the response. </t>
    </r>
    <r>
      <rPr>
        <b/>
        <sz val="10"/>
        <color rgb="FF000000"/>
        <rFont val="Arial"/>
        <family val="2"/>
      </rPr>
      <t>X</t>
    </r>
    <r>
      <rPr>
        <sz val="10"/>
        <color rgb="FF000000"/>
        <rFont val="Arial"/>
        <family val="2"/>
      </rPr>
      <t xml:space="preserve"> and </t>
    </r>
    <r>
      <rPr>
        <b/>
        <sz val="10"/>
        <color rgb="FF000000"/>
        <rFont val="Arial"/>
        <family val="2"/>
      </rPr>
      <t>Y</t>
    </r>
    <r>
      <rPr>
        <sz val="10"/>
        <color rgb="FF000000"/>
        <rFont val="Arial"/>
        <family val="2"/>
      </rPr>
      <t xml:space="preserve"> are optional screen positions.</t>
    </r>
  </si>
  <si>
    <t xml:space="preserve">!!Alert.Input( ! prompt is </t>
  </si>
  <si>
    <t>STRING, !default is STRING) is STRING</t>
  </si>
  <si>
    <r>
      <t>Show a blocking INPUT ALERT. !</t>
    </r>
    <r>
      <rPr>
        <b/>
        <sz val="10"/>
        <color rgb="FF000000"/>
        <rFont val="Arial"/>
        <family val="2"/>
      </rPr>
      <t>prompt</t>
    </r>
    <r>
      <rPr>
        <sz val="10"/>
        <color rgb="FF000000"/>
        <rFont val="Arial"/>
        <family val="2"/>
      </rPr>
      <t xml:space="preserve"> is the prompt displayed to the user, and !</t>
    </r>
    <r>
      <rPr>
        <b/>
        <sz val="10"/>
        <color rgb="FF000000"/>
        <rFont val="Arial"/>
        <family val="2"/>
      </rPr>
      <t>default</t>
    </r>
    <r>
      <rPr>
        <sz val="10"/>
        <color rgb="FF000000"/>
        <rFont val="Arial"/>
        <family val="2"/>
      </rPr>
      <t xml:space="preserve"> is the default value in the text box.</t>
    </r>
  </si>
  <si>
    <t>!!Alert.Input( !prompt is STRING, !default is STRING, xPos is REAL, yPos is REAL) is STRING</t>
  </si>
  <si>
    <r>
      <t>Show a blocking INPUT ALERT. !</t>
    </r>
    <r>
      <rPr>
        <b/>
        <sz val="10"/>
        <color rgb="FF000000"/>
        <rFont val="Arial"/>
        <family val="2"/>
      </rPr>
      <t>prompt</t>
    </r>
    <r>
      <rPr>
        <sz val="10"/>
        <color rgb="FF000000"/>
        <rFont val="Arial"/>
        <family val="2"/>
      </rPr>
      <t xml:space="preserve"> is the prompt displayed to the user, and !</t>
    </r>
    <r>
      <rPr>
        <b/>
        <sz val="10"/>
        <color rgb="FF000000"/>
        <rFont val="Arial"/>
        <family val="2"/>
      </rPr>
      <t>default</t>
    </r>
    <r>
      <rPr>
        <sz val="10"/>
        <color rgb="FF000000"/>
        <rFont val="Arial"/>
        <family val="2"/>
      </rPr>
      <t xml:space="preserve"> is the default value in the text box. </t>
    </r>
    <r>
      <rPr>
        <b/>
        <sz val="10"/>
        <color rgb="FF000000"/>
        <rFont val="Arial"/>
        <family val="2"/>
      </rPr>
      <t xml:space="preserve">xPos </t>
    </r>
    <r>
      <rPr>
        <sz val="10"/>
        <color rgb="FF000000"/>
        <rFont val="Arial"/>
        <family val="2"/>
      </rPr>
      <t xml:space="preserve">and </t>
    </r>
    <r>
      <rPr>
        <b/>
        <sz val="10"/>
        <color rgb="FF000000"/>
        <rFont val="Arial"/>
        <family val="2"/>
      </rPr>
      <t>yPos</t>
    </r>
    <r>
      <rPr>
        <sz val="10"/>
        <color rgb="FF000000"/>
        <rFont val="Arial"/>
        <family val="2"/>
      </rPr>
      <t xml:space="preserve"> are the coordinates of the top lefthand corner of the alert box.</t>
    </r>
  </si>
  <si>
    <t>Table 2: 5.</t>
  </si>
  <si>
    <t>Alert Object Methods</t>
  </si>
  <si>
    <t>2.5.2</t>
  </si>
  <si>
    <t>ARC Object</t>
  </si>
  <si>
    <t>Basic ARC Definition: Members</t>
  </si>
  <si>
    <t>Orientation</t>
  </si>
  <si>
    <t>ORIENTATI</t>
  </si>
  <si>
    <t>Orientation of the arc.</t>
  </si>
  <si>
    <t>Position</t>
  </si>
  <si>
    <t>Origin/Centre of the arc.</t>
  </si>
  <si>
    <t>Radius</t>
  </si>
  <si>
    <t>Radius of the arc</t>
  </si>
  <si>
    <t>StartAngle</t>
  </si>
  <si>
    <t>Angle from X axes to start of the arc.</t>
  </si>
  <si>
    <t>EndAngle</t>
  </si>
  <si>
    <t>Angle from X axes to end of the arc.</t>
  </si>
  <si>
    <t>Sense</t>
  </si>
  <si>
    <t>Arc sense:</t>
  </si>
  <si>
    <t>·0 for clockwise</t>
  </si>
  <si>
    <t>·1 for anti-clockwise</t>
  </si>
  <si>
    <t>These methods do not modify the original object.</t>
  </si>
  <si>
    <t xml:space="preserve">Arc( POSITION, ORIENTATION, </t>
  </si>
  <si>
    <t>REAL, REAL, REAL,BOOLEAN)</t>
  </si>
  <si>
    <t xml:space="preserve">Creates an arc with the given Position, Orientation, Start Angle, End Angle, Radius. If the last argument is TRUE, the arc is clockwise. </t>
  </si>
  <si>
    <t>Returns the arc as a string</t>
  </si>
  <si>
    <t>None of these methods modifies the original object.</t>
  </si>
  <si>
    <t>StartPosition(POSITION)</t>
  </si>
  <si>
    <t>Returns a new arc, based on the original, where the start angle, if defined as the angle from the centre of the arc through the passed position mapped onto the arc plane, forms the X axis.</t>
  </si>
  <si>
    <t>EndPosition(POSITION)</t>
  </si>
  <si>
    <r>
      <t xml:space="preserve">As </t>
    </r>
    <r>
      <rPr>
        <sz val="10"/>
        <color rgb="FF000000"/>
        <rFont val="Courier New"/>
        <family val="3"/>
      </rPr>
      <t>StartPosition</t>
    </r>
    <r>
      <rPr>
        <sz val="10"/>
        <color rgb="FF000000"/>
        <rFont val="Arial"/>
        <family val="2"/>
      </rPr>
      <t xml:space="preserve">, but for the </t>
    </r>
    <r>
      <rPr>
        <sz val="10"/>
        <color rgb="FF000000"/>
        <rFont val="Courier New"/>
        <family val="3"/>
      </rPr>
      <t>EndAngle.</t>
    </r>
  </si>
  <si>
    <t>Through(POSITION)</t>
  </si>
  <si>
    <t>Returns a new arc, where the radius (of the full circle) passes through the passed position when mapped onto the arc plane.</t>
  </si>
  <si>
    <t>ChordHeight(REAL)</t>
  </si>
  <si>
    <r>
      <t xml:space="preserve">Returns a new arc, based on the  original,  where  the </t>
    </r>
    <r>
      <rPr>
        <sz val="10"/>
        <color rgb="FF000000"/>
        <rFont val="Courier New"/>
        <family val="3"/>
      </rPr>
      <t>EndAngle</t>
    </r>
    <r>
      <rPr>
        <sz val="10"/>
        <color rgb="FF000000"/>
        <rFont val="Arial"/>
        <family val="2"/>
      </rPr>
      <t xml:space="preserve"> is in such a position  to  produce  the passed chord height.</t>
    </r>
  </si>
  <si>
    <t>Chord height &gt; Radius or Chord height &lt; 0 return unset objects.</t>
  </si>
  <si>
    <t>New arc should not produce subtended angle &gt; 180.</t>
  </si>
  <si>
    <t>Chord(REAL)</t>
  </si>
  <si>
    <t>Returns a new arc, maintaining the original</t>
  </si>
  <si>
    <r>
      <t>StartAngle</t>
    </r>
    <r>
      <rPr>
        <sz val="10"/>
        <color rgb="FF000000"/>
        <rFont val="Arial"/>
        <family val="2"/>
      </rPr>
      <t>,  so  the</t>
    </r>
  </si>
  <si>
    <r>
      <t>EndAngle</t>
    </r>
    <r>
      <rPr>
        <sz val="10"/>
        <color rgb="FF000000"/>
        <rFont val="Arial"/>
        <family val="2"/>
      </rPr>
      <t xml:space="preserve"> is at the specified distance from the Start</t>
    </r>
  </si>
  <si>
    <t>Chord length &gt; Radius * 2 or &lt; 0 return an unset object.</t>
  </si>
  <si>
    <t>Circle()</t>
  </si>
  <si>
    <t>Returns a full circle definition of the arc.</t>
  </si>
  <si>
    <t>Circle(BOOLEAN)</t>
  </si>
  <si>
    <t>Returns a full circle definition of the arc. If True, the arc is anti-clock-wise</t>
  </si>
  <si>
    <t>Complement()</t>
  </si>
  <si>
    <t>Returns the complementary arc of the arc definition (the remainder of the circle)</t>
  </si>
  <si>
    <t>This method does not modify the original object.</t>
  </si>
  <si>
    <t>AnglePosition(REAL)</t>
  </si>
  <si>
    <t>Returns the position at the specified angle on the arc.</t>
  </si>
  <si>
    <t xml:space="preserve"> </t>
  </si>
  <si>
    <t>AngleDirection(REAL)</t>
  </si>
  <si>
    <t>Returns the direction from the centre of the arc through a point at the given angle from the X axis</t>
  </si>
  <si>
    <t>StartTangent()</t>
  </si>
  <si>
    <t>Returns the direction out of the arc, tangential to the start angle line. The “sense” of the arc is used.</t>
  </si>
  <si>
    <t>EndTangent()</t>
  </si>
  <si>
    <t>Returns the direction out of the arc, tangential to the end angle line. The “sense” of the arc is used.</t>
  </si>
  <si>
    <t>AngleTangent(REAL)</t>
  </si>
  <si>
    <t>Returns the direction, tangential to the angle passed.</t>
  </si>
  <si>
    <t>XYOffset(POSITION)</t>
  </si>
  <si>
    <t xml:space="preserve">XYPOSITI ON </t>
  </si>
  <si>
    <t>Returns the position, mapped onto the arc plane, in term of an XY offset from the arc plane origin</t>
  </si>
  <si>
    <t>Proportion(REAL)</t>
  </si>
  <si>
    <t>Returns the position, in terms of an angle from the X axis, at the proportion from the start angle of the arc: Angle = (EndAngle StartAngle) * &lt;real&gt; +</t>
  </si>
  <si>
    <t>Angle()</t>
  </si>
  <si>
    <t xml:space="preserve">Returns the subtended angle of the arc </t>
  </si>
  <si>
    <t>Near(POSITION)</t>
  </si>
  <si>
    <t xml:space="preserve">Returns the position, in terms of an angle from the X axis, to the position on the arc plane of the passed position </t>
  </si>
  <si>
    <t>Chord()</t>
  </si>
  <si>
    <t xml:space="preserve">REAL </t>
  </si>
  <si>
    <t>Returns the chord length between the start and end of the arc definition</t>
  </si>
  <si>
    <t>Length()</t>
  </si>
  <si>
    <t>Returns the true length of the arc line</t>
  </si>
  <si>
    <t>ChordHeight()</t>
  </si>
  <si>
    <t>Returns the chord height of the arc line</t>
  </si>
  <si>
    <t>Intersections(LINE)</t>
  </si>
  <si>
    <t>REAL ARRAY</t>
  </si>
  <si>
    <t>Returns the intersection points, in terms of angles from the X axis, of the passed line (mapped onto arc plane) with the circle defined by the arc</t>
  </si>
  <si>
    <t>Intersections(PLANE)</t>
  </si>
  <si>
    <t>Returns the intersection points, in terms of angles from the X axis, of the passed plane with the circle defined by the arc</t>
  </si>
  <si>
    <t>Intersections(ARC)</t>
  </si>
  <si>
    <t>Returns the intersection points, in terms of angles from the X axis, of the circle implied by the passed arc with the circle defined by the arc</t>
  </si>
  <si>
    <r>
      <t xml:space="preserve">The Arcs </t>
    </r>
    <r>
      <rPr>
        <b/>
        <sz val="10"/>
        <color rgb="FF000000"/>
        <rFont val="Arial"/>
        <family val="2"/>
      </rPr>
      <t>must</t>
    </r>
    <r>
      <rPr>
        <sz val="10"/>
        <color rgb="FF000000"/>
        <rFont val="Arial"/>
        <family val="2"/>
      </rPr>
      <t xml:space="preserve"> be in the same plane, i.e. the angle between Z components of the direction must be 0 or</t>
    </r>
  </si>
  <si>
    <t>Tangents(POSITION)</t>
  </si>
  <si>
    <t>Returns the points of tangency on the arc circle from the passed position, in terms of angles from the X axis,</t>
  </si>
  <si>
    <t>Tangents(ARC)</t>
  </si>
  <si>
    <t>Returns the points of tangency on the arc circle for the passed arc circle, in terms of angles from the X axis</t>
  </si>
  <si>
    <t>Split()</t>
  </si>
  <si>
    <t>Splits the arc into a non-zero number of segments</t>
  </si>
  <si>
    <t>Pole()</t>
  </si>
  <si>
    <t>Returns the pole position of the arc</t>
  </si>
  <si>
    <t>ARC Methods that Return BOOLEANs</t>
  </si>
  <si>
    <t>On(POSITION)</t>
  </si>
  <si>
    <t>Returns true if the passed position lies on the arc line</t>
  </si>
  <si>
    <t>OnProjected(POSITION)</t>
  </si>
  <si>
    <t>Returns true if the passed position, when projected onto the arc line, lies within it</t>
  </si>
  <si>
    <t>OnExtended(POSITION)</t>
  </si>
  <si>
    <t>Returns true if the passed position, when mapped onto</t>
  </si>
  <si>
    <t xml:space="preserve">the arc line, lies outside it </t>
  </si>
  <si>
    <t>Table 2: 15.</t>
  </si>
  <si>
    <t>2.5.3</t>
  </si>
  <si>
    <t>ARRAY Object</t>
  </si>
  <si>
    <t>Append(ANY value)</t>
  </si>
  <si>
    <r>
      <t xml:space="preserve">Append </t>
    </r>
    <r>
      <rPr>
        <b/>
        <sz val="10"/>
        <color rgb="FF000000"/>
        <rFont val="Arial"/>
        <family val="2"/>
      </rPr>
      <t>value</t>
    </r>
    <r>
      <rPr>
        <sz val="10"/>
        <color rgb="FF000000"/>
        <rFont val="Arial"/>
        <family val="2"/>
      </rPr>
      <t xml:space="preserve"> as a new element at the end of array.</t>
    </r>
  </si>
  <si>
    <t>AppendArray(ARRAY values)</t>
  </si>
  <si>
    <r>
      <t xml:space="preserve">Append </t>
    </r>
    <r>
      <rPr>
        <b/>
        <sz val="10"/>
        <color rgb="FF000000"/>
        <rFont val="Arial"/>
        <family val="2"/>
      </rPr>
      <t>array</t>
    </r>
    <r>
      <rPr>
        <sz val="10"/>
        <color rgb="FF000000"/>
        <rFont val="Arial"/>
        <family val="2"/>
      </rPr>
      <t xml:space="preserve"> values as new elements at the end of array.</t>
    </r>
  </si>
  <si>
    <t>Clear()</t>
  </si>
  <si>
    <t>Remove all elements.</t>
  </si>
  <si>
    <t>Compress()</t>
  </si>
  <si>
    <t>Removed all undefined elements and re-index remaining elements.</t>
  </si>
  <si>
    <t>DeleteFrom( REAL index, REAL n)</t>
  </si>
  <si>
    <r>
      <t xml:space="preserve">Make undefined </t>
    </r>
    <r>
      <rPr>
        <b/>
        <sz val="10"/>
        <color rgb="FF000000"/>
        <rFont val="Arial"/>
        <family val="2"/>
      </rPr>
      <t>n</t>
    </r>
    <r>
      <rPr>
        <sz val="10"/>
        <color rgb="FF000000"/>
        <rFont val="Arial"/>
        <family val="2"/>
      </rPr>
      <t xml:space="preserve"> elements starting at </t>
    </r>
    <r>
      <rPr>
        <b/>
        <sz val="10"/>
        <color rgb="FF000000"/>
        <rFont val="Arial"/>
        <family val="2"/>
      </rPr>
      <t>index</t>
    </r>
    <r>
      <rPr>
        <sz val="10"/>
        <color rgb="FF000000"/>
        <rFont val="Arial"/>
        <family val="2"/>
      </rPr>
      <t xml:space="preserve">. Remaining elements are not re-indexed </t>
    </r>
  </si>
  <si>
    <t>Returns an array of the deleted elements (which need not be assigned if not wanted).</t>
  </si>
  <si>
    <t>DeleteFrom( REAL index)</t>
  </si>
  <si>
    <r>
      <t xml:space="preserve">Make undefined elements from </t>
    </r>
    <r>
      <rPr>
        <b/>
        <sz val="10"/>
        <color rgb="FF000000"/>
        <rFont val="Arial"/>
        <family val="2"/>
      </rPr>
      <t>index</t>
    </r>
    <r>
      <rPr>
        <sz val="10"/>
        <color rgb="FF000000"/>
        <rFont val="Arial"/>
        <family val="2"/>
      </rPr>
      <t xml:space="preserve"> to end of array. </t>
    </r>
  </si>
  <si>
    <t>Returns an array of the deleted elements.</t>
  </si>
  <si>
    <t>Remaining elements not reindexed.</t>
  </si>
  <si>
    <t>DeleteTo(REAL index, REAL n)</t>
  </si>
  <si>
    <r>
      <t xml:space="preserve">Make undefined </t>
    </r>
    <r>
      <rPr>
        <b/>
        <sz val="10"/>
        <color rgb="FF000000"/>
        <rFont val="Arial"/>
        <family val="2"/>
      </rPr>
      <t>n</t>
    </r>
    <r>
      <rPr>
        <sz val="10"/>
        <color rgb="FF000000"/>
        <rFont val="Arial"/>
        <family val="2"/>
      </rPr>
      <t xml:space="preserve"> elements up to </t>
    </r>
    <r>
      <rPr>
        <b/>
        <sz val="10"/>
        <color rgb="FF000000"/>
        <rFont val="Arial"/>
        <family val="2"/>
      </rPr>
      <t>index</t>
    </r>
    <r>
      <rPr>
        <sz val="10"/>
        <color rgb="FF000000"/>
        <rFont val="Arial"/>
        <family val="2"/>
      </rPr>
      <t xml:space="preserve"> Returns an array of the deleted elements Remaining elements not reindexed.</t>
    </r>
  </si>
  <si>
    <t>DeleteTo(REAL index)</t>
  </si>
  <si>
    <r>
      <t xml:space="preserve">Make undefined elements from start to </t>
    </r>
    <r>
      <rPr>
        <b/>
        <sz val="10"/>
        <color rgb="FF000000"/>
        <rFont val="Arial"/>
        <family val="2"/>
      </rPr>
      <t>index</t>
    </r>
    <r>
      <rPr>
        <sz val="10"/>
        <color rgb="FF000000"/>
        <rFont val="Arial"/>
        <family val="2"/>
      </rPr>
      <t xml:space="preserve"> Returns an array of the deleted elements Remaining elements not re-indexed.</t>
    </r>
  </si>
  <si>
    <t>Difference(ARRAY two)</t>
  </si>
  <si>
    <r>
      <t xml:space="preserve">Return an array of those elements in the original array not present in array </t>
    </r>
    <r>
      <rPr>
        <b/>
        <sz val="10"/>
        <color rgb="FF000000"/>
        <rFont val="Arial"/>
        <family val="2"/>
      </rPr>
      <t>two</t>
    </r>
    <r>
      <rPr>
        <sz val="10"/>
        <color rgb="FF000000"/>
        <rFont val="Arial"/>
        <family val="2"/>
      </rPr>
      <t>. Duplicates will appear only once</t>
    </r>
  </si>
  <si>
    <t>Empty()</t>
  </si>
  <si>
    <t>TRUE if array is empty</t>
  </si>
  <si>
    <t>Evaluate(BLOCK command)</t>
  </si>
  <si>
    <t>NEW ARRAY</t>
  </si>
  <si>
    <r>
      <t xml:space="preserve">Evaluate code in </t>
    </r>
    <r>
      <rPr>
        <b/>
        <sz val="10"/>
        <color rgb="FF000000"/>
        <rFont val="Arial"/>
        <family val="2"/>
      </rPr>
      <t xml:space="preserve">command </t>
    </r>
    <r>
      <rPr>
        <sz val="10"/>
        <color rgb="FF000000"/>
        <rFont val="Arial"/>
        <family val="2"/>
      </rPr>
      <t>at each element.</t>
    </r>
  </si>
  <si>
    <t>Find(ANY value)</t>
  </si>
  <si>
    <r>
      <t xml:space="preserve">Search original array for </t>
    </r>
    <r>
      <rPr>
        <b/>
        <sz val="10"/>
        <color rgb="FF000000"/>
        <rFont val="Arial"/>
        <family val="2"/>
      </rPr>
      <t>value</t>
    </r>
    <r>
      <rPr>
        <sz val="10"/>
        <color rgb="FF000000"/>
        <rFont val="Arial"/>
        <family val="2"/>
      </rPr>
      <t xml:space="preserve"> and return an array of index positions at which it was found.</t>
    </r>
  </si>
  <si>
    <t>FindFirst(ANY value)</t>
  </si>
  <si>
    <r>
      <t xml:space="preserve">Return index of first occurrence of </t>
    </r>
    <r>
      <rPr>
        <b/>
        <sz val="10"/>
        <color rgb="FF000000"/>
        <rFont val="Arial"/>
        <family val="2"/>
      </rPr>
      <t>value</t>
    </r>
    <r>
      <rPr>
        <sz val="10"/>
        <color rgb="FF000000"/>
        <rFont val="Arial"/>
        <family val="2"/>
      </rPr>
      <t>. Returns UNSET if not found.</t>
    </r>
  </si>
  <si>
    <t>First()</t>
  </si>
  <si>
    <t xml:space="preserve">Return value of first defined element </t>
  </si>
  <si>
    <t>From(REAL index, REAL n)</t>
  </si>
  <si>
    <r>
      <t xml:space="preserve">Copy sub array of </t>
    </r>
    <r>
      <rPr>
        <b/>
        <sz val="10"/>
        <color rgb="FF000000"/>
        <rFont val="Arial"/>
        <family val="2"/>
      </rPr>
      <t xml:space="preserve">n </t>
    </r>
    <r>
      <rPr>
        <sz val="10"/>
        <color rgb="FF000000"/>
        <rFont val="Arial"/>
        <family val="2"/>
      </rPr>
      <t xml:space="preserve">elements starting at </t>
    </r>
    <r>
      <rPr>
        <b/>
        <sz val="10"/>
        <color rgb="FF000000"/>
        <rFont val="Arial"/>
        <family val="2"/>
      </rPr>
      <t>index.</t>
    </r>
  </si>
  <si>
    <t>From(REAL index)</t>
  </si>
  <si>
    <r>
      <t xml:space="preserve">Copy sub array starting at </t>
    </r>
    <r>
      <rPr>
        <b/>
        <sz val="10"/>
        <color rgb="FF000000"/>
        <rFont val="Arial"/>
        <family val="2"/>
      </rPr>
      <t>index</t>
    </r>
    <r>
      <rPr>
        <sz val="10"/>
        <color rgb="FF000000"/>
        <rFont val="Arial"/>
        <family val="2"/>
      </rPr>
      <t xml:space="preserve"> to end of array.</t>
    </r>
  </si>
  <si>
    <t>GetIndexed(REAL index)</t>
  </si>
  <si>
    <r>
      <t>Implements  ARRAY[</t>
    </r>
    <r>
      <rPr>
        <b/>
        <sz val="10"/>
        <color rgb="FF000000"/>
        <rFont val="Arial"/>
        <family val="2"/>
      </rPr>
      <t>index</t>
    </r>
    <r>
      <rPr>
        <sz val="10"/>
        <color rgb="FF000000"/>
        <rFont val="Arial"/>
        <family val="2"/>
      </rPr>
      <t>]</t>
    </r>
  </si>
  <si>
    <t>(this is an internal method).</t>
  </si>
  <si>
    <t>Indices()</t>
  </si>
  <si>
    <t>Returns an array containing the indices of the target array that have a value.</t>
  </si>
  <si>
    <t>Insert(REAL index, ANY value)</t>
  </si>
  <si>
    <r>
      <t xml:space="preserve">Insert </t>
    </r>
    <r>
      <rPr>
        <b/>
        <sz val="10"/>
        <color rgb="FF000000"/>
        <rFont val="Arial"/>
        <family val="2"/>
      </rPr>
      <t>value</t>
    </r>
    <r>
      <rPr>
        <sz val="10"/>
        <color rgb="FF000000"/>
        <rFont val="Arial"/>
        <family val="2"/>
      </rPr>
      <t xml:space="preserve"> as  a new element at </t>
    </r>
    <r>
      <rPr>
        <b/>
        <sz val="10"/>
        <color rgb="FF000000"/>
        <rFont val="Arial"/>
        <family val="2"/>
      </rPr>
      <t>index</t>
    </r>
    <r>
      <rPr>
        <sz val="10"/>
        <color rgb="FF000000"/>
        <rFont val="Arial"/>
        <family val="2"/>
      </rPr>
      <t>.</t>
    </r>
  </si>
  <si>
    <t>Later  elements  are  reindexed</t>
  </si>
  <si>
    <t xml:space="preserve">InsertArray(REAL index, ARRAY </t>
  </si>
  <si>
    <t>ANY values)</t>
  </si>
  <si>
    <r>
      <t xml:space="preserve">Insert values as new elements with the first at </t>
    </r>
    <r>
      <rPr>
        <b/>
        <sz val="10"/>
        <color rgb="FF000000"/>
        <rFont val="Arial"/>
        <family val="2"/>
      </rPr>
      <t>index.</t>
    </r>
  </si>
  <si>
    <t>Intersect(ARRAY two)</t>
  </si>
  <si>
    <t>Return array of elements present in both arrays. Duplicates will appear only once.</t>
  </si>
  <si>
    <t>Invert()</t>
  </si>
  <si>
    <t>Returns an inverted copy of the array.</t>
  </si>
  <si>
    <t>Last()</t>
  </si>
  <si>
    <t>Return last element value.</t>
  </si>
  <si>
    <t>MaxIndex()</t>
  </si>
  <si>
    <t>Subscript of last defined (non-empty) element.</t>
  </si>
  <si>
    <t>MinIndex()</t>
  </si>
  <si>
    <t>Subscript of first defined (non-empty) element.</t>
  </si>
  <si>
    <t>Overlay(REAL index, ARRAY two)</t>
  </si>
  <si>
    <r>
      <t xml:space="preserve">Replace array elements at </t>
    </r>
    <r>
      <rPr>
        <b/>
        <sz val="10"/>
        <color rgb="FF000000"/>
        <rFont val="Arial"/>
        <family val="2"/>
      </rPr>
      <t>index</t>
    </r>
    <r>
      <rPr>
        <sz val="10"/>
        <color rgb="FF000000"/>
        <rFont val="Arial"/>
        <family val="2"/>
      </rPr>
      <t xml:space="preserve"> with elements from the array </t>
    </r>
    <r>
      <rPr>
        <b/>
        <sz val="10"/>
        <color rgb="FF000000"/>
        <rFont val="Arial"/>
        <family val="2"/>
      </rPr>
      <t>two</t>
    </r>
    <r>
      <rPr>
        <sz val="10"/>
        <color rgb="FF000000"/>
        <rFont val="Arial"/>
        <family val="2"/>
      </rPr>
      <t>. Returns an array of the elements which were overwritten (which need not be assigned if not required).</t>
    </r>
  </si>
  <si>
    <t>ReIndex(REAL ARRAY indices)</t>
  </si>
  <si>
    <t>Apply  result  of</t>
  </si>
  <si>
    <r>
      <t xml:space="preserve">SORTEDINDICES to reorder array elements into positions specified by </t>
    </r>
    <r>
      <rPr>
        <b/>
        <sz val="10"/>
        <color rgb="FF000000"/>
        <rFont val="Arial"/>
        <family val="2"/>
      </rPr>
      <t>indices.</t>
    </r>
  </si>
  <si>
    <t>Remove(REAL nth)</t>
  </si>
  <si>
    <r>
      <t xml:space="preserve">Remove and Return </t>
    </r>
    <r>
      <rPr>
        <b/>
        <sz val="10"/>
        <color rgb="FF000000"/>
        <rFont val="Arial"/>
        <family val="2"/>
      </rPr>
      <t xml:space="preserve">nth </t>
    </r>
    <r>
      <rPr>
        <sz val="10"/>
        <color rgb="FF000000"/>
        <rFont val="Arial"/>
        <family val="2"/>
      </rPr>
      <t>element (which need not be assigned if not required).</t>
    </r>
  </si>
  <si>
    <t>Remaining elements are reindexed.</t>
  </si>
  <si>
    <t>RemoveFirst()</t>
  </si>
  <si>
    <t>Remove and Return first element (which need not be assigned if not required).</t>
  </si>
  <si>
    <t>RemoveFrom(REAL index, REAL n)</t>
  </si>
  <si>
    <r>
      <t xml:space="preserve">Remove and Return new array of </t>
    </r>
    <r>
      <rPr>
        <b/>
        <sz val="10"/>
        <color rgb="FF000000"/>
        <rFont val="Arial"/>
        <family val="2"/>
      </rPr>
      <t>n</t>
    </r>
    <r>
      <rPr>
        <sz val="10"/>
        <color rgb="FF000000"/>
        <rFont val="Arial"/>
        <family val="2"/>
      </rPr>
      <t xml:space="preserve"> elements starting with </t>
    </r>
    <r>
      <rPr>
        <b/>
        <sz val="10"/>
        <color rgb="FF000000"/>
        <rFont val="Arial"/>
        <family val="2"/>
      </rPr>
      <t>index</t>
    </r>
    <r>
      <rPr>
        <sz val="10"/>
        <color rgb="FF000000"/>
        <rFont val="Arial"/>
        <family val="2"/>
      </rPr>
      <t xml:space="preserve"> (which need not be assigned if not required).</t>
    </r>
  </si>
  <si>
    <t>RemoveFrom(REAL index)</t>
  </si>
  <si>
    <r>
      <t xml:space="preserve">Remove and Return new array of elements from </t>
    </r>
    <r>
      <rPr>
        <b/>
        <sz val="10"/>
        <color rgb="FF000000"/>
        <rFont val="Arial"/>
        <family val="2"/>
      </rPr>
      <t xml:space="preserve">index </t>
    </r>
    <r>
      <rPr>
        <sz val="10"/>
        <color rgb="FF000000"/>
        <rFont val="Arial"/>
        <family val="2"/>
      </rPr>
      <t>to end of array (which need not be assigned if not required).</t>
    </r>
  </si>
  <si>
    <t>RemoveLast()</t>
  </si>
  <si>
    <t>Remove and Return last element (which need not be assigned if not required).</t>
  </si>
  <si>
    <t>RemoveTo(REAL index, REAL n)</t>
  </si>
  <si>
    <r>
      <t xml:space="preserve">Remove and Return </t>
    </r>
    <r>
      <rPr>
        <b/>
        <sz val="10"/>
        <color rgb="FF000000"/>
        <rFont val="Arial"/>
        <family val="2"/>
      </rPr>
      <t xml:space="preserve">n </t>
    </r>
    <r>
      <rPr>
        <sz val="10"/>
        <color rgb="FF000000"/>
        <rFont val="Arial"/>
        <family val="2"/>
      </rPr>
      <t xml:space="preserve">elements from start to </t>
    </r>
    <r>
      <rPr>
        <b/>
        <sz val="10"/>
        <color rgb="FF000000"/>
        <rFont val="Arial"/>
        <family val="2"/>
      </rPr>
      <t xml:space="preserve">index </t>
    </r>
    <r>
      <rPr>
        <sz val="10"/>
        <color rgb="FF000000"/>
        <rFont val="Arial"/>
        <family val="2"/>
      </rPr>
      <t>(which need not be assigned if not required).</t>
    </r>
  </si>
  <si>
    <t>RemoveTo(REAL index)</t>
  </si>
  <si>
    <r>
      <t xml:space="preserve">Remove and return elements from start to </t>
    </r>
    <r>
      <rPr>
        <b/>
        <sz val="10"/>
        <color rgb="FF000000"/>
        <rFont val="Arial"/>
        <family val="2"/>
      </rPr>
      <t>index</t>
    </r>
    <r>
      <rPr>
        <sz val="10"/>
        <color rgb="FF000000"/>
        <rFont val="Arial"/>
        <family val="2"/>
      </rPr>
      <t xml:space="preserve"> (which need not be assigned if not required).</t>
    </r>
  </si>
  <si>
    <t>Size()</t>
  </si>
  <si>
    <t>Returns the number of defined elements.</t>
  </si>
  <si>
    <t>Sort()</t>
  </si>
  <si>
    <t>Sort array into ascending order.</t>
  </si>
  <si>
    <t>SortUnique()</t>
  </si>
  <si>
    <t>NEW</t>
  </si>
  <si>
    <t xml:space="preserve">ARRAY </t>
  </si>
  <si>
    <t>Returns a sorted copy of the array  with  duplicates removed.</t>
  </si>
  <si>
    <t>SortedIndices()</t>
  </si>
  <si>
    <t>NEW REAL ARRAY</t>
  </si>
  <si>
    <t>Return new array of indices representing the sorted order of elements in array.</t>
  </si>
  <si>
    <t>The array itself is not sorted.</t>
  </si>
  <si>
    <t>To(REAL index, REAL n)</t>
  </si>
  <si>
    <r>
      <t xml:space="preserve">Copy sub array of </t>
    </r>
    <r>
      <rPr>
        <b/>
        <sz val="10"/>
        <color rgb="FF000000"/>
        <rFont val="Arial"/>
        <family val="2"/>
      </rPr>
      <t xml:space="preserve">n </t>
    </r>
    <r>
      <rPr>
        <sz val="10"/>
        <color rgb="FF000000"/>
        <rFont val="Arial"/>
        <family val="2"/>
      </rPr>
      <t xml:space="preserve">elements from start to </t>
    </r>
    <r>
      <rPr>
        <b/>
        <sz val="10"/>
        <color rgb="FF000000"/>
        <rFont val="Arial"/>
        <family val="2"/>
      </rPr>
      <t>index.</t>
    </r>
  </si>
  <si>
    <t>To(REAL index)</t>
  </si>
  <si>
    <r>
      <t xml:space="preserve">Copy sub array from start of array to </t>
    </r>
    <r>
      <rPr>
        <b/>
        <sz val="10"/>
        <color rgb="FF000000"/>
        <rFont val="Arial"/>
        <family val="2"/>
      </rPr>
      <t>index.</t>
    </r>
  </si>
  <si>
    <t>Union(ARRAY two)</t>
  </si>
  <si>
    <t>Return array of elements present in either array (duplicates will appear only once).</t>
  </si>
  <si>
    <t>Unique()</t>
  </si>
  <si>
    <t>Discard duplicates and reindex remaining elements.</t>
  </si>
  <si>
    <t>Width()</t>
  </si>
  <si>
    <t>Return the maximum width of string elements (other element types are ignored).</t>
  </si>
  <si>
    <t>Table 2: 16.</t>
  </si>
  <si>
    <t>ARRAY Object Methods</t>
  </si>
  <si>
    <t>2.5.4</t>
  </si>
  <si>
    <t>BANNER Object</t>
  </si>
  <si>
    <t>Members</t>
  </si>
  <si>
    <t>Company</t>
  </si>
  <si>
    <t>Company name, up to 120 characters.</t>
  </si>
  <si>
    <t>Copyright</t>
  </si>
  <si>
    <t>AVEVA copyright, up to 80 characters.</t>
  </si>
  <si>
    <t>Libraries</t>
  </si>
  <si>
    <t>Library names</t>
  </si>
  <si>
    <t>Title for main windows, up to 13 characters</t>
  </si>
  <si>
    <t>Short</t>
  </si>
  <si>
    <t>Short form of company name</t>
  </si>
  <si>
    <t>Status</t>
  </si>
  <si>
    <t>PDMS release status</t>
  </si>
  <si>
    <t>Table 2: 17.</t>
  </si>
  <si>
    <t>BANNER Object Members</t>
  </si>
  <si>
    <t>Command</t>
  </si>
  <si>
    <r>
      <t xml:space="preserve">!BANNVAR = BANNER! </t>
    </r>
    <r>
      <rPr>
        <sz val="10"/>
        <color rgb="FF000000"/>
        <rFont val="Arial"/>
        <family val="2"/>
      </rPr>
      <t>$ Returns a BANNER object</t>
    </r>
  </si>
  <si>
    <t>2.5.5</t>
  </si>
  <si>
    <t>BAR Gadget</t>
  </si>
  <si>
    <t>Add(STRING dText, STRING enu)</t>
  </si>
  <si>
    <t xml:space="preserve">Appends a barmenu field, which can show the specified menu as a pulldown menu. </t>
  </si>
  <si>
    <r>
      <t xml:space="preserve">The name of the pulldown menu is given in </t>
    </r>
    <r>
      <rPr>
        <sz val="10"/>
        <color rgb="FF000000"/>
        <rFont val="Courier New"/>
        <family val="3"/>
      </rPr>
      <t>menu</t>
    </r>
    <r>
      <rPr>
        <sz val="10"/>
        <color rgb="FF000000"/>
        <rFont val="Arial"/>
        <family val="2"/>
      </rPr>
      <t xml:space="preserve">; the DTEXT of the field is given by </t>
    </r>
    <r>
      <rPr>
        <sz val="10"/>
        <color rgb="FF000000"/>
        <rFont val="Courier New"/>
        <family val="3"/>
      </rPr>
      <t>dText</t>
    </r>
    <r>
      <rPr>
        <sz val="10"/>
        <color rgb="FF000000"/>
        <rFont val="Arial"/>
        <family val="2"/>
      </rPr>
      <t>.</t>
    </r>
  </si>
  <si>
    <r>
      <t xml:space="preserve">Removes all barmenu fields. </t>
    </r>
    <r>
      <rPr>
        <b/>
        <sz val="10"/>
        <color rgb="FF000000"/>
        <rFont val="Arial"/>
        <family val="2"/>
      </rPr>
      <t>Using this method is deprecated</t>
    </r>
    <r>
      <rPr>
        <sz val="10"/>
        <color rgb="FF000000"/>
        <rFont val="Arial"/>
        <family val="2"/>
      </rPr>
      <t>.</t>
    </r>
  </si>
  <si>
    <t>Clear(STRING  dText)</t>
  </si>
  <si>
    <r>
      <t xml:space="preserve">Removes all barmenu fields after and including the one with DTEXT </t>
    </r>
    <r>
      <rPr>
        <sz val="10"/>
        <color rgb="FF000000"/>
        <rFont val="Courier New"/>
        <family val="3"/>
      </rPr>
      <t>dText</t>
    </r>
    <r>
      <rPr>
        <sz val="10"/>
        <color rgb="FF000000"/>
        <rFont val="Arial"/>
        <family val="2"/>
      </rPr>
      <t xml:space="preserve">. </t>
    </r>
  </si>
  <si>
    <r>
      <t>Using  this  method  is deprecated</t>
    </r>
    <r>
      <rPr>
        <sz val="10"/>
        <color rgb="FF000000"/>
        <rFont val="Arial"/>
        <family val="2"/>
      </rPr>
      <t>.</t>
    </r>
  </si>
  <si>
    <t xml:space="preserve">FieldProperty(STRING field, </t>
  </si>
  <si>
    <t>STRING property)</t>
  </si>
  <si>
    <r>
      <t xml:space="preserve">Get the value of the property named in </t>
    </r>
    <r>
      <rPr>
        <sz val="10"/>
        <color rgb="FF000000"/>
        <rFont val="Courier New"/>
        <family val="3"/>
      </rPr>
      <t>property</t>
    </r>
    <r>
      <rPr>
        <sz val="10"/>
        <color rgb="FF000000"/>
        <rFont val="Arial"/>
        <family val="2"/>
      </rPr>
      <t xml:space="preserve"> for the menu field named in </t>
    </r>
    <r>
      <rPr>
        <sz val="10"/>
        <color rgb="FF000000"/>
        <rFont val="Courier New"/>
        <family val="3"/>
      </rPr>
      <t>field</t>
    </r>
    <r>
      <rPr>
        <sz val="10"/>
        <color rgb="FF000000"/>
        <rFont val="Arial"/>
        <family val="2"/>
      </rPr>
      <t>.</t>
    </r>
  </si>
  <si>
    <t>The allowed values for the property are ‘ACTIVE’ or ‘VISIBLE’.</t>
  </si>
  <si>
    <t>FullName()</t>
  </si>
  <si>
    <t>Get the full name of the gadget, e.g.'!!Form.bar'.</t>
  </si>
  <si>
    <t>InsertAfter(STRING field, STRING dText, STRING menu)</t>
  </si>
  <si>
    <r>
      <t xml:space="preserve">Inserts a new barmenu field immediately after the one identified by </t>
    </r>
    <r>
      <rPr>
        <sz val="10"/>
        <color rgb="FF000000"/>
        <rFont val="Courier New"/>
        <family val="3"/>
      </rPr>
      <t>field</t>
    </r>
    <r>
      <rPr>
        <sz val="10"/>
        <color rgb="FF000000"/>
        <rFont val="Arial"/>
        <family val="2"/>
      </rPr>
      <t>.</t>
    </r>
  </si>
  <si>
    <r>
      <t xml:space="preserve">The name of the menu is given in </t>
    </r>
    <r>
      <rPr>
        <sz val="10"/>
        <color rgb="FF000000"/>
        <rFont val="Courier New"/>
        <family val="3"/>
      </rPr>
      <t>menu</t>
    </r>
    <r>
      <rPr>
        <sz val="10"/>
        <color rgb="FF000000"/>
        <rFont val="Arial"/>
        <family val="2"/>
      </rPr>
      <t xml:space="preserve">; the DTEXT of the new field is given by </t>
    </r>
    <r>
      <rPr>
        <sz val="10"/>
        <color rgb="FF000000"/>
        <rFont val="Courier New"/>
        <family val="3"/>
      </rPr>
      <t>dText</t>
    </r>
    <r>
      <rPr>
        <sz val="10"/>
        <color rgb="FF000000"/>
        <rFont val="Arial"/>
        <family val="2"/>
      </rPr>
      <t>.</t>
    </r>
  </si>
  <si>
    <t xml:space="preserve">InsertBefore(STRING field, </t>
  </si>
  <si>
    <t>STRING dText, STRING menu)</t>
  </si>
  <si>
    <r>
      <t xml:space="preserve">Inserts a new barmenu field immediately before the one identified by </t>
    </r>
    <r>
      <rPr>
        <sz val="10"/>
        <color rgb="FF000000"/>
        <rFont val="Courier New"/>
        <family val="3"/>
      </rPr>
      <t>field</t>
    </r>
    <r>
      <rPr>
        <sz val="10"/>
        <color rgb="FF000000"/>
        <rFont val="Arial"/>
        <family val="2"/>
      </rPr>
      <t>.</t>
    </r>
  </si>
  <si>
    <r>
      <t xml:space="preserve">The name of the menu is given in </t>
    </r>
    <r>
      <rPr>
        <sz val="10"/>
        <color rgb="FF000000"/>
        <rFont val="Courier New"/>
        <family val="3"/>
      </rPr>
      <t>menu</t>
    </r>
    <r>
      <rPr>
        <sz val="10"/>
        <color rgb="FF000000"/>
        <rFont val="Arial"/>
        <family val="2"/>
      </rPr>
      <t xml:space="preserve">; the DTEXT of the menu is given by </t>
    </r>
    <r>
      <rPr>
        <sz val="10"/>
        <color rgb="FF000000"/>
        <rFont val="Courier New"/>
        <family val="3"/>
      </rPr>
      <t>dText</t>
    </r>
    <r>
      <rPr>
        <sz val="10"/>
        <color rgb="FF000000"/>
        <rFont val="Arial"/>
        <family val="2"/>
      </rPr>
      <t>.</t>
    </r>
  </si>
  <si>
    <t>Name()</t>
  </si>
  <si>
    <t>Get the gadget's name, i.e.</t>
  </si>
  <si>
    <t>'bar'</t>
  </si>
  <si>
    <t>Owner()</t>
  </si>
  <si>
    <t>Get the owning form.</t>
  </si>
  <si>
    <t>SetActive( STRING dText, BOOLEAN state)</t>
  </si>
  <si>
    <r>
      <t xml:space="preserve">Deactivate/Activate  the menu field whose DTEXT is </t>
    </r>
    <r>
      <rPr>
        <sz val="10"/>
        <color rgb="FF000000"/>
        <rFont val="Courier New"/>
        <family val="3"/>
      </rPr>
      <t>dText</t>
    </r>
    <r>
      <rPr>
        <sz val="10"/>
        <color rgb="FF000000"/>
        <rFont val="Arial"/>
        <family val="2"/>
      </rPr>
      <t xml:space="preserve">. </t>
    </r>
  </si>
  <si>
    <t xml:space="preserve">SetFieldProperty(STRING menu, </t>
  </si>
  <si>
    <t>STRING property, BOOLEAN state)</t>
  </si>
  <si>
    <r>
      <t xml:space="preserve">Set the value of the property named in </t>
    </r>
    <r>
      <rPr>
        <sz val="10"/>
        <color rgb="FF000000"/>
        <rFont val="Courier New"/>
        <family val="3"/>
      </rPr>
      <t>property</t>
    </r>
    <r>
      <rPr>
        <sz val="10"/>
        <color rgb="FF000000"/>
        <rFont val="Arial"/>
        <family val="2"/>
      </rPr>
      <t xml:space="preserve"> with the value of </t>
    </r>
    <r>
      <rPr>
        <sz val="10"/>
        <color rgb="FF000000"/>
        <rFont val="Courier New"/>
        <family val="3"/>
      </rPr>
      <t>state</t>
    </r>
    <r>
      <rPr>
        <sz val="10"/>
        <color rgb="FF000000"/>
        <rFont val="Arial"/>
        <family val="2"/>
      </rPr>
      <t xml:space="preserve">, for the menu named in </t>
    </r>
    <r>
      <rPr>
        <sz val="10"/>
        <color rgb="FF000000"/>
        <rFont val="Courier New"/>
        <family val="3"/>
      </rPr>
      <t>menu</t>
    </r>
    <r>
      <rPr>
        <sz val="10"/>
        <color rgb="FF000000"/>
        <rFont val="Arial"/>
        <family val="2"/>
      </rPr>
      <t>.</t>
    </r>
  </si>
  <si>
    <t>Shown()</t>
  </si>
  <si>
    <t>Get shown status.</t>
  </si>
  <si>
    <t>Type()</t>
  </si>
  <si>
    <t>Get the GADGET type as a STRING.</t>
  </si>
  <si>
    <t>Table 2: 18.</t>
  </si>
  <si>
    <t>BAR Object Methods</t>
  </si>
  <si>
    <t>2.5.6</t>
  </si>
  <si>
    <t>BLOCK Object</t>
  </si>
  <si>
    <t>Block( STRING expression)</t>
  </si>
  <si>
    <t>Creates a block expression.</t>
  </si>
  <si>
    <t>Evaluate()</t>
  </si>
  <si>
    <t>Evaluate block expression on object: check result is of TYPE type.</t>
  </si>
  <si>
    <t>Evaluate the expression and return the result</t>
  </si>
  <si>
    <t>Evaluate(STRING type)</t>
  </si>
  <si>
    <r>
      <t xml:space="preserve">Evaluate expression and return an error if the result is not of TYPE </t>
    </r>
    <r>
      <rPr>
        <b/>
        <sz val="10"/>
        <color rgb="FF000000"/>
        <rFont val="Arial"/>
        <family val="2"/>
      </rPr>
      <t>type</t>
    </r>
    <r>
      <rPr>
        <sz val="10"/>
        <color rgb="FF000000"/>
        <rFont val="Arial"/>
        <family val="2"/>
      </rPr>
      <t>. Otherwise returns the result.</t>
    </r>
  </si>
  <si>
    <t>Table 2: 19.</t>
  </si>
  <si>
    <t>BLOCK Object Methods</t>
  </si>
  <si>
    <t>2.5.7</t>
  </si>
  <si>
    <t xml:space="preserve">BOOLEAN Object </t>
  </si>
  <si>
    <t>BOOLEAN(REAL value)</t>
  </si>
  <si>
    <t>Constructor that creates a boolean Object set to a nonzero value if boolean is TRUE; 0 if boolean is FALSE</t>
  </si>
  <si>
    <t>BOOLEAN(STRING value)</t>
  </si>
  <si>
    <t>Constructor that creates a boolean Object set to:</t>
  </si>
  <si>
    <t>'TRUE’ if boolean is T, TR, TRU, TRUE, Y, YE YES;</t>
  </si>
  <si>
    <t>‘FALSE’ if boolean is F, FA, FAL, FALS, FALSE, N, NO.</t>
  </si>
  <si>
    <t>BOOLEAN( STRING value, FORMAT format)</t>
  </si>
  <si>
    <t>As above. FORMAT argument required for consistency by Forms and Menus.</t>
  </si>
  <si>
    <t>AND()</t>
  </si>
  <si>
    <t>TRUE if both values are TRUE</t>
  </si>
  <si>
    <t>NOT()</t>
  </si>
  <si>
    <t>TRUE if FALSE; FALSE if TRUE</t>
  </si>
  <si>
    <t>OR(BOOLEAN value)</t>
  </si>
  <si>
    <t>TRUE if either value is TRUE</t>
  </si>
  <si>
    <t>Real()</t>
  </si>
  <si>
    <t>1 if boolean is TRUE; 0 if boolean is FALSE</t>
  </si>
  <si>
    <t>‘TRUE’ if boolean is TRUE.</t>
  </si>
  <si>
    <t>‘FALSE’ if boolean is FALSE.</t>
  </si>
  <si>
    <t>Table 2: 20.</t>
  </si>
  <si>
    <t>BOOLEAN Object Methods</t>
  </si>
  <si>
    <t>2.5.8</t>
  </si>
  <si>
    <t>BORE Object</t>
  </si>
  <si>
    <t>Member</t>
  </si>
  <si>
    <t xml:space="preserve">Size </t>
  </si>
  <si>
    <t>The BORE size</t>
  </si>
  <si>
    <t>Table 2: 21.</t>
  </si>
  <si>
    <t>BORE Object Members</t>
  </si>
  <si>
    <t>BORE(REAL value)</t>
  </si>
  <si>
    <r>
      <t xml:space="preserve">Constructor that creates a BORE object with the given </t>
    </r>
    <r>
      <rPr>
        <sz val="10"/>
        <color rgb="FF000000"/>
        <rFont val="Courier New"/>
        <family val="3"/>
      </rPr>
      <t>value</t>
    </r>
    <r>
      <rPr>
        <sz val="10"/>
        <color rgb="FF000000"/>
        <rFont val="Arial"/>
        <family val="2"/>
      </rPr>
      <t>.</t>
    </r>
  </si>
  <si>
    <t>BORE(STRING value)</t>
  </si>
  <si>
    <r>
      <t xml:space="preserve">Constructor that creates a BORE object with the given </t>
    </r>
    <r>
      <rPr>
        <sz val="10"/>
        <color rgb="FF000000"/>
        <rFont val="Courier New"/>
        <family val="3"/>
      </rPr>
      <t>value.</t>
    </r>
  </si>
  <si>
    <t>BORE(STRING value, FORMAT format)</t>
  </si>
  <si>
    <r>
      <t xml:space="preserve">Constructor that creates a BORE object with the given </t>
    </r>
    <r>
      <rPr>
        <sz val="10"/>
        <color rgb="FF000000"/>
        <rFont val="Courier New"/>
        <family val="3"/>
      </rPr>
      <t>value</t>
    </r>
    <r>
      <rPr>
        <sz val="10"/>
        <color rgb="FF000000"/>
        <rFont val="Arial"/>
        <family val="2"/>
      </rPr>
      <t xml:space="preserve">, and in the format specified by </t>
    </r>
    <r>
      <rPr>
        <sz val="10"/>
        <color rgb="FF000000"/>
        <rFont val="Courier New"/>
        <family val="3"/>
      </rPr>
      <t>format</t>
    </r>
    <r>
      <rPr>
        <sz val="10"/>
        <color rgb="FF000000"/>
        <rFont val="Arial"/>
        <family val="2"/>
      </rPr>
      <t>.</t>
    </r>
  </si>
  <si>
    <t>EQ(REAL value)</t>
  </si>
  <si>
    <r>
      <t xml:space="preserve">Comparison with the argument </t>
    </r>
    <r>
      <rPr>
        <sz val="10"/>
        <color rgb="FF000000"/>
        <rFont val="Courier New"/>
        <family val="3"/>
      </rPr>
      <t>value</t>
    </r>
    <r>
      <rPr>
        <sz val="10"/>
        <color rgb="FF000000"/>
        <rFont val="Arial"/>
        <family val="2"/>
      </rPr>
      <t xml:space="preserve"> dependent on current BORE units.</t>
    </r>
  </si>
  <si>
    <t>GEQ(BORE bore)</t>
  </si>
  <si>
    <r>
      <t xml:space="preserve">TRUE if this object is greater than or equal to the argument </t>
    </r>
    <r>
      <rPr>
        <sz val="10"/>
        <color rgb="FF000000"/>
        <rFont val="Courier New"/>
        <family val="3"/>
      </rPr>
      <t>bore</t>
    </r>
    <r>
      <rPr>
        <sz val="10"/>
        <color rgb="FF000000"/>
        <rFont val="Arial"/>
        <family val="2"/>
      </rPr>
      <t>.</t>
    </r>
  </si>
  <si>
    <t>GEQ(REAL value)</t>
  </si>
  <si>
    <t>GT(BORE bore)</t>
  </si>
  <si>
    <t>TRUE if BORE greater than</t>
  </si>
  <si>
    <t>GT(REAL value)</t>
  </si>
  <si>
    <r>
      <t xml:space="preserve">Comparison with the argument </t>
    </r>
    <r>
      <rPr>
        <sz val="10"/>
        <color rgb="FF000000"/>
        <rFont val="Courier New"/>
        <family val="3"/>
      </rPr>
      <t>value</t>
    </r>
    <r>
      <rPr>
        <sz val="10"/>
        <color rgb="FF000000"/>
        <rFont val="Arial"/>
        <family val="2"/>
      </rPr>
      <t xml:space="preserve"> dependent on current BORE units</t>
    </r>
  </si>
  <si>
    <t>LEQ(BORE bore)</t>
  </si>
  <si>
    <r>
      <t xml:space="preserve">TRUE if this object is less than or equal to the argument </t>
    </r>
    <r>
      <rPr>
        <sz val="10"/>
        <color rgb="FF000000"/>
        <rFont val="Courier New"/>
        <family val="3"/>
      </rPr>
      <t>bore</t>
    </r>
    <r>
      <rPr>
        <sz val="10"/>
        <color rgb="FF000000"/>
        <rFont val="Arial"/>
        <family val="2"/>
      </rPr>
      <t>.</t>
    </r>
  </si>
  <si>
    <t>LEQ(REAL value)</t>
  </si>
  <si>
    <t>LT(BORE bore)</t>
  </si>
  <si>
    <r>
      <t xml:space="preserve">TRUE if this object is less than </t>
    </r>
    <r>
      <rPr>
        <sz val="10"/>
        <color rgb="FF000000"/>
        <rFont val="Courier New"/>
        <family val="3"/>
      </rPr>
      <t>bore</t>
    </r>
    <r>
      <rPr>
        <sz val="10"/>
        <color rgb="FF000000"/>
        <rFont val="Arial"/>
        <family val="2"/>
      </rPr>
      <t>.</t>
    </r>
  </si>
  <si>
    <t>LT(REAL value)</t>
  </si>
  <si>
    <t>Convert BORE to a REAL value</t>
  </si>
  <si>
    <t>String(FORMAT format)</t>
  </si>
  <si>
    <r>
      <t xml:space="preserve">Convert BORE to a STRING using the settings in the global </t>
    </r>
    <r>
      <rPr>
        <sz val="10"/>
        <color rgb="FF000000"/>
        <rFont val="Courier New"/>
        <family val="3"/>
      </rPr>
      <t xml:space="preserve">format </t>
    </r>
    <r>
      <rPr>
        <sz val="10"/>
        <color rgb="FF000000"/>
        <rFont val="Arial"/>
        <family val="2"/>
      </rPr>
      <t>object.</t>
    </r>
  </si>
  <si>
    <t>Figure 2:18.</t>
  </si>
  <si>
    <t>BORE Object Methods</t>
  </si>
  <si>
    <t>2.5.9</t>
  </si>
  <si>
    <t>BUTTON Gadget</t>
  </si>
  <si>
    <t>Background</t>
  </si>
  <si>
    <t>Set/Get</t>
  </si>
  <si>
    <t>Set  or  get  Background</t>
  </si>
  <si>
    <t>Colour Number</t>
  </si>
  <si>
    <t>Set Only</t>
  </si>
  <si>
    <t>Set  Background  Colour Name</t>
  </si>
  <si>
    <t>Val</t>
  </si>
  <si>
    <t>TRUE when the button is</t>
  </si>
  <si>
    <t>pressed</t>
  </si>
  <si>
    <t>FALSE when it is not</t>
  </si>
  <si>
    <t>Table 2: 22.</t>
  </si>
  <si>
    <t>BUTTON Object Members</t>
  </si>
  <si>
    <t>AddPixmap(STRING file1, STRING file2, STRING file3 )</t>
  </si>
  <si>
    <t>AddPixmap(STRING file1, STRING file2)</t>
  </si>
  <si>
    <t>AddPixmap(STRING file )</t>
  </si>
  <si>
    <t>Adds pixmaps to be used for the unselected, selected and inactive states. The last two are optional.</t>
  </si>
  <si>
    <t>Get the full gadget name, e.g.'!!Form.gadget'.</t>
  </si>
  <si>
    <t>Get the gadget's name, e.g. 'gadget'.</t>
  </si>
  <si>
    <t>Get owning form.</t>
  </si>
  <si>
    <t>SetPopup(MENU menu)</t>
  </si>
  <si>
    <t>Links the given menu with the gadget as a popup.</t>
  </si>
  <si>
    <t>RemovePopup(MENU menu)</t>
  </si>
  <si>
    <t>Removes the given popup menu from the gadget.</t>
  </si>
  <si>
    <t>GetPickedPopup()</t>
  </si>
  <si>
    <t>Returns the name of the menu picked from a popup.</t>
  </si>
  <si>
    <t>SetFocus()</t>
  </si>
  <si>
    <t>Move keyboard focus to this gadget.</t>
  </si>
  <si>
    <t>Refresh()</t>
  </si>
  <si>
    <t>Refresh display of gadget.</t>
  </si>
  <si>
    <t>Background()</t>
  </si>
  <si>
    <t>Get  Background  Colour Name.</t>
  </si>
  <si>
    <t>Some gadgets do not support this property in all circumstances, e.g. gadgets which are showing a pixmap. Gadgets whose colour has not been set explicitly, may not have a colour with a known colourname. In this case an error is raised..</t>
  </si>
  <si>
    <t>SetToolTip(STRING)</t>
  </si>
  <si>
    <t>Sets the text of the Tooltip.</t>
  </si>
  <si>
    <t>Get the gadget-type as a STRING.</t>
  </si>
  <si>
    <t>Table 2: 23.</t>
  </si>
  <si>
    <t>BUTTON Object Methods</t>
  </si>
  <si>
    <t>Note:</t>
  </si>
  <si>
    <r>
      <t xml:space="preserve">Note: </t>
    </r>
    <r>
      <rPr>
        <sz val="10"/>
        <color rgb="FF000000"/>
        <rFont val="Arial"/>
        <family val="2"/>
      </rPr>
      <t>It is bad practice to place one gadget on top of another. This may lead to gadgets being obscured.</t>
    </r>
  </si>
  <si>
    <t>Notes:</t>
  </si>
  <si>
    <t>2.5.10</t>
  </si>
  <si>
    <t>COLLECTION Object</t>
  </si>
  <si>
    <t>AddScope</t>
  </si>
  <si>
    <t>Scope (DBREF ARRAY)</t>
  </si>
  <si>
    <t>AppendScope (DBREF ARRAY)</t>
  </si>
  <si>
    <t>EXPRESSI</t>
  </si>
  <si>
    <t>Returns the expression used to filter database elements.</t>
  </si>
  <si>
    <t>Returns the current index of the count being used by</t>
  </si>
  <si>
    <t>Next().</t>
  </si>
  <si>
    <t>Table 2: 24.</t>
  </si>
  <si>
    <t>COLLECTION Object Methods</t>
  </si>
  <si>
    <t>2.5.11</t>
  </si>
  <si>
    <t>COLUMN Object</t>
  </si>
  <si>
    <t>Column()</t>
  </si>
  <si>
    <t>Constructor (initialises all the object settings)</t>
  </si>
  <si>
    <t xml:space="preserve">Column(EXPRESSION, BOOLEAN, </t>
  </si>
  <si>
    <t>BOOLEAN, STRING)</t>
  </si>
  <si>
    <t>Constructor  setting</t>
  </si>
  <si>
    <t>Expression, Sort, Ascending,</t>
  </si>
  <si>
    <t>Key</t>
  </si>
  <si>
    <t>Key (STRING)</t>
  </si>
  <si>
    <t>Sets key and forces it to be uppercase</t>
  </si>
  <si>
    <t>Expression (EXPRESSION)</t>
  </si>
  <si>
    <t>Defines the expression used to populate the column</t>
  </si>
  <si>
    <t>Switches on column sort</t>
  </si>
  <si>
    <t>NoSort()</t>
  </si>
  <si>
    <t>Switches off column sort, this is the default setting</t>
  </si>
  <si>
    <t>Ascending()</t>
  </si>
  <si>
    <t>Sets  column  sort  to</t>
  </si>
  <si>
    <t>ascending order</t>
  </si>
  <si>
    <t>Descending()</t>
  </si>
  <si>
    <t>descending order</t>
  </si>
  <si>
    <t>Key()</t>
  </si>
  <si>
    <t>Returns the key word for use when reporting</t>
  </si>
  <si>
    <t>Expression()</t>
  </si>
  <si>
    <t>Returns the expression used to derive the content of the column</t>
  </si>
  <si>
    <t>IsSorted()</t>
  </si>
  <si>
    <t>Returns TRUE if the column is sorted</t>
  </si>
  <si>
    <t>SortType()</t>
  </si>
  <si>
    <t>Returns the column sort setting, ascending,</t>
  </si>
  <si>
    <t>descending or off</t>
  </si>
  <si>
    <t>Table 2: 25.</t>
  </si>
  <si>
    <t>COLUMN Object Methods</t>
  </si>
  <si>
    <t>2.5.12</t>
  </si>
  <si>
    <t xml:space="preserve">COLUMNFORMAT </t>
  </si>
  <si>
    <t>ColumnFormat()</t>
  </si>
  <si>
    <t>Format(FORMAT)</t>
  </si>
  <si>
    <t>Sets the format of the column to the passed format</t>
  </si>
  <si>
    <t>Format(DATEFORMAT)</t>
  </si>
  <si>
    <t>Sets the format of the column to the passed date format</t>
  </si>
  <si>
    <t>FORMAT('STRING')</t>
  </si>
  <si>
    <t>Unsets the format of the column, i.e. the column</t>
  </si>
  <si>
    <t>Width (REAL)</t>
  </si>
  <si>
    <t>Sets the column width</t>
  </si>
  <si>
    <t>Widest()</t>
  </si>
  <si>
    <t>Sets the maximum column width flag, setting a specific width value automatically sets the flag to FALSE.  Note that this is the least efficient method for Width because a complete scan has to be done to determine the widest.</t>
  </si>
  <si>
    <t>Indent(REAL, REAL)</t>
  </si>
  <si>
    <t>Sets left and right indents (i.e. spaces) in the column</t>
  </si>
  <si>
    <t>Format()</t>
  </si>
  <si>
    <t>Returns the format for numeric values in a column</t>
  </si>
  <si>
    <t>Returns the column width, strings greater than the column width are wrapped on to the next line, numeric values greater than the column width are output as a column of hashes.</t>
  </si>
  <si>
    <t>GetWidest()</t>
  </si>
  <si>
    <t>Returns TRUE if “widest” is set</t>
  </si>
  <si>
    <t>Justification()</t>
  </si>
  <si>
    <t>Returns  the  column</t>
  </si>
  <si>
    <t>justification</t>
  </si>
  <si>
    <t>LeftIndent()</t>
  </si>
  <si>
    <t>Returns the left indent setting</t>
  </si>
  <si>
    <t>RightIndent()</t>
  </si>
  <si>
    <t>Returns  the  right  indent</t>
  </si>
  <si>
    <t>setting</t>
  </si>
  <si>
    <t>Table 2: 26.</t>
  </si>
  <si>
    <t>COLUMNFORMAT Object Methods</t>
  </si>
  <si>
    <t>2.5.13</t>
  </si>
  <si>
    <t>COMBOBOX Gadget</t>
  </si>
  <si>
    <t xml:space="preserve">Val </t>
  </si>
  <si>
    <t>REAL  Get/</t>
  </si>
  <si>
    <t xml:space="preserve">Set </t>
  </si>
  <si>
    <t>Selected option number.</t>
  </si>
  <si>
    <t>DText</t>
  </si>
  <si>
    <t>ARRAY OF</t>
  </si>
  <si>
    <t>Set or get the entire list of display texts.</t>
  </si>
  <si>
    <t>DText[n]</t>
  </si>
  <si>
    <t>STRING Get Only</t>
  </si>
  <si>
    <r>
      <t xml:space="preserve">Get the display text of the </t>
    </r>
    <r>
      <rPr>
        <b/>
        <sz val="10"/>
        <color rgb="FF000000"/>
        <rFont val="Arial"/>
        <family val="2"/>
      </rPr>
      <t>n</t>
    </r>
    <r>
      <rPr>
        <sz val="10"/>
        <color rgb="FF000000"/>
        <rFont val="Arial"/>
        <family val="2"/>
      </rPr>
      <t>'th option.</t>
    </r>
  </si>
  <si>
    <t>RText</t>
  </si>
  <si>
    <t>Set or get the list of replacement texts.</t>
  </si>
  <si>
    <t>RText[n]</t>
  </si>
  <si>
    <t>STRING Get</t>
  </si>
  <si>
    <t xml:space="preserve">Only </t>
  </si>
  <si>
    <r>
      <t xml:space="preserve">Get the replacement text of the </t>
    </r>
    <r>
      <rPr>
        <b/>
        <sz val="10"/>
        <color rgb="FF000000"/>
        <rFont val="Arial"/>
        <family val="2"/>
      </rPr>
      <t>n</t>
    </r>
    <r>
      <rPr>
        <sz val="10"/>
        <color rgb="FF000000"/>
        <rFont val="Arial"/>
        <family val="2"/>
      </rPr>
      <t>'th option.</t>
    </r>
  </si>
  <si>
    <t>Editable</t>
  </si>
  <si>
    <t>Controls editable status of the text display field (ComboBox only)</t>
  </si>
  <si>
    <t>Scroll</t>
  </si>
  <si>
    <t>INTEGER</t>
  </si>
  <si>
    <t>Controls the maximum length of a text string which can be held and scrolled in the display text field (ComboBox only)</t>
  </si>
  <si>
    <t>Count</t>
  </si>
  <si>
    <t>Get only</t>
  </si>
  <si>
    <t>Get count of number of fields in the list.</t>
  </si>
  <si>
    <r>
      <t xml:space="preserve">Selected field as integer. Zero implies no selection. Setting </t>
    </r>
    <r>
      <rPr>
        <b/>
        <sz val="10"/>
        <color rgb="FF000000"/>
        <rFont val="Arial"/>
        <family val="2"/>
      </rPr>
      <t>val</t>
    </r>
    <r>
      <rPr>
        <sz val="10"/>
        <color rgb="FF000000"/>
        <rFont val="Arial"/>
        <family val="2"/>
      </rPr>
      <t xml:space="preserve"> to zero will cause an error if ZeroSel is not specified.</t>
    </r>
  </si>
  <si>
    <t>Table 2: 27.</t>
  </si>
  <si>
    <t>COMBOBOX Gadget Members</t>
  </si>
  <si>
    <t>Add(STRING Dtext)</t>
  </si>
  <si>
    <r>
      <t xml:space="preserve">Append an entry to the drop down list, where </t>
    </r>
    <r>
      <rPr>
        <b/>
        <sz val="10"/>
        <color rgb="FF000000"/>
        <rFont val="Arial"/>
        <family val="2"/>
      </rPr>
      <t>Dtext</t>
    </r>
    <r>
      <rPr>
        <sz val="10"/>
        <color rgb="FF000000"/>
        <rFont val="Arial"/>
        <family val="2"/>
      </rPr>
      <t xml:space="preserve"> is the text to display in the option list.</t>
    </r>
  </si>
  <si>
    <t>Add(STRING Dtext, STRING Rtext))</t>
  </si>
  <si>
    <r>
      <t xml:space="preserve">Append and entry to the drop down list, where </t>
    </r>
    <r>
      <rPr>
        <b/>
        <sz val="10"/>
        <color rgb="FF000000"/>
        <rFont val="Arial"/>
        <family val="2"/>
      </rPr>
      <t>Dtext</t>
    </r>
    <r>
      <rPr>
        <sz val="10"/>
        <color rgb="FF000000"/>
        <rFont val="Arial"/>
        <family val="2"/>
      </rPr>
      <t xml:space="preserve"> is the text to display in the option list, and </t>
    </r>
    <r>
      <rPr>
        <b/>
        <sz val="10"/>
        <color rgb="FF000000"/>
        <rFont val="Arial"/>
        <family val="2"/>
      </rPr>
      <t>Rtext</t>
    </r>
    <r>
      <rPr>
        <sz val="10"/>
        <color rgb="FF000000"/>
        <rFont val="Arial"/>
        <family val="2"/>
      </rPr>
      <t xml:space="preserve"> is the replacement text for the new field. If </t>
    </r>
    <r>
      <rPr>
        <b/>
        <sz val="10"/>
        <color rgb="FF000000"/>
        <rFont val="Arial"/>
        <family val="2"/>
      </rPr>
      <t>Rtext</t>
    </r>
    <r>
      <rPr>
        <sz val="10"/>
        <color rgb="FF000000"/>
        <rFont val="Arial"/>
        <family val="2"/>
      </rPr>
      <t xml:space="preserve"> isn’t specified, it will be set to </t>
    </r>
    <r>
      <rPr>
        <b/>
        <sz val="10"/>
        <color rgb="FF000000"/>
        <rFont val="Arial"/>
        <family val="2"/>
      </rPr>
      <t>Dtext</t>
    </r>
    <r>
      <rPr>
        <sz val="10"/>
        <color rgb="FF000000"/>
        <rFont val="Arial"/>
        <family val="2"/>
      </rPr>
      <t xml:space="preserve"> by default.</t>
    </r>
  </si>
  <si>
    <t>Clear gadget’s contents.</t>
  </si>
  <si>
    <t>ClearSelection()</t>
  </si>
  <si>
    <t>Clears selection and returns to default of first in list.</t>
  </si>
  <si>
    <t>Get the full gadget name, e.g.'!!Form.gadget'</t>
  </si>
  <si>
    <t>Get the gadget's name, e.g. 'gadget'</t>
  </si>
  <si>
    <t xml:space="preserve">Select(STRING text, STRING value </t>
  </si>
  <si>
    <t>)</t>
  </si>
  <si>
    <r>
      <t>Select specified item in a list: t</t>
    </r>
    <r>
      <rPr>
        <b/>
        <sz val="10"/>
        <color rgb="FF000000"/>
        <rFont val="Arial"/>
        <family val="2"/>
      </rPr>
      <t>ext</t>
    </r>
    <r>
      <rPr>
        <sz val="10"/>
        <color rgb="FF000000"/>
        <rFont val="Arial"/>
        <family val="2"/>
      </rPr>
      <t xml:space="preserve"> must be ‘Rtext’ or ‘Dtext’, and </t>
    </r>
    <r>
      <rPr>
        <b/>
        <sz val="10"/>
        <color rgb="FF000000"/>
        <rFont val="Arial"/>
        <family val="2"/>
      </rPr>
      <t>value</t>
    </r>
    <r>
      <rPr>
        <sz val="10"/>
        <color rgb="FF000000"/>
        <rFont val="Arial"/>
        <family val="2"/>
      </rPr>
      <t xml:space="preserve"> is the item to be selected.</t>
    </r>
  </si>
  <si>
    <t>Selection()</t>
  </si>
  <si>
    <t>Get  current  selection’s RTEXT.</t>
  </si>
  <si>
    <t>Selection(STRING text )</t>
  </si>
  <si>
    <r>
      <t xml:space="preserve">Get RTEXT or DTEXT  of current selection; </t>
    </r>
    <r>
      <rPr>
        <b/>
        <sz val="10"/>
        <color rgb="FF000000"/>
        <rFont val="Arial"/>
        <family val="2"/>
      </rPr>
      <t>text</t>
    </r>
    <r>
      <rPr>
        <sz val="10"/>
        <color rgb="FF000000"/>
        <rFont val="Arial"/>
        <family val="2"/>
      </rPr>
      <t xml:space="preserve"> must be ‘Rtext’ or ‘Dtext’. </t>
    </r>
  </si>
  <si>
    <t>SetDisplayText( STRING text )</t>
  </si>
  <si>
    <t>Set the display text field value, if the gadget is editable.</t>
  </si>
  <si>
    <r>
      <t xml:space="preserve">Links </t>
    </r>
    <r>
      <rPr>
        <b/>
        <sz val="10"/>
        <color rgb="FF000000"/>
        <rFont val="Arial"/>
        <family val="2"/>
      </rPr>
      <t>menu</t>
    </r>
    <r>
      <rPr>
        <sz val="10"/>
        <color rgb="FF000000"/>
        <rFont val="Arial"/>
        <family val="2"/>
      </rPr>
      <t xml:space="preserve"> with the gadget as a popup.</t>
    </r>
  </si>
  <si>
    <t>RESULT</t>
  </si>
  <si>
    <t>Refreshes the display of the gadget.</t>
  </si>
  <si>
    <r>
      <t xml:space="preserve">Removes (popup) </t>
    </r>
    <r>
      <rPr>
        <b/>
        <sz val="10"/>
        <color rgb="FF000000"/>
        <rFont val="Arial"/>
        <family val="2"/>
      </rPr>
      <t xml:space="preserve">menu </t>
    </r>
    <r>
      <rPr>
        <sz val="10"/>
        <color rgb="FF000000"/>
        <rFont val="Arial"/>
        <family val="2"/>
      </rPr>
      <t>from the gadget.</t>
    </r>
  </si>
  <si>
    <t>Returns the last picked popup menu for the gadget.</t>
  </si>
  <si>
    <t>Get ‘shown’ status.</t>
  </si>
  <si>
    <t>Get the gadget type as a string.</t>
  </si>
  <si>
    <t>DisplayText( )</t>
  </si>
  <si>
    <t>Gets the text string currently displayed in the Option gadget's display field.</t>
  </si>
  <si>
    <t>SetPopup(  !menu )</t>
  </si>
  <si>
    <t>Assigns a menu object as the gadget's current popup.</t>
  </si>
  <si>
    <t>Clear( !dtext )</t>
  </si>
  <si>
    <t>Delete the field with the given DTEXT string.</t>
  </si>
  <si>
    <t>Clear( !fieldNumber )</t>
  </si>
  <si>
    <t>Delete the specified field number.</t>
  </si>
  <si>
    <t>Table 2: 28.</t>
  </si>
  <si>
    <t>COMBOBOX Gadget Methods</t>
  </si>
  <si>
    <t>+- &lt;fgpos&gt; -------|</t>
  </si>
  <si>
    <t>+- &lt;fganch&gt; ------|</t>
  </si>
  <si>
    <t>+- TOOLTIP text --|</t>
  </si>
  <si>
    <r>
      <t>1.</t>
    </r>
    <r>
      <rPr>
        <sz val="7"/>
        <color rgb="FF000000"/>
        <rFont val="Times New Roman"/>
        <family val="1"/>
      </rPr>
      <t xml:space="preserve">    </t>
    </r>
    <r>
      <rPr>
        <sz val="10"/>
        <color rgb="FF000000"/>
        <rFont val="Arial"/>
        <family val="2"/>
      </rPr>
      <t xml:space="preserve">UNSELECT events are not notified to PML unless an open callback has been specified(so that SELECT and UNSELECT events can be differentiated). </t>
    </r>
  </si>
  <si>
    <r>
      <t>2.</t>
    </r>
    <r>
      <rPr>
        <sz val="7"/>
        <color rgb="FF000000"/>
        <rFont val="Times New Roman"/>
        <family val="1"/>
      </rPr>
      <t xml:space="preserve">    </t>
    </r>
    <r>
      <rPr>
        <sz val="10"/>
        <color rgb="FF000000"/>
        <rFont val="Arial"/>
        <family val="2"/>
      </rPr>
      <t>Typically the UNSELECT action allows Appware to manage consequences ofdeselection for any dependent gadgets or forms.</t>
    </r>
  </si>
  <si>
    <t>2.5.14</t>
  </si>
  <si>
    <t>CONTAINER Gadget</t>
  </si>
  <si>
    <t>Member Name</t>
  </si>
  <si>
    <t>type</t>
  </si>
  <si>
    <t>STRING Get/Set</t>
  </si>
  <si>
    <t>Gadget type as string 'Container'.</t>
  </si>
  <si>
    <t>control</t>
  </si>
  <si>
    <t>Integer handle of external control.</t>
  </si>
  <si>
    <t>popup</t>
  </si>
  <si>
    <t>MENU Get/Set</t>
  </si>
  <si>
    <t>Popup menu associated with the control.</t>
  </si>
  <si>
    <t>Method Name</t>
  </si>
  <si>
    <t>ShowPopup(!x is REAL, !y is REAL )</t>
  </si>
  <si>
    <t>Show the associated popup at the specified position. Position is the integer pixel position within the enclosed control.</t>
  </si>
  <si>
    <t>FullName( )</t>
  </si>
  <si>
    <t>Get the full gadget name, i.e. !!Form.gadget.</t>
  </si>
  <si>
    <t>Name( )</t>
  </si>
  <si>
    <t>Get the gadget's name</t>
  </si>
  <si>
    <t>Owner( )</t>
  </si>
  <si>
    <t>Get owning form</t>
  </si>
  <si>
    <t>GetPickedPopup( )</t>
  </si>
  <si>
    <t>Shown( )</t>
  </si>
  <si>
    <t>Get 'shown' status.</t>
  </si>
  <si>
    <t>+-- &lt;fganch&gt; ------------|</t>
  </si>
  <si>
    <t>2.5.15</t>
  </si>
  <si>
    <t>DATEFORMAT Object</t>
  </si>
  <si>
    <t>DateFormat(STRING format)</t>
  </si>
  <si>
    <t>Constructor. Defines a format.</t>
  </si>
  <si>
    <r>
      <t xml:space="preserve">The input string, </t>
    </r>
    <r>
      <rPr>
        <b/>
        <sz val="10"/>
        <color rgb="FF000000"/>
        <rFont val="Arial"/>
        <family val="2"/>
      </rPr>
      <t>format</t>
    </r>
    <r>
      <rPr>
        <sz val="10"/>
        <color rgb="FF000000"/>
        <rFont val="Arial"/>
        <family val="2"/>
      </rPr>
      <t>, is in the form 'T*D*M*Y', where T = time, D = day, M = month, Y = year, and the order of the letters indicate the format required.</t>
    </r>
  </si>
  <si>
    <t>T and D are optional. H could be used if only hours are required.</t>
  </si>
  <si>
    <t>* is the separator character.</t>
  </si>
  <si>
    <t>DateFormat()</t>
  </si>
  <si>
    <t>Sets default format (‘T M D Y’, month = ‘INTEGER’, year = 2)</t>
  </si>
  <si>
    <t>Month(STRING)</t>
  </si>
  <si>
    <t>Sets month format. 'INTEGER', 'BRIEF' or 'FULL'</t>
  </si>
  <si>
    <t>Year(INT)</t>
  </si>
  <si>
    <t>Sets year format. 2 or 4 for number of digits</t>
  </si>
  <si>
    <t>String(DATETIME)</t>
  </si>
  <si>
    <t>Input a date in DATETIME format and convert to the specified format.</t>
  </si>
  <si>
    <t>String(STRING)</t>
  </si>
  <si>
    <t>Input a date in PDMS format and convert to the specified format.</t>
  </si>
  <si>
    <t>Table 2: 29.</t>
  </si>
  <si>
    <t>DATEFORMAT Object Methods</t>
  </si>
  <si>
    <t>2.5.16</t>
  </si>
  <si>
    <t>DATETIME Object</t>
  </si>
  <si>
    <t>DateTime()</t>
  </si>
  <si>
    <t>Create a DATETIME object with current date and time in it.</t>
  </si>
  <si>
    <t xml:space="preserve">DateTime(REAL year, REAL month, </t>
  </si>
  <si>
    <t>REAL date)</t>
  </si>
  <si>
    <t>Create a DATETIME set to the given year, month, date.</t>
  </si>
  <si>
    <t>Time defaults to 00:00:00.</t>
  </si>
  <si>
    <t>DateTime(REAL year,</t>
  </si>
  <si>
    <t xml:space="preserve"> STRING month.</t>
  </si>
  <si>
    <t xml:space="preserve"> REAL date)</t>
  </si>
  <si>
    <t>As above, but month is a STRING at least three characters long representing month e.g. ‘Jan’, ‘March’,</t>
  </si>
  <si>
    <t>‘DECEM’</t>
  </si>
  <si>
    <t>REAL date,</t>
  </si>
  <si>
    <t xml:space="preserve"> REAL hour,REAL minute)</t>
  </si>
  <si>
    <t>Create a DATETIME object set to given year, month, date, hour, minute. Seconds default to 0.</t>
  </si>
  <si>
    <t xml:space="preserve"> STRING month, REAL date, REAL hour, REAL minute)</t>
  </si>
  <si>
    <t>DateTime(REAL year, REAL month, REAL date, REAL hour, REAL minute, REAL second)</t>
  </si>
  <si>
    <t xml:space="preserve">Create a DATETIME object set to given year, month, date, hour, minute, second. </t>
  </si>
  <si>
    <t xml:space="preserve">DateTime(REAL year, STRING month, REAL date, REAL hour, </t>
  </si>
  <si>
    <t>REAL minute,</t>
  </si>
  <si>
    <t>REAL second)</t>
  </si>
  <si>
    <t>Date()</t>
  </si>
  <si>
    <t>Return day of month for this DATETIME object (1-31).</t>
  </si>
  <si>
    <t>GEQ(DATETIME)</t>
  </si>
  <si>
    <t>Test whether this DATETIME is later than or the same as argument DATETIME.</t>
  </si>
  <si>
    <t>GT(DATETIME)</t>
  </si>
  <si>
    <t>Test whether this date is later than argument DATETIME.</t>
  </si>
  <si>
    <t>HOUR()</t>
  </si>
  <si>
    <t>Return hour as REAL for this DATETIME object (0-23).</t>
  </si>
  <si>
    <t>LEQ(DATETIME)</t>
  </si>
  <si>
    <t>Test whether this DATETIME is earlier or the same as argument DATETIME</t>
  </si>
  <si>
    <t>LT(DATETIME)</t>
  </si>
  <si>
    <t>Test whether this DATETIME is earlier than argument DATETIME.</t>
  </si>
  <si>
    <t>Minute()</t>
  </si>
  <si>
    <t>Return minutes as REAL for this DATETIME object (059).</t>
  </si>
  <si>
    <t>Month()</t>
  </si>
  <si>
    <t>Return month as REAL for this DATETIME object (112).</t>
  </si>
  <si>
    <t>MonthString()</t>
  </si>
  <si>
    <t>Return month as STRING for this DATETIME object (‘January’, ’February’, etc.)</t>
  </si>
  <si>
    <t>Second()</t>
  </si>
  <si>
    <t>Return number of seconds as REAL for this DATETIME object (0-59).</t>
  </si>
  <si>
    <t>Year()</t>
  </si>
  <si>
    <t>Return year as REAL (e.g. 1998)</t>
  </si>
  <si>
    <t>Table 2: 30.</t>
  </si>
  <si>
    <t>DATETIME Object Methods</t>
  </si>
  <si>
    <t>2.5.17</t>
  </si>
  <si>
    <t>DB Object</t>
  </si>
  <si>
    <t xml:space="preserve">Name </t>
  </si>
  <si>
    <t>The name of the database, up to 32 characters.</t>
  </si>
  <si>
    <t>Description</t>
  </si>
  <si>
    <t>The database description, up to 120 characters.</t>
  </si>
  <si>
    <t>Access</t>
  </si>
  <si>
    <t>Access  type  (UPDATE,</t>
  </si>
  <si>
    <t>MULTIWRITE,</t>
  </si>
  <si>
    <t>CONTROLLED).</t>
  </si>
  <si>
    <t>Claim</t>
  </si>
  <si>
    <t>Claim mode for multi-write databases (EXPLICIT,</t>
  </si>
  <si>
    <t>IMPLICIT).</t>
  </si>
  <si>
    <t>File</t>
  </si>
  <si>
    <t>Database filename, up to 17 characters.</t>
  </si>
  <si>
    <t>Foreign</t>
  </si>
  <si>
    <t>FOREIGN or LOCAL</t>
  </si>
  <si>
    <t>Number</t>
  </si>
  <si>
    <t>Database number</t>
  </si>
  <si>
    <t>Team</t>
  </si>
  <si>
    <t>Owning Team</t>
  </si>
  <si>
    <t>Database type, e.g. DESI</t>
  </si>
  <si>
    <t>Refno</t>
  </si>
  <si>
    <t>String containing Database reference number</t>
  </si>
  <si>
    <t>Primary</t>
  </si>
  <si>
    <t>Identifies whether a database is PRIMARY or SECONDARY at the current</t>
  </si>
  <si>
    <t xml:space="preserve">location in a global project </t>
  </si>
  <si>
    <t>Table 2: 31.</t>
  </si>
  <si>
    <t>DB Object Members</t>
  </si>
  <si>
    <t>MDBList()</t>
  </si>
  <si>
    <t>List of MDBS which contain this DB.</t>
  </si>
  <si>
    <t>File size in pages.</t>
  </si>
  <si>
    <t>Sessions()</t>
  </si>
  <si>
    <t xml:space="preserve">ARRAY OF DBSESS </t>
  </si>
  <si>
    <t>All sessions of the current database.</t>
  </si>
  <si>
    <t>Lastsession()</t>
  </si>
  <si>
    <t>Last session information for database.</t>
  </si>
  <si>
    <t>DB(DBREF)</t>
  </si>
  <si>
    <t>Returns a DB object, given a DBREF.</t>
  </si>
  <si>
    <t>DB(STRING)</t>
  </si>
  <si>
    <t>Returns a DB object, given a name or reference number.</t>
  </si>
  <si>
    <t>Table 2: 32.</t>
  </si>
  <si>
    <t>DB Object Methods</t>
  </si>
  <si>
    <t>2.5.18</t>
  </si>
  <si>
    <t>DBREF Object</t>
  </si>
  <si>
    <t>Dbref( STRING )</t>
  </si>
  <si>
    <t>Creates a DBREF object with value set to the given STRING.</t>
  </si>
  <si>
    <t>Dbref( STRING, FORMAT )</t>
  </si>
  <si>
    <t>Attribute(STRING Name)</t>
  </si>
  <si>
    <t>Return the value of the named Attribute</t>
  </si>
  <si>
    <t>ARRAY OF STRING</t>
  </si>
  <si>
    <t xml:space="preserve">A DBREF appears to have the attributes of whatever DB elements it is pointing to </t>
  </si>
  <si>
    <t>BadRef()</t>
  </si>
  <si>
    <t>TRUE if DBREF is not valid (cannot navigate to it)</t>
  </si>
  <si>
    <t>Deletes the PML DBREF</t>
  </si>
  <si>
    <t>(not the database element it is pointing to)</t>
  </si>
  <si>
    <t>MCount()</t>
  </si>
  <si>
    <t>Count of number of members of element referenced</t>
  </si>
  <si>
    <t>MCount(STRING type)</t>
  </si>
  <si>
    <t>Count of number of members of element referenced of type specified</t>
  </si>
  <si>
    <t>String(FORMAT)</t>
  </si>
  <si>
    <t>Convert to STRING using settings in global FORMAT object</t>
  </si>
  <si>
    <t>Line([CUT/UNCUT])</t>
  </si>
  <si>
    <t>Returns the cut/uncut pline of a SCTN/GENSEC element</t>
  </si>
  <si>
    <t>as a bounded line</t>
  </si>
  <si>
    <t>PPosition(REAL)</t>
  </si>
  <si>
    <t xml:space="preserve">Returns the position of the specified Ppoint of a database element. </t>
  </si>
  <si>
    <t>PDirection(REAL)</t>
  </si>
  <si>
    <t xml:space="preserve">Returns the direction of the specified Ppoint of a database element. </t>
  </si>
  <si>
    <t>Table 2: 33.</t>
  </si>
  <si>
    <t>2.5.19</t>
  </si>
  <si>
    <t>DBSESS Object</t>
  </si>
  <si>
    <t>Session number</t>
  </si>
  <si>
    <t>Date when session started</t>
  </si>
  <si>
    <t>Author</t>
  </si>
  <si>
    <t>Creator of session</t>
  </si>
  <si>
    <t>Comment</t>
  </si>
  <si>
    <t>Session comment</t>
  </si>
  <si>
    <t>Table 2: 34.</t>
  </si>
  <si>
    <t>DBSESS Object Members</t>
  </si>
  <si>
    <t>2.5.20</t>
  </si>
  <si>
    <t>DIRECTION Object</t>
  </si>
  <si>
    <t xml:space="preserve">Get/Set </t>
  </si>
  <si>
    <t>Table 2: 35.</t>
  </si>
  <si>
    <t>DIRECTION Object Members</t>
  </si>
  <si>
    <t xml:space="preserve">String(FORMAT) </t>
  </si>
  <si>
    <t>Convert to STRING</t>
  </si>
  <si>
    <t>Table 2: 36.</t>
  </si>
  <si>
    <t>DIRECTION Object Methods</t>
  </si>
  <si>
    <t>2.5.21</t>
  </si>
  <si>
    <t>EXPRESSION Object</t>
  </si>
  <si>
    <t>Expression</t>
  </si>
  <si>
    <t>Constructor (initialises all the object’s settings).</t>
  </si>
  <si>
    <t>Expression (STRING)</t>
  </si>
  <si>
    <t>Constructs and defines the expression. ('ATTRIBUTE---') should be used for attributes for speed and efficiency.  Other examples are ('PURP eq IPIPINGI') or ('XLEN + STRING(XLEN)').</t>
  </si>
  <si>
    <t>AttributeExpression (STRING)</t>
  </si>
  <si>
    <t>Makes the passed attribute an expression. AttributeExpression</t>
  </si>
  <si>
    <t>('LENGTH') is the same as Expression ('ATTRIBUTE LENGTH').</t>
  </si>
  <si>
    <t>Returns the current expression as a string.</t>
  </si>
  <si>
    <t>Evaluate(DBREF)</t>
  </si>
  <si>
    <t>Evaluates the current expression against the passed object</t>
  </si>
  <si>
    <t>Table 2: 37.</t>
  </si>
  <si>
    <t>EXPRESSION Object Methods</t>
  </si>
  <si>
    <t>2.5.22</t>
  </si>
  <si>
    <t>FILE Object</t>
  </si>
  <si>
    <t>File(STRING)</t>
  </si>
  <si>
    <t>Create a FILE object on a file whose name is given in STRING.</t>
  </si>
  <si>
    <t>AccessMode()</t>
  </si>
  <si>
    <t>Return access mode for the file {‘CLOSED’, ‘READ’, ‘WRITE’, ‘OVERWRITE’, ‘APPEND}.</t>
  </si>
  <si>
    <t>Close()</t>
  </si>
  <si>
    <t>Close file if open.</t>
  </si>
  <si>
    <t>Copy(STRING)</t>
  </si>
  <si>
    <t>Copies the file whose pathname is given in STRING. Returns FILE object for copied file.</t>
  </si>
  <si>
    <t>Copy(FILE)</t>
  </si>
  <si>
    <t>Copies the file represented by the FILE object. Returns FILE object for copied file.</t>
  </si>
  <si>
    <t>DeleteFile()</t>
  </si>
  <si>
    <t>Delete the file represented by the file object if it exists.</t>
  </si>
  <si>
    <t>Directory()</t>
  </si>
  <si>
    <t>Returns a FILE object corresponding to owning directory.</t>
  </si>
  <si>
    <t>DTM()</t>
  </si>
  <si>
    <t>Returns a DATETIME object holding the date and time that this file was last modified.</t>
  </si>
  <si>
    <t>Entry()</t>
  </si>
  <si>
    <t>Returns file name as string.</t>
  </si>
  <si>
    <t>Exists()</t>
  </si>
  <si>
    <t>Returns BOOLEAN</t>
  </si>
  <si>
    <t>indicating whether file exists or not.</t>
  </si>
  <si>
    <t>Files()</t>
  </si>
  <si>
    <t>FILES</t>
  </si>
  <si>
    <t>Returns an ARRAY of FILE objects corresponding to files owned by this directory.</t>
  </si>
  <si>
    <t>Returns the name including path for this FILE object as a STRING.</t>
  </si>
  <si>
    <t>IsOpen()</t>
  </si>
  <si>
    <t>Return BOOLEAN indicating whether file is open or not.</t>
  </si>
  <si>
    <t>LineNumber()</t>
  </si>
  <si>
    <t>Return line number of line about to be written.</t>
  </si>
  <si>
    <t>Move(STRING)</t>
  </si>
  <si>
    <t>Move this file to location given in STRING. Return</t>
  </si>
  <si>
    <t>FILE object for moved file.</t>
  </si>
  <si>
    <t>Move(FILE)</t>
  </si>
  <si>
    <t>Move this file to location represented by FILE object.</t>
  </si>
  <si>
    <t>Return name of this FILE object as STRING.</t>
  </si>
  <si>
    <t>Open(STRING)</t>
  </si>
  <si>
    <t>Opens this file in the mode given by STRING</t>
  </si>
  <si>
    <t>{‘READ’,’WRITE’,’OVERWRI</t>
  </si>
  <si>
    <t>TE’, ‘APPEND’}</t>
  </si>
  <si>
    <t>Returns the ID of this FILES owner a STRING.</t>
  </si>
  <si>
    <t>Path()</t>
  </si>
  <si>
    <t>Returns an ARRAY of FILEs corresponding to the owning directories of this FILE object.</t>
  </si>
  <si>
    <t>PathName()</t>
  </si>
  <si>
    <t>Returns owning path as a STRING.</t>
  </si>
  <si>
    <t>ReadFile()</t>
  </si>
  <si>
    <t>Open, read contents and close file. Data returned as an ARRAY of STRINGs corresponding to the lines in the file.</t>
  </si>
  <si>
    <t>ReadFile(REAL)</t>
  </si>
  <si>
    <t>As above, but ensures that file is no longer than number of lines given in REAL.</t>
  </si>
  <si>
    <t>ReadRecord()</t>
  </si>
  <si>
    <t>Reads a line from an open file and returns it in a STRING. Returns an UNSET STRING if end of file is detected.</t>
  </si>
  <si>
    <t>Returns a BOOLEAN indicating whether this FILE object has a name set or not.</t>
  </si>
  <si>
    <t>Returns size of file in bytes.</t>
  </si>
  <si>
    <t>SubDirs()</t>
  </si>
  <si>
    <t>Returns an ARRAY of FILE objects corresponding to directories owned by this directory.</t>
  </si>
  <si>
    <t>Returns a STRING indicating whether  this  object represents a ‘FILE’ or a ‘DIRECTORY’.</t>
  </si>
  <si>
    <t xml:space="preserve">WriteFile(STRING, ARRAY OF </t>
  </si>
  <si>
    <t>STRING)</t>
  </si>
  <si>
    <t>Opens file in mode given in string {‘WRITE’,</t>
  </si>
  <si>
    <t>’OVERWRITE’, ’APPEND’}, writes STRINGs in ARRAY and closes file.</t>
  </si>
  <si>
    <t>WriteRecord(STRING)</t>
  </si>
  <si>
    <t>Writes STRING to this FILE which must already be open.</t>
  </si>
  <si>
    <t>Table 2: 38.</t>
  </si>
  <si>
    <t>FILE Object Methods</t>
  </si>
  <si>
    <t>2.5.23</t>
  </si>
  <si>
    <t>FMSYS Object</t>
  </si>
  <si>
    <t>Checkrefs</t>
  </si>
  <si>
    <t>By default, all references in a Form definition are checked when a form is displayed. Checking can be switched off, which may be</t>
  </si>
  <si>
    <t>recommended if performance problems are experienced.</t>
  </si>
  <si>
    <t>CurrentDocument()</t>
  </si>
  <si>
    <r>
      <t xml:space="preserve">This method returns the current Document of the application framework as a FORM object.  If there is no current document then the returned form has value </t>
    </r>
    <r>
      <rPr>
        <b/>
        <sz val="10"/>
        <color rgb="FF000000"/>
        <rFont val="Arial"/>
        <family val="2"/>
      </rPr>
      <t>Unset</t>
    </r>
    <r>
      <rPr>
        <sz val="10"/>
        <color rgb="FF000000"/>
        <rFont val="Arial"/>
        <family val="2"/>
      </rPr>
      <t xml:space="preserve">. </t>
    </r>
  </si>
  <si>
    <t>DefaultFormat()</t>
  </si>
  <si>
    <t>Query the system default format object for use by typed text gadgets. If none defined then returns an</t>
  </si>
  <si>
    <t>Unset local variable.</t>
  </si>
  <si>
    <t>The returned format object is a copy, so changing it will not affect the system default format. However the user can apply it to variables e.g !text=!myVar.String(!!fmsys.d efaultFormat())</t>
  </si>
  <si>
    <t>DefaultFormLayout( )</t>
  </si>
  <si>
    <t>query the current default form layout mode</t>
  </si>
  <si>
    <t>DocsAtMaxScreen(BOOLEAN)</t>
  </si>
  <si>
    <t>Sets default placement position for document forms to be towards the maximum (rightmost) of the screen. Useful for wide screen ad twin screen devices.</t>
  </si>
  <si>
    <t>FMINFO()</t>
  </si>
  <si>
    <t>Returns array of all FMINFO strings.</t>
  </si>
  <si>
    <t>HelpFileAlias()</t>
  </si>
  <si>
    <t>returns the current help file’s alias.</t>
  </si>
  <si>
    <t>Interrupt()</t>
  </si>
  <si>
    <t>Set to TRUE if the interrupt gadget has been selected.</t>
  </si>
  <si>
    <t>LoadForm(STRING formname)</t>
  </si>
  <si>
    <t>Allows force loading of a form definition and/or the ability to get a reference to a form object by name.</t>
  </si>
  <si>
    <t>If the form exists then a reference to the form object is returned. If it doesn’t exist, then an attempt is made to force load its definition. If this fails then an unset form reference is returned.</t>
  </si>
  <si>
    <t>Main()</t>
  </si>
  <si>
    <t>Query the current main form</t>
  </si>
  <si>
    <t>OKCurfnView(!viewtype is STRING)</t>
  </si>
  <si>
    <t>Queries whether graphical views of the specified view type are displayed. Graphical view types supported are: ‘G2D’; ‘G3D’; ‘ANY’ and any view subtype is implied.</t>
  </si>
  <si>
    <t>OKCurfnView(!viewtype is STRING, subtype is STRING )</t>
  </si>
  <si>
    <t>Queries whether graphical views of the specified view type and subtype are displayed. Graphical view types supported are: ‘G2D’; ‘G3D’; ‘ANY’. View subtypes</t>
  </si>
  <si>
    <t>supported are: ‘ANY’ and for</t>
  </si>
  <si>
    <t>G2D: ‘NORMAL’ (Draft);</t>
  </si>
  <si>
    <t>‘PLOT’; ‘ISOSPOOL’</t>
  </si>
  <si>
    <t>G3D: ‘NORMAL’ (Design)</t>
  </si>
  <si>
    <t>Progress( )</t>
  </si>
  <si>
    <t>Get the current Integer value in percent shown by the progress bar, in the range 0 to 100. Zero means the bars</t>
  </si>
  <si>
    <t>is invisible</t>
  </si>
  <si>
    <t>Refresh all VIEW gadgets</t>
  </si>
  <si>
    <t xml:space="preserve">SetDefaultFormat(!!fmt is </t>
  </si>
  <si>
    <t>FORMAT)</t>
  </si>
  <si>
    <t>Provide a default global format object to be used if no specific format is defined for any typed text field. Once only call, users cannot change it. !!fmt must be a global variable.</t>
  </si>
  <si>
    <t xml:space="preserve">SetDefaultFormLayout ( STRING </t>
  </si>
  <si>
    <t>NONE</t>
  </si>
  <si>
    <t>Set the default form layout mode to 'VARCHARS' or 'FIXCHARS'.</t>
  </si>
  <si>
    <t>SetHelpFileAlias (alias is string)</t>
  </si>
  <si>
    <t>establishes the application help file from its alias.</t>
  </si>
  <si>
    <t>SetInterrupt(GADGET)</t>
  </si>
  <si>
    <t>Sets the Gadget which will interrupt macro or function processing.</t>
  </si>
  <si>
    <t>SetMain(FORM)</t>
  </si>
  <si>
    <t>Sets the main form for an Application.</t>
  </si>
  <si>
    <t>SetProgress( !percent)</t>
  </si>
  <si>
    <t>Set the Integer value in percent to be displayed in the progress bar. Values will be forced into the  range 0 to 100. Resultant value of 0 will cause the bar to become invisible.</t>
  </si>
  <si>
    <t>Splashscreen(BOOLEAN)</t>
  </si>
  <si>
    <t>Removes the display of a splash screen after an abnormal exit.</t>
  </si>
  <si>
    <t>Table 2: 39.</t>
  </si>
  <si>
    <t>FMSYS Object Methods</t>
  </si>
  <si>
    <t>2.5.24</t>
  </si>
  <si>
    <t>FORM Object</t>
  </si>
  <si>
    <t>FormRevision</t>
  </si>
  <si>
    <t>STRING Get/ Set</t>
  </si>
  <si>
    <t>Form Revision text.</t>
  </si>
  <si>
    <t>FormTitle</t>
  </si>
  <si>
    <t>Form title.</t>
  </si>
  <si>
    <t>IconTitle</t>
  </si>
  <si>
    <t>Icon title.</t>
  </si>
  <si>
    <t>Initcall</t>
  </si>
  <si>
    <t>Callback executed when form is initialised.</t>
  </si>
  <si>
    <t>Autocall</t>
  </si>
  <si>
    <t>Callback executed when any of the specified application attributes have changed.</t>
  </si>
  <si>
    <t>Okcall</t>
  </si>
  <si>
    <t>Callback executed when OK button is pressed.</t>
  </si>
  <si>
    <t>Cancelcall</t>
  </si>
  <si>
    <t>Callback executed when CANCEL button is pressed.</t>
  </si>
  <si>
    <t xml:space="preserve">KeyboardFocus </t>
  </si>
  <si>
    <t>GADGET</t>
  </si>
  <si>
    <t>Gadget to have initial keyboard focus on display of the form. One of TEXTFIELD, TEXTPANE, BUTTON,</t>
  </si>
  <si>
    <t>TOGGLE or ALPHA VIEW.</t>
  </si>
  <si>
    <t>AutoScroll</t>
  </si>
  <si>
    <t>If AutoScroll is selected the form will automatically gain horizontal or vertical scrollbars if the forms size becomes too small to display its defined contents. This member does not apply to form types Main Window and Document.</t>
  </si>
  <si>
    <t>Quitcall</t>
  </si>
  <si>
    <t xml:space="preserve">Callback executed whenever the user presses the Quit/ Close icon (X) on the title bar of forms and the main application window. </t>
  </si>
  <si>
    <t>For forms of type MAIN, the</t>
  </si>
  <si>
    <r>
      <t>QUITCALL</t>
    </r>
    <r>
      <rPr>
        <sz val="10"/>
        <color rgb="FF000000"/>
        <rFont val="Arial"/>
        <family val="2"/>
      </rPr>
      <t xml:space="preserve"> callback is executed, if present. This permits the user to terminate the application, and so the associated PML callback should prompt the user for confirmation.</t>
    </r>
  </si>
  <si>
    <t>For all other form types, the</t>
  </si>
  <si>
    <r>
      <t>QUITCALL</t>
    </r>
    <r>
      <rPr>
        <sz val="10"/>
        <color rgb="FF000000"/>
        <rFont val="Arial"/>
        <family val="2"/>
      </rPr>
      <t xml:space="preserve"> callback is executed, if present, and then the form and its children are hidden unless the PML callback returns an error. When the form nest is hidden the </t>
    </r>
    <r>
      <rPr>
        <sz val="10"/>
        <color rgb="FF000000"/>
        <rFont val="Courier New"/>
        <family val="3"/>
      </rPr>
      <t>CANCELCALL</t>
    </r>
    <r>
      <rPr>
        <sz val="10"/>
        <color rgb="FF000000"/>
        <rFont val="Arial"/>
        <family val="2"/>
      </rPr>
      <t xml:space="preserve"> callback for each form of the nest is executed (in reverse display order).</t>
    </r>
  </si>
  <si>
    <t>Maximised</t>
  </si>
  <si>
    <t>Get/set form’s maximised status (on screen).</t>
  </si>
  <si>
    <t>Active</t>
  </si>
  <si>
    <t>Get Only</t>
  </si>
  <si>
    <t>Gives form's active/inactive status.</t>
  </si>
  <si>
    <t>Popup</t>
  </si>
  <si>
    <t xml:space="preserve">MENU </t>
  </si>
  <si>
    <t>Get/set form’s current popup menu.</t>
  </si>
  <si>
    <t>HelpContextID</t>
  </si>
  <si>
    <t>Read/Write STRING</t>
  </si>
  <si>
    <t>Property:!!myform.HelpConte xtID = STRING - sets the context Id within the help file for this form.</t>
  </si>
  <si>
    <t>STRING=!!myform.HelpCont extID - gets the current context Id for this form.</t>
  </si>
  <si>
    <t>Killingcall</t>
  </si>
  <si>
    <t>Notify the form that it is being destroyed and allow the assigned callback method to destroy any associated resources, e.g. global PML objects which would otherwise not be destroyed (see Killing callback).</t>
  </si>
  <si>
    <t>FirstShowncall</t>
  </si>
  <si>
    <t>Allow the user to carry out any form actions which can only be completed when the form is actually displayed for the first time (see FirstShown callback).</t>
  </si>
  <si>
    <t>Table 2: 40.</t>
  </si>
  <si>
    <t>FORM Object Members</t>
  </si>
  <si>
    <t>Get name.</t>
  </si>
  <si>
    <t>Get the full form name</t>
  </si>
  <si>
    <t>(Including !!).</t>
  </si>
  <si>
    <t xml:space="preserve">NewMenu(STRING menuname) </t>
  </si>
  <si>
    <t xml:space="preserve">Adds a new named menu to the form. </t>
  </si>
  <si>
    <t xml:space="preserve">NewMenu(STRING menuname, STRING type) </t>
  </si>
  <si>
    <t>Adds a new named and typed menu to the form. The first argument is the name of the new menu; the second argument is the type of the menu, and must be either ‘POPUP’ or ‘MAIN’.</t>
  </si>
  <si>
    <t>SetActive(BOOLEAN)</t>
  </si>
  <si>
    <r>
      <t>SetActive(FALSE)</t>
    </r>
    <r>
      <rPr>
        <sz val="10"/>
        <color rgb="FF000000"/>
        <rFont val="Arial"/>
        <family val="2"/>
      </rPr>
      <t xml:space="preserve"> greysout all gadgets on the form, but doesn’t set their Active status, so that</t>
    </r>
  </si>
  <si>
    <r>
      <t>SetActive(TRUE)</t>
    </r>
    <r>
      <rPr>
        <sz val="10"/>
        <color rgb="FF000000"/>
        <rFont val="Arial"/>
        <family val="2"/>
      </rPr>
      <t xml:space="preserve"> restores the form to the precise state it was in before greying out, i.e. any inactive gadgets will still be inactive.</t>
    </r>
  </si>
  <si>
    <t>SetGadgetsActive(BOOLEAN)</t>
  </si>
  <si>
    <t>SetGadgetsActive(FALS</t>
  </si>
  <si>
    <r>
      <t>E)</t>
    </r>
    <r>
      <rPr>
        <sz val="10"/>
        <color rgb="FF000000"/>
        <rFont val="Arial"/>
        <family val="2"/>
      </rPr>
      <t xml:space="preserve"> greys out all gadgets on the form and sets their Active status to ‘inactive’, i.e. their previous active state is lost. Similarly</t>
    </r>
  </si>
  <si>
    <r>
      <t>SetGadgetsActive(TRUE</t>
    </r>
    <r>
      <rPr>
        <sz val="10"/>
        <color rgb="FF000000"/>
        <rFont val="Arial"/>
        <family val="2"/>
      </rPr>
      <t>) greys-in all gadgets and sets their Active status to ‘active’.</t>
    </r>
  </si>
  <si>
    <t>SetPopup(MENU)</t>
  </si>
  <si>
    <t>Specifies the pop-up to be displayed when the righthand mouse button is released over the form background.</t>
  </si>
  <si>
    <t>RemovePopup(MENU)</t>
  </si>
  <si>
    <t>Removes a pop-up associated with a form.</t>
  </si>
  <si>
    <t>Returns the last picked popup menu for the form.</t>
  </si>
  <si>
    <t>Show('FREE')</t>
  </si>
  <si>
    <t>Show the form on the screen as a FREE form.</t>
  </si>
  <si>
    <t>Show('AT', REAL X, REAL Y)</t>
  </si>
  <si>
    <t>Show the form as a FREE form with the origin at the X,Y relative screen position.</t>
  </si>
  <si>
    <t>Show('CEN', REAL X, REAL Y)</t>
  </si>
  <si>
    <t>Show the form as a FREE form with its centre at the X,Y relative screen position.</t>
  </si>
  <si>
    <t>Get 'shown' status</t>
  </si>
  <si>
    <t>Hide()</t>
  </si>
  <si>
    <t>Hides the form (removes it from the screen)</t>
  </si>
  <si>
    <t>Returns the form's parent form, or unset variable if the form is free-standing</t>
  </si>
  <si>
    <t>SetOpacity( REAL PERCENT )</t>
  </si>
  <si>
    <t>Set the percentage opaqueness of the form as an integer in the range 10 (nearly transparent) to 100 (opaque - default). This is only valid for non-docking Dialog and BlockingDialog form types.</t>
  </si>
  <si>
    <t>Subtype( )</t>
  </si>
  <si>
    <t>Gets the form's subtype, one of 'DIALOG',</t>
  </si>
  <si>
    <t>'BLOCKINGDIALOG',</t>
  </si>
  <si>
    <t xml:space="preserve">'MAIN', 'DOCUMENT' </t>
  </si>
  <si>
    <t>SetUndoable( )</t>
  </si>
  <si>
    <t>STRING,</t>
  </si>
  <si>
    <t>Undoable( )</t>
  </si>
  <si>
    <t>Table 2: 41.</t>
  </si>
  <si>
    <t>FORM Object Methods</t>
  </si>
  <si>
    <t>Default:</t>
  </si>
  <si>
    <t>+-- PICK -------|</t>
  </si>
  <si>
    <t>2.5.25</t>
  </si>
  <si>
    <t>FORMAT Object</t>
  </si>
  <si>
    <t xml:space="preserve">The format object is used to format the output of real objects and especially real physical objects such as distances. It controls precision, units, conversions and unit qualifiers. </t>
  </si>
  <si>
    <t>Format objects are also used to control conversions of strings to reals by providing guidance on dimensions and units. This occurs for text boxes in the user interface, and also for real to string and string to real conversion methods.</t>
  </si>
  <si>
    <t xml:space="preserve">CompSeparator </t>
  </si>
  <si>
    <t>STRING | |</t>
  </si>
  <si>
    <t>Separator used for multicomponent data types such as POSITIONS (Default SPACE).</t>
  </si>
  <si>
    <t xml:space="preserve">Denominator </t>
  </si>
  <si>
    <t xml:space="preserve">REAL 32 </t>
  </si>
  <si>
    <t>Largest denominator for Imperial fractions  (Default 32)</t>
  </si>
  <si>
    <t xml:space="preserve">Dimension </t>
  </si>
  <si>
    <t>‘NONE’</t>
  </si>
  <si>
    <t>L</t>
  </si>
  <si>
    <t>L2</t>
  </si>
  <si>
    <t>L3</t>
  </si>
  <si>
    <t>Number  is  un-dimensioned</t>
  </si>
  <si>
    <t>(Default)</t>
  </si>
  <si>
    <t>Number is a LENGTH</t>
  </si>
  <si>
    <t>Number is an AREA</t>
  </si>
  <si>
    <t>Number is a VOLUME</t>
  </si>
  <si>
    <t>The TYPE string can be any existing values (L L2 L3 NONE) or any standard dimension (i.e. Measure), or any standard unit (which indirectly defines a dimension) either in full name (e.g. metre), or description or shortname (unitqualifier), or compound unit qualifier (e.g. lb/ m4) form. No validation is actually performed until the format is used.</t>
  </si>
  <si>
    <t xml:space="preserve">DP </t>
  </si>
  <si>
    <t xml:space="preserve">REAL 2 </t>
  </si>
  <si>
    <t>Number of decimal places for decimal fractions (Default 2)</t>
  </si>
  <si>
    <t xml:space="preserve">ENU </t>
  </si>
  <si>
    <t>Use ENU format when outputting POSITIONS (Default)</t>
  </si>
  <si>
    <t>Use XYZ format when outputting</t>
  </si>
  <si>
    <t>POSITIONS</t>
  </si>
  <si>
    <t xml:space="preserve">Fraction </t>
  </si>
  <si>
    <t>Fractional part output as decimal (Default)</t>
  </si>
  <si>
    <t xml:space="preserve">Fractional part output as fraction </t>
  </si>
  <si>
    <t xml:space="preserve">FtLabel </t>
  </si>
  <si>
    <t>STRING |’|</t>
  </si>
  <si>
    <t xml:space="preserve">Label used for feet </t>
  </si>
  <si>
    <t>e.g. '  or FT or ft  or feet</t>
  </si>
  <si>
    <t>(Default ‘ )</t>
  </si>
  <si>
    <t xml:space="preserve">InchSeparator </t>
  </si>
  <si>
    <t>STRING |.|</t>
  </si>
  <si>
    <t>Separator between inches and fractions (Default . )</t>
  </si>
  <si>
    <t xml:space="preserve">Label </t>
  </si>
  <si>
    <t>STRING |mm|</t>
  </si>
  <si>
    <t xml:space="preserve">General distance label </t>
  </si>
  <si>
    <t>e.g. mm   or m   or "   or IN</t>
  </si>
  <si>
    <t>(Default is no label)</t>
  </si>
  <si>
    <t>The label (and similarly the foot label and the inch separator can be any string (within normal and reasonable unit limitations!). They are primarily supplied to allow physical values to be formatted in any reasonable way on reports, in files and in text fields etc. However it is often necessary for such values to be re-interpreted by the system (especially as they are validated after entry in the text field. In these case, if normal value and unit parsing fails to interpret the values then the string is reinterpreted with the Label, ftlabel and inch separators substituted by normal standard unit qualifiers and separators enabling the values and units to be successfully interpreted when correct and consistent with the format object.</t>
  </si>
  <si>
    <t>If the label is set to UNITS then the standard unit qualifier will be output by the system, consistent with the dimension of the format.</t>
  </si>
  <si>
    <t xml:space="preserve">PadFractions </t>
  </si>
  <si>
    <t>Do not pad Fractions (Default)</t>
  </si>
  <si>
    <t>Pad Fractions with trailing spaces</t>
  </si>
  <si>
    <t>TrailZeros</t>
  </si>
  <si>
    <t xml:space="preserve">Trailing zeros are included up the required number of decimal places (as set by the DP member) if TrailZeros is unset, or if it is TRUE.  </t>
  </si>
  <si>
    <t xml:space="preserve">If TrailZeros is FALSE trailing zeros will be removed up to and including a trailing decimal point </t>
  </si>
  <si>
    <t xml:space="preserve">Units </t>
  </si>
  <si>
    <t>MM</t>
  </si>
  <si>
    <t>M</t>
  </si>
  <si>
    <t>FINCH</t>
  </si>
  <si>
    <t>INCH</t>
  </si>
  <si>
    <t>Output number in millimetres</t>
  </si>
  <si>
    <t>Output number in metres.</t>
  </si>
  <si>
    <t>Output number in feet and inches Output number in inches</t>
  </si>
  <si>
    <t>The TYPE string can be any standard form of unit, or a compound unit. If dimension is unset the unit often defines what the unit is when the format is used. No validation is performed on this string until the format is used when the values will be converted to units specified.</t>
  </si>
  <si>
    <t xml:space="preserve">OriginExp </t>
  </si>
  <si>
    <t>||</t>
  </si>
  <si>
    <t>|/*|</t>
  </si>
  <si>
    <t>|CE|</t>
  </si>
  <si>
    <t>With respect to World (Default)</t>
  </si>
  <si>
    <t>With respect to World</t>
  </si>
  <si>
    <t>With respect to Current Element</t>
  </si>
  <si>
    <t xml:space="preserve">Zeros </t>
  </si>
  <si>
    <t>Leading zeroes are displayed for Imperial units (Default).</t>
  </si>
  <si>
    <t>Leading zeroes are not displayed for Imperial units</t>
  </si>
  <si>
    <t>Table 2: 42.</t>
  </si>
  <si>
    <t>FORMAT Object Members</t>
  </si>
  <si>
    <t>2.5.26</t>
  </si>
  <si>
    <t>FRAME Gadget</t>
  </si>
  <si>
    <t>Tag</t>
  </si>
  <si>
    <t>Text to appear as title on the frame.</t>
  </si>
  <si>
    <t>Set</t>
  </si>
  <si>
    <t>Selected radio button index as integer.</t>
  </si>
  <si>
    <t>RGroupCount</t>
  </si>
  <si>
    <t>REAL  Get</t>
  </si>
  <si>
    <t>only</t>
  </si>
  <si>
    <t xml:space="preserve">Count of radio buttons (RTOGGLES) within the FRAME’s radio group. Returns zero if the FRAME is not a radio group. </t>
  </si>
  <si>
    <t>Callback</t>
  </si>
  <si>
    <t>Radio group select callback string.</t>
  </si>
  <si>
    <t>Expanded</t>
  </si>
  <si>
    <t>FoldUpPanel’s  expanded</t>
  </si>
  <si>
    <t>status</t>
  </si>
  <si>
    <t>Table 2: 43.</t>
  </si>
  <si>
    <t>FRAME Gadget Members</t>
  </si>
  <si>
    <t>Rtoggle( !index is REAL )</t>
  </si>
  <si>
    <r>
      <t xml:space="preserve">Returns the RTOGGLE gadget with index </t>
    </r>
    <r>
      <rPr>
        <b/>
        <sz val="10"/>
        <color rgb="FF000000"/>
        <rFont val="Arial"/>
        <family val="2"/>
      </rPr>
      <t>!index</t>
    </r>
    <r>
      <rPr>
        <sz val="10"/>
        <color rgb="FF000000"/>
        <rFont val="Arial"/>
        <family val="2"/>
      </rPr>
      <t>.</t>
    </r>
  </si>
  <si>
    <t>Table 2: 44.</t>
  </si>
  <si>
    <t>FRAME Gadget Methods</t>
  </si>
  <si>
    <t>‘-- EXIT --&gt;</t>
  </si>
  <si>
    <t>2.5.27</t>
  </si>
  <si>
    <t>Graphical Selection</t>
  </si>
  <si>
    <t>Set-up Methods</t>
  </si>
  <si>
    <t>.selection()</t>
  </si>
  <si>
    <t>Creates an empty selection object .</t>
  </si>
  <si>
    <t xml:space="preserve">.scope(DBREF) </t>
  </si>
  <si>
    <t>Defines the scope of the selection, i.e. defines the top element that the selected elements must exist beneath.</t>
  </si>
  <si>
    <t>Default is WORLD.</t>
  </si>
  <si>
    <t>.add(DBREF)</t>
  </si>
  <si>
    <t>Adds the highest significant parent of passed element to selection</t>
  </si>
  <si>
    <t>.addConnected(DBREF)</t>
  </si>
  <si>
    <t>Simulates "Select connected" for piping components:</t>
  </si>
  <si>
    <t>Adds the given component and the connected network relative to the component</t>
  </si>
  <si>
    <t>.addBranchLeg(DBREF)</t>
  </si>
  <si>
    <t>Simulates "Select leg" for piping components:</t>
  </si>
  <si>
    <t>Adds the given component and adjacent components within the branch which are in the same leg as the passed component</t>
  </si>
  <si>
    <t>.addAttached(DBREF)</t>
  </si>
  <si>
    <t>Simulates "Select attached" for sections:</t>
  </si>
  <si>
    <t>Adds the given section and all sections attached into the</t>
  </si>
  <si>
    <t>selection</t>
  </si>
  <si>
    <t>.addOffspring(DBREF)</t>
  </si>
  <si>
    <t>Adds the highest significant subelements of given element to selection.  This action as if DBREF were ancestor for select</t>
  </si>
  <si>
    <t>.remove(DBREF)</t>
  </si>
  <si>
    <t>No Result</t>
  </si>
  <si>
    <t>Remove highest significant parent of passed element from selection</t>
  </si>
  <si>
    <t>.clear()</t>
  </si>
  <si>
    <t xml:space="preserve"> Empty the selection</t>
  </si>
  <si>
    <t>.getCurrent()</t>
  </si>
  <si>
    <t>Set the contents of the selection to the contents of the current graphical selection set</t>
  </si>
  <si>
    <t>.getAll()</t>
  </si>
  <si>
    <t xml:space="preserve">Set the selection set to contain the entire drawlist </t>
  </si>
  <si>
    <t>.setCurrent()</t>
  </si>
  <si>
    <t>Set the current graphical selection set to be the same as the contents of the selection set</t>
  </si>
  <si>
    <t>Query Methods</t>
  </si>
  <si>
    <t>.isValid()</t>
  </si>
  <si>
    <t>.selected(DBREF)</t>
  </si>
  <si>
    <t>.isSelectable(DBREF)</t>
  </si>
  <si>
    <t>.isModifiable(DBREF)</t>
  </si>
  <si>
    <t>.inSelection(DBREF)</t>
  </si>
  <si>
    <t xml:space="preserve"> .ancestors(DBREF)</t>
  </si>
  <si>
    <t>ARRAY DBREFs</t>
  </si>
  <si>
    <t>of</t>
  </si>
  <si>
    <t xml:space="preserve"> .getSelection()</t>
  </si>
  <si>
    <t>Table 2: 45.</t>
  </si>
  <si>
    <t>Graphical Selection Object Methods</t>
  </si>
  <si>
    <t>2.5.28</t>
  </si>
  <si>
    <t>IDList</t>
  </si>
  <si>
    <t>.idlist(DBREF)</t>
  </si>
  <si>
    <t>Creates an PML IDlist object from the given DBREF of an IDLIST. Searches up the ownership hierarchy until a significant element is found, and adds this to the Idlist.</t>
  </si>
  <si>
    <t>.add (DBREF)</t>
  </si>
  <si>
    <t>Adds a ADDE to the IDLIST. If there is already an ADDE of either the same element or one of its ancestors (without an intervening REME) then nothing will be done. If there is an intervening identical REME, then the REME is removed.</t>
  </si>
  <si>
    <t>.add (SELECTION)</t>
  </si>
  <si>
    <t>Adds ADDEs for the entire selection set to the IDList at this point, in the same way as for individual DBREFs.</t>
  </si>
  <si>
    <t>.remove (DBREF)</t>
  </si>
  <si>
    <t xml:space="preserve">If there exists an ADDE for this element in the list, then it is removed. If there exists an ADDE for an ancestor for this element, then a REME is inserted. </t>
  </si>
  <si>
    <t>.remove (SELECTION)</t>
  </si>
  <si>
    <t>Removes all ADDEs defined in the selection set, using the same rules as in removing a single element.</t>
  </si>
  <si>
    <t>.copy(IDLIST other)</t>
  </si>
  <si>
    <t>Clears the idlist, and adds all the entries from idlist other. Returns TRUE if copy successful.</t>
  </si>
  <si>
    <t>Remove all elements from idlist</t>
  </si>
  <si>
    <t>.query()</t>
  </si>
  <si>
    <t>ARRAY  of</t>
  </si>
  <si>
    <t>STRINGS</t>
  </si>
  <si>
    <t xml:space="preserve">Returns an array of strings of the form: </t>
  </si>
  <si>
    <t>ADDE element</t>
  </si>
  <si>
    <t xml:space="preserve">or </t>
  </si>
  <si>
    <t>REME element</t>
  </si>
  <si>
    <t>itemising all the elements in the idlist.</t>
  </si>
  <si>
    <t>Table 2: 46.</t>
  </si>
  <si>
    <t>IDlist Object Methods</t>
  </si>
  <si>
    <t>2.5.30</t>
  </si>
  <si>
    <t>LINE Object</t>
  </si>
  <si>
    <t>StartPosition</t>
  </si>
  <si>
    <t>Start position of line.</t>
  </si>
  <si>
    <t>EndPosition</t>
  </si>
  <si>
    <t>End position of line.</t>
  </si>
  <si>
    <t>Definition Methods</t>
  </si>
  <si>
    <t>Line( POSITION first, POSITION second)</t>
  </si>
  <si>
    <r>
      <t xml:space="preserve">Creates a LINE between the given positions, </t>
    </r>
    <r>
      <rPr>
        <b/>
        <sz val="10"/>
        <color rgb="FF000000"/>
        <rFont val="Arial"/>
        <family val="2"/>
      </rPr>
      <t>first</t>
    </r>
    <r>
      <rPr>
        <sz val="10"/>
        <color rgb="FF000000"/>
        <rFont val="Arial"/>
        <family val="2"/>
      </rPr>
      <t xml:space="preserve"> and </t>
    </r>
    <r>
      <rPr>
        <b/>
        <sz val="10"/>
        <color rgb="FF000000"/>
        <rFont val="Arial"/>
        <family val="2"/>
      </rPr>
      <t>second</t>
    </r>
    <r>
      <rPr>
        <sz val="10"/>
        <color rgb="FF000000"/>
        <rFont val="Arial"/>
        <family val="2"/>
      </rPr>
      <t>.</t>
    </r>
  </si>
  <si>
    <t>Returns  the  line  as  a STRING.</t>
  </si>
  <si>
    <t>Direction()</t>
  </si>
  <si>
    <t>Returns a DIRECTION representing the direction of the line.</t>
  </si>
  <si>
    <t>Direction(DIRECTION way)</t>
  </si>
  <si>
    <r>
      <t xml:space="preserve">Creates a new line with the same start position and length but in the direction given by </t>
    </r>
    <r>
      <rPr>
        <b/>
        <sz val="10"/>
        <color rgb="FF000000"/>
        <rFont val="Arial"/>
        <family val="2"/>
      </rPr>
      <t>way</t>
    </r>
    <r>
      <rPr>
        <sz val="10"/>
        <color rgb="FF000000"/>
        <rFont val="Arial"/>
        <family val="2"/>
      </rPr>
      <t xml:space="preserve">. </t>
    </r>
  </si>
  <si>
    <t>On(POSITION where)</t>
  </si>
  <si>
    <r>
      <t xml:space="preserve">Returns TRUE if </t>
    </r>
    <r>
      <rPr>
        <b/>
        <sz val="10"/>
        <color rgb="FF000000"/>
        <rFont val="Arial"/>
        <family val="2"/>
      </rPr>
      <t>where</t>
    </r>
    <r>
      <rPr>
        <sz val="10"/>
        <color rgb="FF000000"/>
        <rFont val="Arial"/>
        <family val="2"/>
      </rPr>
      <t xml:space="preserve"> lies on the unbounded line.</t>
    </r>
  </si>
  <si>
    <t>On(POSITION where, BOOLEAN bounded)</t>
  </si>
  <si>
    <r>
      <t xml:space="preserve">Returns TRUE if </t>
    </r>
    <r>
      <rPr>
        <b/>
        <sz val="10"/>
        <color rgb="FF000000"/>
        <rFont val="Arial"/>
        <family val="2"/>
      </rPr>
      <t>where</t>
    </r>
    <r>
      <rPr>
        <sz val="10"/>
        <color rgb="FF000000"/>
        <rFont val="Arial"/>
        <family val="2"/>
      </rPr>
      <t xml:space="preserve"> lies on the line, </t>
    </r>
    <r>
      <rPr>
        <b/>
        <sz val="10"/>
        <color rgb="FF000000"/>
        <rFont val="Arial"/>
        <family val="2"/>
      </rPr>
      <t xml:space="preserve">bounded </t>
    </r>
    <r>
      <rPr>
        <sz val="10"/>
        <color rgb="FF000000"/>
        <rFont val="Arial"/>
        <family val="2"/>
      </rPr>
      <t>indicates if the point is also checked to be on the bounded line segment.</t>
    </r>
  </si>
  <si>
    <t>OnProjected(POSITION where)</t>
  </si>
  <si>
    <r>
      <t xml:space="preserve">Returns TRUE if </t>
    </r>
    <r>
      <rPr>
        <b/>
        <sz val="10"/>
        <color rgb="FF000000"/>
        <rFont val="Arial"/>
        <family val="2"/>
      </rPr>
      <t>where</t>
    </r>
    <r>
      <rPr>
        <sz val="10"/>
        <color rgb="FF000000"/>
        <rFont val="Arial"/>
        <family val="2"/>
      </rPr>
      <t>, when projected onto the line, lies within the bounded line.</t>
    </r>
  </si>
  <si>
    <t>Intersection(LINE other)</t>
  </si>
  <si>
    <t>Returns the intersection point of the passed LINE on the</t>
  </si>
  <si>
    <t>line definition</t>
  </si>
  <si>
    <t xml:space="preserve">Intersection(POINT point,  </t>
  </si>
  <si>
    <t>VECTOR vector)</t>
  </si>
  <si>
    <t>Returns the intersection point of  the  passed POINTVECTOR on the line definition.</t>
  </si>
  <si>
    <t>Intersection(PLANE plane)</t>
  </si>
  <si>
    <r>
      <t xml:space="preserve">Returns the intersection line of </t>
    </r>
    <r>
      <rPr>
        <b/>
        <sz val="10"/>
        <color rgb="FF000000"/>
        <rFont val="Arial"/>
        <family val="2"/>
      </rPr>
      <t>plane</t>
    </r>
    <r>
      <rPr>
        <sz val="10"/>
        <color rgb="FF000000"/>
        <rFont val="Arial"/>
        <family val="2"/>
      </rPr>
      <t xml:space="preserve"> on the line definition.</t>
    </r>
  </si>
  <si>
    <t>Intersections(ARC arc)</t>
  </si>
  <si>
    <r>
      <t xml:space="preserve">Returns the intersection points of </t>
    </r>
    <r>
      <rPr>
        <b/>
        <sz val="10"/>
        <color rgb="FF000000"/>
        <rFont val="Arial"/>
        <family val="2"/>
      </rPr>
      <t>arc</t>
    </r>
    <r>
      <rPr>
        <sz val="10"/>
        <color rgb="FF000000"/>
        <rFont val="Arial"/>
        <family val="2"/>
      </rPr>
      <t xml:space="preserve"> on the line definition.</t>
    </r>
  </si>
  <si>
    <t>Near(POSITION position)</t>
  </si>
  <si>
    <r>
      <t xml:space="preserve">Returns the nearest position on the line definition to </t>
    </r>
    <r>
      <rPr>
        <b/>
        <sz val="10"/>
        <color rgb="FF000000"/>
        <rFont val="Arial"/>
        <family val="2"/>
      </rPr>
      <t>position</t>
    </r>
    <r>
      <rPr>
        <sz val="10"/>
        <color rgb="FF000000"/>
        <rFont val="Arial"/>
        <family val="2"/>
      </rPr>
      <t>.</t>
    </r>
  </si>
  <si>
    <t>Proportion(REAL proportion)</t>
  </si>
  <si>
    <r>
      <t xml:space="preserve">Returns the position at </t>
    </r>
    <r>
      <rPr>
        <b/>
        <sz val="10"/>
        <color rgb="FF000000"/>
        <rFont val="Arial"/>
        <family val="2"/>
      </rPr>
      <t>proportion</t>
    </r>
    <r>
      <rPr>
        <sz val="10"/>
        <color rgb="FF000000"/>
        <rFont val="Arial"/>
        <family val="2"/>
      </rPr>
      <t xml:space="preserve"> along the “bounded” line from the</t>
    </r>
  </si>
  <si>
    <r>
      <t>StartPosition</t>
    </r>
    <r>
      <rPr>
        <sz val="10"/>
        <color rgb="FF000000"/>
        <rFont val="Arial"/>
        <family val="2"/>
      </rPr>
      <t>.</t>
    </r>
  </si>
  <si>
    <t>Values &gt; 1 will give positions off the end of the line.</t>
  </si>
  <si>
    <t>Values &lt; 0 will give positions off the start of the line.</t>
  </si>
  <si>
    <t>Returns the length of the line.</t>
  </si>
  <si>
    <t>Distance(LINE other)</t>
  </si>
  <si>
    <r>
      <t xml:space="preserve">Returns the minimum distance between the line definition and </t>
    </r>
    <r>
      <rPr>
        <b/>
        <sz val="10"/>
        <color rgb="FF000000"/>
        <rFont val="Arial"/>
        <family val="2"/>
      </rPr>
      <t>other</t>
    </r>
    <r>
      <rPr>
        <sz val="10"/>
        <color rgb="FF000000"/>
        <rFont val="Arial"/>
        <family val="2"/>
      </rPr>
      <t>.</t>
    </r>
  </si>
  <si>
    <t>Distance(POSITION position)</t>
  </si>
  <si>
    <r>
      <t xml:space="preserve">Returns the minimum distance between the line definition and </t>
    </r>
    <r>
      <rPr>
        <b/>
        <sz val="10"/>
        <color rgb="FF000000"/>
        <rFont val="Arial"/>
        <family val="2"/>
      </rPr>
      <t>position</t>
    </r>
    <r>
      <rPr>
        <sz val="10"/>
        <color rgb="FF000000"/>
        <rFont val="Arial"/>
        <family val="2"/>
      </rPr>
      <t>.</t>
    </r>
  </si>
  <si>
    <t>Plane()</t>
  </si>
  <si>
    <r>
      <t xml:space="preserve">Returns a plane object, using the </t>
    </r>
    <r>
      <rPr>
        <b/>
        <sz val="10"/>
        <color rgb="FF000000"/>
        <rFont val="Arial"/>
        <family val="2"/>
      </rPr>
      <t>StartPosition</t>
    </r>
    <r>
      <rPr>
        <sz val="10"/>
        <color rgb="FF000000"/>
        <rFont val="Arial"/>
        <family val="2"/>
      </rPr>
      <t xml:space="preserve"> and</t>
    </r>
  </si>
  <si>
    <t>Direction of line object</t>
  </si>
  <si>
    <t>Pointvector()</t>
  </si>
  <si>
    <t>POINTVEC TOR</t>
  </si>
  <si>
    <t>Returns a POINTVECTOR object, using the</t>
  </si>
  <si>
    <r>
      <t>StartPosition</t>
    </r>
    <r>
      <rPr>
        <sz val="10"/>
        <color rgb="FF000000"/>
        <rFont val="Arial"/>
        <family val="2"/>
      </rPr>
      <t xml:space="preserve"> and Direction</t>
    </r>
  </si>
  <si>
    <t>of line object</t>
  </si>
  <si>
    <t>SetLengthStart(REAL length)</t>
  </si>
  <si>
    <r>
      <t xml:space="preserve">Returns a new line, maintaining the original </t>
    </r>
    <r>
      <rPr>
        <b/>
        <sz val="10"/>
        <color rgb="FF000000"/>
        <rFont val="Arial"/>
        <family val="2"/>
      </rPr>
      <t>StartPosition</t>
    </r>
    <r>
      <rPr>
        <sz val="10"/>
        <color rgb="FF000000"/>
        <rFont val="Arial"/>
        <family val="2"/>
      </rPr>
      <t xml:space="preserve"> and direction, with an </t>
    </r>
    <r>
      <rPr>
        <b/>
        <sz val="10"/>
        <color rgb="FF000000"/>
        <rFont val="Arial"/>
        <family val="2"/>
      </rPr>
      <t>EndPosition</t>
    </r>
    <r>
      <rPr>
        <sz val="10"/>
        <color rgb="FF000000"/>
        <rFont val="Arial"/>
        <family val="2"/>
      </rPr>
      <t xml:space="preserve"> to match </t>
    </r>
    <r>
      <rPr>
        <b/>
        <sz val="10"/>
        <color rgb="FF000000"/>
        <rFont val="Arial"/>
        <family val="2"/>
      </rPr>
      <t>length</t>
    </r>
    <r>
      <rPr>
        <sz val="10"/>
        <color rgb="FF000000"/>
        <rFont val="Arial"/>
        <family val="2"/>
      </rPr>
      <t>.</t>
    </r>
  </si>
  <si>
    <t>SetLengthEnd(REAL length)</t>
  </si>
  <si>
    <r>
      <t xml:space="preserve">Returns a new line, maintaining the original </t>
    </r>
    <r>
      <rPr>
        <b/>
        <sz val="10"/>
        <color rgb="FF000000"/>
        <rFont val="Arial"/>
        <family val="2"/>
      </rPr>
      <t>EndPosition</t>
    </r>
    <r>
      <rPr>
        <sz val="10"/>
        <color rgb="FF000000"/>
        <rFont val="Arial"/>
        <family val="2"/>
      </rPr>
      <t xml:space="preserve"> and direction, with a </t>
    </r>
    <r>
      <rPr>
        <b/>
        <sz val="10"/>
        <color rgb="FF000000"/>
        <rFont val="Arial"/>
        <family val="2"/>
      </rPr>
      <t>StartPosition</t>
    </r>
    <r>
      <rPr>
        <sz val="10"/>
        <color rgb="FF000000"/>
        <rFont val="Arial"/>
        <family val="2"/>
      </rPr>
      <t xml:space="preserve"> to match </t>
    </r>
    <r>
      <rPr>
        <b/>
        <sz val="10"/>
        <color rgb="FF000000"/>
        <rFont val="Arial"/>
        <family val="2"/>
      </rPr>
      <t>length</t>
    </r>
    <r>
      <rPr>
        <sz val="10"/>
        <color rgb="FF000000"/>
        <rFont val="Arial"/>
        <family val="2"/>
      </rPr>
      <t>.</t>
    </r>
  </si>
  <si>
    <t>Towards(POSITION position)</t>
  </si>
  <si>
    <r>
      <t xml:space="preserve">Returns a new line object with the same </t>
    </r>
    <r>
      <rPr>
        <b/>
        <sz val="10"/>
        <color rgb="FF000000"/>
        <rFont val="Arial"/>
        <family val="2"/>
      </rPr>
      <t xml:space="preserve">StartPosition </t>
    </r>
    <r>
      <rPr>
        <sz val="10"/>
        <color rgb="FF000000"/>
        <rFont val="Arial"/>
        <family val="2"/>
      </rPr>
      <t>and the same relative</t>
    </r>
  </si>
  <si>
    <r>
      <t>EndPosition</t>
    </r>
    <r>
      <rPr>
        <sz val="10"/>
        <color rgb="FF000000"/>
        <rFont val="Arial"/>
        <family val="2"/>
      </rPr>
      <t xml:space="preserve"> (Length) of the original line, but the direction is from the start position to </t>
    </r>
    <r>
      <rPr>
        <b/>
        <sz val="10"/>
        <color rgb="FF000000"/>
        <rFont val="Arial"/>
        <family val="2"/>
      </rPr>
      <t>position.</t>
    </r>
  </si>
  <si>
    <t>From(POSITION position)</t>
  </si>
  <si>
    <r>
      <t xml:space="preserve">Returns a line, where the </t>
    </r>
    <r>
      <rPr>
        <b/>
        <sz val="10"/>
        <color rgb="FF000000"/>
        <rFont val="Arial"/>
        <family val="2"/>
      </rPr>
      <t>StartPosition</t>
    </r>
    <r>
      <rPr>
        <sz val="10"/>
        <color rgb="FF000000"/>
        <rFont val="Arial"/>
        <family val="2"/>
      </rPr>
      <t xml:space="preserve"> is set </t>
    </r>
    <r>
      <rPr>
        <b/>
        <sz val="10"/>
        <color rgb="FF000000"/>
        <rFont val="Arial"/>
        <family val="2"/>
      </rPr>
      <t>position</t>
    </r>
    <r>
      <rPr>
        <sz val="10"/>
        <color rgb="FF000000"/>
        <rFont val="Arial"/>
        <family val="2"/>
      </rPr>
      <t xml:space="preserve">, maintaining the original </t>
    </r>
    <r>
      <rPr>
        <b/>
        <sz val="10"/>
        <color rgb="FF000000"/>
        <rFont val="Arial"/>
        <family val="2"/>
      </rPr>
      <t>EndPosition</t>
    </r>
    <r>
      <rPr>
        <sz val="10"/>
        <color rgb="FF000000"/>
        <rFont val="Arial"/>
        <family val="2"/>
      </rPr>
      <t>.</t>
    </r>
  </si>
  <si>
    <t>To(POSITION position)</t>
  </si>
  <si>
    <r>
      <t xml:space="preserve">Returns a line, where the </t>
    </r>
    <r>
      <rPr>
        <b/>
        <sz val="10"/>
        <color rgb="FF000000"/>
        <rFont val="Arial"/>
        <family val="2"/>
      </rPr>
      <t>EndPosition</t>
    </r>
    <r>
      <rPr>
        <sz val="10"/>
        <color rgb="FF000000"/>
        <rFont val="Arial"/>
        <family val="2"/>
      </rPr>
      <t xml:space="preserve"> is set to </t>
    </r>
    <r>
      <rPr>
        <b/>
        <sz val="10"/>
        <color rgb="FF000000"/>
        <rFont val="Arial"/>
        <family val="2"/>
      </rPr>
      <t>position</t>
    </r>
    <r>
      <rPr>
        <sz val="10"/>
        <color rgb="FF000000"/>
        <rFont val="Arial"/>
        <family val="2"/>
      </rPr>
      <t xml:space="preserve">, maintaining the original </t>
    </r>
    <r>
      <rPr>
        <b/>
        <sz val="10"/>
        <color rgb="FF000000"/>
        <rFont val="Arial"/>
        <family val="2"/>
      </rPr>
      <t>StartPosition</t>
    </r>
    <r>
      <rPr>
        <sz val="10"/>
        <color rgb="FF000000"/>
        <rFont val="Arial"/>
        <family val="2"/>
      </rPr>
      <t xml:space="preserve"> </t>
    </r>
  </si>
  <si>
    <t>ExtendStart(REAL distance)</t>
  </si>
  <si>
    <r>
      <t xml:space="preserve">Returns a new LINE, where the </t>
    </r>
    <r>
      <rPr>
        <b/>
        <sz val="10"/>
        <color rgb="FF000000"/>
        <rFont val="Arial"/>
        <family val="2"/>
      </rPr>
      <t>StartPosition</t>
    </r>
    <r>
      <rPr>
        <sz val="10"/>
        <color rgb="FF000000"/>
        <rFont val="Arial"/>
        <family val="2"/>
      </rPr>
      <t xml:space="preserve"> has been extended in the opposite direction of line by </t>
    </r>
    <r>
      <rPr>
        <b/>
        <sz val="10"/>
        <color rgb="FF000000"/>
        <rFont val="Arial"/>
        <family val="2"/>
      </rPr>
      <t>distance.</t>
    </r>
  </si>
  <si>
    <t>ExtendEnd(REAL distance)</t>
  </si>
  <si>
    <r>
      <t xml:space="preserve">Returns a new LINE, where the </t>
    </r>
    <r>
      <rPr>
        <b/>
        <sz val="10"/>
        <color rgb="FF000000"/>
        <rFont val="Arial"/>
        <family val="2"/>
      </rPr>
      <t>EndPosition</t>
    </r>
    <r>
      <rPr>
        <sz val="10"/>
        <color rgb="FF000000"/>
        <rFont val="Arial"/>
        <family val="2"/>
      </rPr>
      <t xml:space="preserve"> has been extended in the direction of the line by </t>
    </r>
    <r>
      <rPr>
        <b/>
        <sz val="10"/>
        <color rgb="FF000000"/>
        <rFont val="Arial"/>
        <family val="2"/>
      </rPr>
      <t>distance.</t>
    </r>
  </si>
  <si>
    <t>ExtendStart(PLANE plane)</t>
  </si>
  <si>
    <r>
      <t xml:space="preserve">Returns a new LINE, where the </t>
    </r>
    <r>
      <rPr>
        <b/>
        <sz val="10"/>
        <color rgb="FF000000"/>
        <rFont val="Arial"/>
        <family val="2"/>
      </rPr>
      <t>StartPosition</t>
    </r>
    <r>
      <rPr>
        <sz val="10"/>
        <color rgb="FF000000"/>
        <rFont val="Arial"/>
        <family val="2"/>
      </rPr>
      <t xml:space="preserve"> has been extended to </t>
    </r>
    <r>
      <rPr>
        <b/>
        <sz val="10"/>
        <color rgb="FF000000"/>
        <rFont val="Arial"/>
        <family val="2"/>
      </rPr>
      <t>plane</t>
    </r>
    <r>
      <rPr>
        <sz val="10"/>
        <color rgb="FF000000"/>
        <rFont val="Arial"/>
        <family val="2"/>
      </rPr>
      <t>.</t>
    </r>
  </si>
  <si>
    <t>ExtendEnd(PLANE plane)</t>
  </si>
  <si>
    <r>
      <t xml:space="preserve">Returns a new LINE, where the </t>
    </r>
    <r>
      <rPr>
        <b/>
        <sz val="10"/>
        <color rgb="FF000000"/>
        <rFont val="Arial"/>
        <family val="2"/>
      </rPr>
      <t>EndPosition</t>
    </r>
    <r>
      <rPr>
        <sz val="10"/>
        <color rgb="FF000000"/>
        <rFont val="Arial"/>
        <family val="2"/>
      </rPr>
      <t xml:space="preserve"> has been extended to </t>
    </r>
    <r>
      <rPr>
        <b/>
        <sz val="10"/>
        <color rgb="FF000000"/>
        <rFont val="Arial"/>
        <family val="2"/>
      </rPr>
      <t>plane</t>
    </r>
    <r>
      <rPr>
        <sz val="10"/>
        <color rgb="FF000000"/>
        <rFont val="Arial"/>
        <family val="2"/>
      </rPr>
      <t>.</t>
    </r>
  </si>
  <si>
    <t>ReverseSense()</t>
  </si>
  <si>
    <t>Returns a line, where the</t>
  </si>
  <si>
    <r>
      <t>StartPosition</t>
    </r>
    <r>
      <rPr>
        <sz val="10"/>
        <color rgb="FF000000"/>
        <rFont val="Arial"/>
        <family val="2"/>
      </rPr>
      <t xml:space="preserve">  and </t>
    </r>
    <r>
      <rPr>
        <b/>
        <sz val="10"/>
        <color rgb="FF000000"/>
        <rFont val="Arial"/>
        <family val="2"/>
      </rPr>
      <t>EndPosition</t>
    </r>
    <r>
      <rPr>
        <sz val="10"/>
        <color rgb="FF000000"/>
        <rFont val="Arial"/>
        <family val="2"/>
      </rPr>
      <t xml:space="preserve">  have  been transposed.</t>
    </r>
  </si>
  <si>
    <t>Projected(PLANE plane)</t>
  </si>
  <si>
    <r>
      <t xml:space="preserve">Returns a LINE definition normalised onto </t>
    </r>
    <r>
      <rPr>
        <b/>
        <sz val="10"/>
        <color rgb="FF000000"/>
        <rFont val="Arial"/>
        <family val="2"/>
      </rPr>
      <t>plane</t>
    </r>
    <r>
      <rPr>
        <sz val="10"/>
        <color rgb="FF000000"/>
        <rFont val="Arial"/>
        <family val="2"/>
      </rPr>
      <t>. See picture.</t>
    </r>
  </si>
  <si>
    <t>Parallel(POSITION position)</t>
  </si>
  <si>
    <r>
      <t xml:space="preserve">Returns a parallel to the line definition of the line object, through </t>
    </r>
    <r>
      <rPr>
        <b/>
        <sz val="10"/>
        <color rgb="FF000000"/>
        <rFont val="Arial"/>
        <family val="2"/>
      </rPr>
      <t>position</t>
    </r>
    <r>
      <rPr>
        <sz val="10"/>
        <color rgb="FF000000"/>
        <rFont val="Arial"/>
        <family val="2"/>
      </rPr>
      <t>. All other members are copied. See picture.</t>
    </r>
  </si>
  <si>
    <t>Offset(DIRECTION direction, REAL offset)</t>
  </si>
  <si>
    <r>
      <t xml:space="preserve">Returns a parallel line to the LINE object, offset by </t>
    </r>
    <r>
      <rPr>
        <b/>
        <sz val="10"/>
        <color rgb="FF000000"/>
        <rFont val="Arial"/>
        <family val="2"/>
      </rPr>
      <t xml:space="preserve">offset </t>
    </r>
    <r>
      <rPr>
        <sz val="10"/>
        <color rgb="FF000000"/>
        <rFont val="Arial"/>
        <family val="2"/>
      </rPr>
      <t xml:space="preserve">from the original in the given </t>
    </r>
    <r>
      <rPr>
        <b/>
        <sz val="10"/>
        <color rgb="FF000000"/>
        <rFont val="Arial"/>
        <family val="2"/>
      </rPr>
      <t>direction</t>
    </r>
    <r>
      <rPr>
        <sz val="10"/>
        <color rgb="FF000000"/>
        <rFont val="Arial"/>
        <family val="2"/>
      </rPr>
      <t>. See picture.</t>
    </r>
  </si>
  <si>
    <t>Overlap(LINE other)</t>
  </si>
  <si>
    <r>
      <t xml:space="preserve">Returns the overlapping line of two </t>
    </r>
    <r>
      <rPr>
        <b/>
        <i/>
        <sz val="10"/>
        <color rgb="FF000000"/>
        <rFont val="Arial"/>
        <family val="2"/>
      </rPr>
      <t>parallel</t>
    </r>
    <r>
      <rPr>
        <sz val="10"/>
        <color rgb="FF000000"/>
        <rFont val="Arial"/>
        <family val="2"/>
      </rPr>
      <t xml:space="preserve"> lines. All positions are return projected onto the original object. See picture.</t>
    </r>
  </si>
  <si>
    <t>Union(LINE other)</t>
  </si>
  <si>
    <r>
      <t xml:space="preserve">Returns the union of LINE and </t>
    </r>
    <r>
      <rPr>
        <b/>
        <sz val="10"/>
        <color rgb="FF000000"/>
        <rFont val="Arial"/>
        <family val="2"/>
      </rPr>
      <t>other</t>
    </r>
    <r>
      <rPr>
        <sz val="10"/>
        <color rgb="FF000000"/>
        <rFont val="Arial"/>
        <family val="2"/>
      </rPr>
      <t xml:space="preserve">. The two are </t>
    </r>
    <r>
      <rPr>
        <b/>
        <i/>
        <sz val="10"/>
        <color rgb="FF000000"/>
        <rFont val="Arial"/>
        <family val="2"/>
      </rPr>
      <t>parallel</t>
    </r>
    <r>
      <rPr>
        <sz val="10"/>
        <color rgb="FF000000"/>
        <rFont val="Arial"/>
        <family val="2"/>
      </rPr>
      <t xml:space="preserve"> lines, all positions are return projected onto the original object. See picture.</t>
    </r>
  </si>
  <si>
    <t>Table 2: 51.</t>
  </si>
  <si>
    <t>LINE Object Methods that Return LINEs (c)</t>
  </si>
  <si>
    <t>LINEARGRID Object Construction Aids</t>
  </si>
  <si>
    <t>Origin of the grid</t>
  </si>
  <si>
    <t>ORIENTATI ON Get/Set</t>
  </si>
  <si>
    <t>Orientation of the grid</t>
  </si>
  <si>
    <t>XSpacing</t>
  </si>
  <si>
    <t>Spacing in the X direction</t>
  </si>
  <si>
    <t xml:space="preserve">YSpacing </t>
  </si>
  <si>
    <t>Spacing in the Y direction</t>
  </si>
  <si>
    <t>Table 2: 52.</t>
  </si>
  <si>
    <t>LINEARGRID Object Members</t>
  </si>
  <si>
    <t xml:space="preserve">Lineargrid( POSITION, </t>
  </si>
  <si>
    <t>ORIENTATION, REAL, REAL)</t>
  </si>
  <si>
    <t>Creates a grid with the given POSITION, ORIENTATION, and X and Y spacing.</t>
  </si>
  <si>
    <t>Returns the grid as a string</t>
  </si>
  <si>
    <t>Table 2: 53.</t>
  </si>
  <si>
    <t>LINEARGRID Object: Basic Members</t>
  </si>
  <si>
    <t>LINEARGRID Object Methods that Return POSITIONs</t>
  </si>
  <si>
    <t>GridPoint(REAL, REAL)</t>
  </si>
  <si>
    <t xml:space="preserve">Returns the position at the intersection of the passed X and Y lines from the origin of the grid. Values can be +ve or -ve depending on the side of the origin </t>
  </si>
  <si>
    <t>Snap(POSITION)</t>
  </si>
  <si>
    <t>Returns the nearest intersection point to the passed position, when mapped onto the grid plane</t>
  </si>
  <si>
    <t>Snap(LINE)</t>
  </si>
  <si>
    <t>Returns the nearest intersection point to the intersection of the passed line and the grid plane</t>
  </si>
  <si>
    <t>Snap(POINTVECTOR)</t>
  </si>
  <si>
    <t>Returns the nearest intersection point to the intersection of the passed point vector and the grid plane</t>
  </si>
  <si>
    <t>SnaptoCentre(POSITION)</t>
  </si>
  <si>
    <t>Returns the nearest mesh cell centre point to the passed position, when mapped onto the grid plane</t>
  </si>
  <si>
    <t>SnaptoCentre(LINE)</t>
  </si>
  <si>
    <t>Returns the nearest mesh cell centre point to the intersection of the passed line and the grid plane</t>
  </si>
  <si>
    <t>SnaptoCentre(POINTVECTOR)</t>
  </si>
  <si>
    <t>Returns the nearest mesh cell centre point to the intersection of the passed point vector and the grid plane</t>
  </si>
  <si>
    <t>Table 2: 54.</t>
  </si>
  <si>
    <t>Figure 2:32.</t>
  </si>
  <si>
    <t>POSITIONs Returned by LINEARGRID Methods</t>
  </si>
  <si>
    <t>2.5.31</t>
  </si>
  <si>
    <t xml:space="preserve">LINEARGRID Object </t>
  </si>
  <si>
    <t>Returns the grid as plane object</t>
  </si>
  <si>
    <t>Table 2: 55.</t>
  </si>
  <si>
    <t>Miscellaneous LINEARGRID Object Methods</t>
  </si>
  <si>
    <t>Figure 2:33.</t>
  </si>
  <si>
    <t>Miscellaneous Return Values from LINEARGRID Methods</t>
  </si>
  <si>
    <r>
      <t xml:space="preserve">LINEARGRID Object Methods that Return XYOffsets </t>
    </r>
    <r>
      <rPr>
        <sz val="10"/>
        <color rgb="FF000000"/>
        <rFont val="Arial"/>
        <family val="2"/>
      </rPr>
      <t>This method does not modify the original object.</t>
    </r>
  </si>
  <si>
    <t>Returns the position, mapped onto the grid plane, in terms of an XY offset from the grid</t>
  </si>
  <si>
    <t>plane origin</t>
  </si>
  <si>
    <t>Table 2: 56.</t>
  </si>
  <si>
    <t>LINEARGRID Object Methods that Return XYOffsets</t>
  </si>
  <si>
    <t>Figure 2:34.</t>
  </si>
  <si>
    <t>XYOffsets Returned by LINEARGRID Object Methods</t>
  </si>
  <si>
    <t>2.5.32</t>
  </si>
  <si>
    <t>LIST Gadget</t>
  </si>
  <si>
    <t>Selected field-number of a single-choice list.</t>
  </si>
  <si>
    <t>REAL  ARRAY</t>
  </si>
  <si>
    <t>Selected field numbers of a multiple-choice list.</t>
  </si>
  <si>
    <t>ARRAY Get/Set</t>
  </si>
  <si>
    <t>STRING  Get</t>
  </si>
  <si>
    <t>Only</t>
  </si>
  <si>
    <r>
      <t xml:space="preserve">Get the display text of the </t>
    </r>
    <r>
      <rPr>
        <b/>
        <sz val="10"/>
        <color rgb="FF000000"/>
        <rFont val="Arial"/>
        <family val="2"/>
      </rPr>
      <t>n</t>
    </r>
    <r>
      <rPr>
        <sz val="10"/>
        <color rgb="FF000000"/>
        <rFont val="Arial"/>
        <family val="2"/>
      </rPr>
      <t>'th field.</t>
    </r>
  </si>
  <si>
    <t>PickedField</t>
  </si>
  <si>
    <t>REAL Get Only</t>
  </si>
  <si>
    <t>Last picked list field number.</t>
  </si>
  <si>
    <t>STRING  et</t>
  </si>
  <si>
    <r>
      <t xml:space="preserve">Get the replacement text of the </t>
    </r>
    <r>
      <rPr>
        <b/>
        <sz val="10"/>
        <color rgb="FF000000"/>
        <rFont val="Arial"/>
        <family val="2"/>
      </rPr>
      <t>n</t>
    </r>
    <r>
      <rPr>
        <sz val="10"/>
        <color rgb="FF000000"/>
        <rFont val="Arial"/>
        <family val="2"/>
      </rPr>
      <t>'th field.</t>
    </r>
  </si>
  <si>
    <t>Get count of number of fields in the list</t>
  </si>
  <si>
    <t>val</t>
  </si>
  <si>
    <t>Selected field as integer. Zero implies no selection. Setting val to zero will cause an error for mandatory selection lists.</t>
  </si>
  <si>
    <t>Table 2: 57.</t>
  </si>
  <si>
    <t>LIST Object Members</t>
  </si>
  <si>
    <r>
      <t xml:space="preserve">Append an entry to the list, where </t>
    </r>
    <r>
      <rPr>
        <b/>
        <sz val="10"/>
        <color rgb="FF000000"/>
        <rFont val="Arial"/>
        <family val="2"/>
      </rPr>
      <t>Dtext</t>
    </r>
    <r>
      <rPr>
        <sz val="10"/>
        <color rgb="FF000000"/>
        <rFont val="Arial"/>
        <family val="2"/>
      </rPr>
      <t xml:space="preserve"> is the text to display in the option list.</t>
    </r>
  </si>
  <si>
    <t xml:space="preserve">Add(STRING Dtext, STRING </t>
  </si>
  <si>
    <t>Rtext))</t>
  </si>
  <si>
    <r>
      <t xml:space="preserve">Append and entry to the list, where </t>
    </r>
    <r>
      <rPr>
        <b/>
        <sz val="10"/>
        <color rgb="FF000000"/>
        <rFont val="Arial"/>
        <family val="2"/>
      </rPr>
      <t>Dtext</t>
    </r>
    <r>
      <rPr>
        <sz val="10"/>
        <color rgb="FF000000"/>
        <rFont val="Arial"/>
        <family val="2"/>
      </rPr>
      <t xml:space="preserve"> is the text to display in the option list, and </t>
    </r>
    <r>
      <rPr>
        <b/>
        <sz val="10"/>
        <color rgb="FF000000"/>
        <rFont val="Arial"/>
        <family val="2"/>
      </rPr>
      <t>Rtext</t>
    </r>
    <r>
      <rPr>
        <sz val="10"/>
        <color rgb="FF000000"/>
        <rFont val="Arial"/>
        <family val="2"/>
      </rPr>
      <t xml:space="preserve"> is the replacement text for the new field. If </t>
    </r>
    <r>
      <rPr>
        <b/>
        <sz val="10"/>
        <color rgb="FF000000"/>
        <rFont val="Arial"/>
        <family val="2"/>
      </rPr>
      <t>Rtext</t>
    </r>
    <r>
      <rPr>
        <sz val="10"/>
        <color rgb="FF000000"/>
        <rFont val="Arial"/>
        <family val="2"/>
      </rPr>
      <t xml:space="preserve"> isn’t specified, it will be set to </t>
    </r>
    <r>
      <rPr>
        <b/>
        <sz val="10"/>
        <color rgb="FF000000"/>
        <rFont val="Arial"/>
        <family val="2"/>
      </rPr>
      <t xml:space="preserve">Dtext </t>
    </r>
    <r>
      <rPr>
        <sz val="10"/>
        <color rgb="FF000000"/>
        <rFont val="Arial"/>
        <family val="2"/>
      </rPr>
      <t>by default.</t>
    </r>
  </si>
  <si>
    <t>Get the full name of the gadget, e.g..'!!Form.gadget'</t>
  </si>
  <si>
    <t>Select(STRING text, STRING  value)</t>
  </si>
  <si>
    <r>
      <t xml:space="preserve">Select specified item in a list. </t>
    </r>
    <r>
      <rPr>
        <b/>
        <sz val="10"/>
        <color rgb="FF000000"/>
        <rFont val="Arial"/>
        <family val="2"/>
      </rPr>
      <t>text</t>
    </r>
    <r>
      <rPr>
        <sz val="10"/>
        <color rgb="FF000000"/>
        <rFont val="Arial"/>
        <family val="2"/>
      </rPr>
      <t xml:space="preserve"> must be ‘Rtext’ or ‘Dtext’. </t>
    </r>
    <r>
      <rPr>
        <b/>
        <sz val="10"/>
        <color rgb="FF000000"/>
        <rFont val="Arial"/>
        <family val="2"/>
      </rPr>
      <t>value</t>
    </r>
    <r>
      <rPr>
        <sz val="10"/>
        <color rgb="FF000000"/>
        <rFont val="Arial"/>
        <family val="2"/>
      </rPr>
      <t xml:space="preserve"> is the RTEXT or DTEXT of the item to be selected.</t>
    </r>
  </si>
  <si>
    <t>Select(STRING text, ARRAY of STRING values)</t>
  </si>
  <si>
    <r>
      <t xml:space="preserve">Select multiple choice list items. </t>
    </r>
    <r>
      <rPr>
        <b/>
        <sz val="10"/>
        <color rgb="FF000000"/>
        <rFont val="Arial"/>
        <family val="2"/>
      </rPr>
      <t>text</t>
    </r>
    <r>
      <rPr>
        <sz val="10"/>
        <color rgb="FF000000"/>
        <rFont val="Arial"/>
        <family val="2"/>
      </rPr>
      <t xml:space="preserve"> must be 'Rtext' or 'Dtext'. </t>
    </r>
    <r>
      <rPr>
        <b/>
        <sz val="10"/>
        <color rgb="FF000000"/>
        <rFont val="Arial"/>
        <family val="2"/>
      </rPr>
      <t>values</t>
    </r>
    <r>
      <rPr>
        <sz val="10"/>
        <color rgb="FF000000"/>
        <rFont val="Arial"/>
        <family val="2"/>
      </rPr>
      <t xml:space="preserve"> contains the RTEXT or DTEXT values to be selected.</t>
    </r>
  </si>
  <si>
    <t>Selection( )</t>
  </si>
  <si>
    <t>STRING ARRAY OF STRING</t>
  </si>
  <si>
    <t xml:space="preserve">Get selected RTEXT </t>
  </si>
  <si>
    <t>Array of RTEXT for multi-choice list.</t>
  </si>
  <si>
    <t>Selection(STRING text)</t>
  </si>
  <si>
    <t>Get selected RTEXT or DTEXT</t>
  </si>
  <si>
    <r>
      <t xml:space="preserve">Array of texts for multi-choice list. </t>
    </r>
    <r>
      <rPr>
        <b/>
        <sz val="10"/>
        <color rgb="FF000000"/>
        <rFont val="Arial"/>
        <family val="2"/>
      </rPr>
      <t>text</t>
    </r>
    <r>
      <rPr>
        <sz val="10"/>
        <color rgb="FF000000"/>
        <rFont val="Arial"/>
        <family val="2"/>
      </rPr>
      <t xml:space="preserve"> must be 'Rtext' or 'Dtext'.</t>
    </r>
  </si>
  <si>
    <t>Clear  list  contents  and selections.</t>
  </si>
  <si>
    <t xml:space="preserve">Clear list selections. </t>
  </si>
  <si>
    <t>SetPopup(MENU  menu)</t>
  </si>
  <si>
    <r>
      <t xml:space="preserve">Removes popup </t>
    </r>
    <r>
      <rPr>
        <b/>
        <sz val="10"/>
        <color rgb="FF000000"/>
        <rFont val="Arial"/>
        <family val="2"/>
      </rPr>
      <t>menu</t>
    </r>
    <r>
      <rPr>
        <sz val="10"/>
        <color rgb="FF000000"/>
        <rFont val="Arial"/>
        <family val="2"/>
      </rPr>
      <t xml:space="preserve"> from the gadget.</t>
    </r>
  </si>
  <si>
    <t>Get the gadget type as a STRING.</t>
  </si>
  <si>
    <t>Allows a TOOLTIP to be edited.</t>
  </si>
  <si>
    <t xml:space="preserve">SetHeadings(!Dtexts is </t>
  </si>
  <si>
    <t>Specifies the number of columns and sets the list's column headings. Dtexts contains a set of TAB separated sub-strings.</t>
  </si>
  <si>
    <t>ARRAY)</t>
  </si>
  <si>
    <t>Specifies the number of columns and sets the list's column headings. Dtexts is an array of strings.</t>
  </si>
  <si>
    <t>Delete  the  specified  field number.</t>
  </si>
  <si>
    <t xml:space="preserve">SetRows(Array of (Array of </t>
  </si>
  <si>
    <t>STRING))</t>
  </si>
  <si>
    <r>
      <t xml:space="preserve">This sets the display text for all the data fields of the list gadget by row. If the list gadget is already populated then it replaces all the current rows by the new ones. </t>
    </r>
    <r>
      <rPr>
        <b/>
        <sz val="10"/>
        <color rgb="FF000000"/>
        <rFont val="Arial"/>
        <family val="2"/>
      </rPr>
      <t>Array</t>
    </r>
    <r>
      <rPr>
        <sz val="10"/>
        <color rgb="FF000000"/>
        <rFont val="Arial"/>
        <family val="2"/>
      </rPr>
      <t xml:space="preserve"> is an array of ‘row arrays’, and its size determines the number of rows in the list. Each entry is a row array of strings, which supplies the displayed text for each column of the row. The size of each row array must be less than or equal to the number of columns of the list. The columns are filled sequentially until the array is exhausted.</t>
    </r>
  </si>
  <si>
    <t>SetColumns(Array of (Array of STRING))</t>
  </si>
  <si>
    <r>
      <t xml:space="preserve">This sets the display text for all the data fields of the list gadget by column. If the list gadget is already populated then it replaces all the current rows by the new ones. </t>
    </r>
    <r>
      <rPr>
        <b/>
        <sz val="10"/>
        <color rgb="FF000000"/>
        <rFont val="Arial"/>
        <family val="2"/>
      </rPr>
      <t>Array</t>
    </r>
    <r>
      <rPr>
        <sz val="10"/>
        <color rgb="FF000000"/>
        <rFont val="Arial"/>
        <family val="2"/>
      </rPr>
      <t xml:space="preserve"> is an array of ‘column arrays’, and its size must match the number of columns of the list. The size of each all column arrays must be the same and determines the no of rows in the list.</t>
    </r>
  </si>
  <si>
    <t>Select(REAL column, STRING dtext)</t>
  </si>
  <si>
    <r>
      <t xml:space="preserve">This selects the first list row whose column </t>
    </r>
    <r>
      <rPr>
        <b/>
        <sz val="10"/>
        <color rgb="FF000000"/>
        <rFont val="Arial"/>
        <family val="2"/>
      </rPr>
      <t>column</t>
    </r>
    <r>
      <rPr>
        <sz val="10"/>
        <color rgb="FF000000"/>
        <rFont val="Arial"/>
        <family val="2"/>
      </rPr>
      <t xml:space="preserve"> has the display text </t>
    </r>
    <r>
      <rPr>
        <b/>
        <sz val="10"/>
        <color rgb="FF000000"/>
        <rFont val="Arial"/>
        <family val="2"/>
      </rPr>
      <t>dtext</t>
    </r>
    <r>
      <rPr>
        <sz val="10"/>
        <color rgb="FF000000"/>
        <rFont val="Arial"/>
        <family val="2"/>
      </rPr>
      <t>. If the field is not found then the list selection is unaltered. If the list is a multichoice list then repeated use of this method will add selections to the list.</t>
    </r>
  </si>
  <si>
    <t>Get Background Colour Name.</t>
  </si>
  <si>
    <t>Table 2: 58.</t>
  </si>
  <si>
    <t>LIST Object Methods</t>
  </si>
  <si>
    <t>Column Headings</t>
  </si>
  <si>
    <t>The number of columns is deduced from the List's data. If the user specifies a set of (1 or more) column headings before the list is populated, then this will determine the number of columns. If no headings are pre-specified then the number of columns is deduced from the display text (Dtext) of the List's first data field. This provides upwards compatibility for existing Appware using single column lists.</t>
  </si>
  <si>
    <t>A List gadget's headings can be replaced after the list has been populated. If the new headings specify the same number of columns then the headings are replaced but the List's data fields and selection remain unchanged. If the number of columns is different, then the list is replaced by an empty list with the new headings.</t>
  </si>
  <si>
    <t>Invoking the Clear() method will clear the list's data fields and rebuild the current headings.</t>
  </si>
  <si>
    <t>There are two methods for defining a List's column headings:</t>
  </si>
  <si>
    <r>
      <t xml:space="preserve">The data fields can be set using the List's </t>
    </r>
    <r>
      <rPr>
        <b/>
        <sz val="10"/>
        <color rgb="FF000000"/>
        <rFont val="Arial"/>
        <family val="2"/>
      </rPr>
      <t>DTEXT</t>
    </r>
    <r>
      <rPr>
        <sz val="10"/>
        <color rgb="FF000000"/>
        <rFont val="Arial"/>
        <family val="2"/>
      </rPr>
      <t xml:space="preserve"> member or its </t>
    </r>
    <r>
      <rPr>
        <b/>
        <sz val="10"/>
        <color rgb="FF000000"/>
        <rFont val="Arial"/>
        <family val="2"/>
      </rPr>
      <t>Add</t>
    </r>
    <r>
      <rPr>
        <sz val="10"/>
        <color rgb="FF000000"/>
        <rFont val="Arial"/>
        <family val="2"/>
      </rPr>
      <t xml:space="preserve"> methods, where a row's Dtext string can be a set of TAB separated column sub-strings for populating multiple columns. Alternatively you can use the </t>
    </r>
    <r>
      <rPr>
        <b/>
        <sz val="10"/>
        <color rgb="FF000000"/>
        <rFont val="Arial"/>
        <family val="2"/>
      </rPr>
      <t>SetRows</t>
    </r>
    <r>
      <rPr>
        <sz val="10"/>
        <color rgb="FF000000"/>
        <rFont val="Arial"/>
        <family val="2"/>
      </rPr>
      <t xml:space="preserve"> or </t>
    </r>
    <r>
      <rPr>
        <b/>
        <sz val="10"/>
        <color rgb="FF000000"/>
        <rFont val="Arial"/>
        <family val="2"/>
      </rPr>
      <t>SetColumns methods</t>
    </r>
    <r>
      <rPr>
        <sz val="10"/>
        <color rgb="FF000000"/>
        <rFont val="Arial"/>
        <family val="2"/>
      </rPr>
      <t>.</t>
    </r>
  </si>
  <si>
    <t>Single choice lists</t>
  </si>
  <si>
    <t>Reselection of the Selected Field can be Disallowed</t>
  </si>
  <si>
    <t>For Single choice lists there is a keyword NORESELECT which disables UnSelect and Select events when the currently selected field is clicked with the mouse, for example:</t>
  </si>
  <si>
    <t>list .l1 |List gadget| zeroSel noReselect width 15 length 5 tooltip 'single choice list'</t>
  </si>
  <si>
    <t>De-selection of the selected field for ZeroSelection lists</t>
  </si>
  <si>
    <t>For ZeroSelection lists it is possible to interactively deselect the selected field by clicking in unused rows or after the last column.</t>
  </si>
  <si>
    <t>The val member now allows programmatic de-selection of the current field.</t>
  </si>
  <si>
    <t>Unselect Events</t>
  </si>
  <si>
    <t>Single choice List gadgets support UNSELECT events. Typically when a field is selected, an UNSELECT event is raised for the previously selected field (if any) and then a SELECT event is raised for the new field. An UNSELECT event is raised whenever a selected field is interactively deselected.</t>
  </si>
  <si>
    <r>
      <t>3.</t>
    </r>
    <r>
      <rPr>
        <sz val="7"/>
        <color rgb="FF000000"/>
        <rFont val="Times New Roman"/>
        <family val="1"/>
      </rPr>
      <t xml:space="preserve">    </t>
    </r>
    <r>
      <rPr>
        <sz val="10"/>
        <color rgb="FF000000"/>
        <rFont val="Arial"/>
        <family val="2"/>
      </rPr>
      <t>We recommend that you do not change the List's selection programmatically in anUNSELECT event.</t>
    </r>
  </si>
  <si>
    <t xml:space="preserve">The LIST command defines a single-choice or multiple-choice list gadget, and specifies its position, tag, number of columns and callback text. Also defines the area (width and height) in which the displayed part of the list will appear. </t>
  </si>
  <si>
    <t>The arrays defining the display texts and replacement texts for the list options are usually set in the form's default constructor method.</t>
  </si>
  <si>
    <t>.-------&lt;--------.</t>
  </si>
  <si>
    <t>&gt;- &lt;flist&gt; - LIST gname -+- &lt;fgtagw&gt; ------|</t>
  </si>
  <si>
    <t>+- &lt;fgdock&gt; ------| +- CALLback text -|</t>
  </si>
  <si>
    <t>+- CORE ----------* Core managed gadget</t>
  </si>
  <si>
    <t>+- MULTiple --------.</t>
  </si>
  <si>
    <t>| .-------&lt;-------. |</t>
  </si>
  <si>
    <t>| |</t>
  </si>
  <si>
    <t>+- NORESELect ----| |</t>
  </si>
  <si>
    <t>+- ZEROSELection -* |</t>
  </si>
  <si>
    <t>‘-------------------‘- &lt;vshap&gt; +- TOOLTIP text -.</t>
  </si>
  <si>
    <t>‘----------------‘-&gt;</t>
  </si>
  <si>
    <t>Figure 2:35.</t>
  </si>
  <si>
    <t>Syntax Graph -: Setting-up a LIST Object</t>
  </si>
  <si>
    <r>
      <t xml:space="preserve">Note: </t>
    </r>
    <r>
      <rPr>
        <sz val="10"/>
        <color rgb="FF000000"/>
        <rFont val="Arial"/>
        <family val="2"/>
      </rPr>
      <t>The TOOLTIP keyword can be given at two different places in the syntax.</t>
    </r>
  </si>
  <si>
    <t>A single choice, mandatory selection list.</t>
  </si>
  <si>
    <t>2.5.33</t>
  </si>
  <si>
    <t>LOCATION Object</t>
  </si>
  <si>
    <t>Location name.</t>
  </si>
  <si>
    <t>Description, up to 120 characters.</t>
  </si>
  <si>
    <t>Locid</t>
  </si>
  <si>
    <t>Location identifier.</t>
  </si>
  <si>
    <t>STRING containing Database reference no.</t>
  </si>
  <si>
    <t>IsCurrent</t>
  </si>
  <si>
    <t>True for the current Location.</t>
  </si>
  <si>
    <t>Table 2: 59.</t>
  </si>
  <si>
    <t>LOCATION Object members</t>
  </si>
  <si>
    <t>LOCATION(DBREF)</t>
  </si>
  <si>
    <t>Returns a LOCATION object, given a DBREF.</t>
  </si>
  <si>
    <t>LOCATION(STRING)</t>
  </si>
  <si>
    <t>Returns a LOCATION object, given a name or reference number (Global projects only).</t>
  </si>
  <si>
    <t>Dblist()</t>
  </si>
  <si>
    <t>ARRAY OF DB</t>
  </si>
  <si>
    <t>Array of DB objects for Allocated DBs. This method does not modify the original object.</t>
  </si>
  <si>
    <t>ARRAY  OF</t>
  </si>
  <si>
    <t>SESSIONS</t>
  </si>
  <si>
    <t>Return array of all Sessions extracted from COMMs db at the Location. This method does not modify the original object.</t>
  </si>
  <si>
    <t>STRING containing Location name. This method does not modify the original object.</t>
  </si>
  <si>
    <t>Table 2: 60.</t>
  </si>
  <si>
    <t>LOCATION Object Methods</t>
  </si>
  <si>
    <r>
      <t xml:space="preserve">Note: </t>
    </r>
    <r>
      <rPr>
        <sz val="10"/>
        <color rgb="FF000000"/>
        <rFont val="Arial"/>
        <family val="2"/>
      </rPr>
      <t xml:space="preserve">The </t>
    </r>
    <r>
      <rPr>
        <sz val="10"/>
        <color rgb="FF000000"/>
        <rFont val="Courier New"/>
        <family val="3"/>
      </rPr>
      <t>Sessions()</t>
    </r>
    <r>
      <rPr>
        <sz val="10"/>
        <color rgb="FF000000"/>
        <rFont val="Arial"/>
        <family val="2"/>
      </rPr>
      <t xml:space="preserve"> method provides information required for remote expunging.  This method will cause daemon activity for locations other than the current location.</t>
    </r>
  </si>
  <si>
    <t>You can use the constructors in the following ways:</t>
  </si>
  <si>
    <t>!D = OBJECT LOCATION(!!CE)</t>
  </si>
  <si>
    <t>!D = OBJECT LOCATION(!!CE.Name)</t>
  </si>
  <si>
    <t>!D = !!CE.LOCATION()!D = !!CE.Name.LOCATION()</t>
  </si>
  <si>
    <r>
      <t xml:space="preserve">In all cases, </t>
    </r>
    <r>
      <rPr>
        <b/>
        <sz val="10"/>
        <color rgb="FF000000"/>
        <rFont val="Arial"/>
        <family val="2"/>
      </rPr>
      <t>!!CE</t>
    </r>
    <r>
      <rPr>
        <sz val="10"/>
        <color rgb="FF000000"/>
        <rFont val="Arial"/>
        <family val="2"/>
      </rPr>
      <t xml:space="preserve"> is assumed to be a DB database element and </t>
    </r>
    <r>
      <rPr>
        <b/>
        <sz val="10"/>
        <color rgb="FF000000"/>
        <rFont val="Arial"/>
        <family val="2"/>
      </rPr>
      <t>!!CE.Name</t>
    </r>
    <r>
      <rPr>
        <sz val="10"/>
        <color rgb="FF000000"/>
        <rFont val="Arial"/>
        <family val="2"/>
      </rPr>
      <t xml:space="preserve"> is a STRING object containing the element’s name.</t>
    </r>
  </si>
  <si>
    <t>These methods should assist performance improvements to AppWare by making it easier to get from Database element to Object.</t>
  </si>
  <si>
    <t>2.5.34</t>
  </si>
  <si>
    <t>MACRO Object</t>
  </si>
  <si>
    <t xml:space="preserve">Filename </t>
  </si>
  <si>
    <t>Inter-DB macro filename (up to 17 characters).</t>
  </si>
  <si>
    <t>From</t>
  </si>
  <si>
    <t>Source DB of inter-DB connection macro.</t>
  </si>
  <si>
    <t>Inter-DB macro number.</t>
  </si>
  <si>
    <t>To</t>
  </si>
  <si>
    <t>Target DB of inter-DB connection macro.</t>
  </si>
  <si>
    <t>Table 2: 61.</t>
  </si>
  <si>
    <t>MACRO Object Members</t>
  </si>
  <si>
    <t>!ARRAY = MACROS</t>
  </si>
  <si>
    <t xml:space="preserve">$ Returns an array of all the MACRO objects in </t>
  </si>
  <si>
    <t>$ the project</t>
  </si>
  <si>
    <t>2.5.35</t>
  </si>
  <si>
    <t>MDB Object</t>
  </si>
  <si>
    <t>Name of the MDB, up to 32 characters</t>
  </si>
  <si>
    <t>MDB description, up to 120 characters</t>
  </si>
  <si>
    <t>Figure 2:36.</t>
  </si>
  <si>
    <t>MDB Object Members</t>
  </si>
  <si>
    <t>MDB(DBREF)</t>
  </si>
  <si>
    <t>Returns an MDB object, given a DBREF.</t>
  </si>
  <si>
    <t>MDB(STRING)</t>
  </si>
  <si>
    <t>Returns an MDB object, given a name or reference number.</t>
  </si>
  <si>
    <t xml:space="preserve">Current() </t>
  </si>
  <si>
    <t>ARRAY OF DBS</t>
  </si>
  <si>
    <t>Current databases as an</t>
  </si>
  <si>
    <t>array of DB objects</t>
  </si>
  <si>
    <t>Deferred()</t>
  </si>
  <si>
    <t>Deferred databases as an array of DB objects</t>
  </si>
  <si>
    <t>Mode()</t>
  </si>
  <si>
    <t>Returns ‘NR’ or ‘RW’ for each current DB of the MDB</t>
  </si>
  <si>
    <t>Table 2: 62.</t>
  </si>
  <si>
    <t>MDB Object Methods</t>
  </si>
  <si>
    <t>!D = OBJECT MDB(!!CE)</t>
  </si>
  <si>
    <t>!D = OBJECT MDB(!!CE Name</t>
  </si>
  <si>
    <t>!D = !!CE.MDB()</t>
  </si>
  <si>
    <t>!D = !!CE.Name.MDB()</t>
  </si>
  <si>
    <t>!ARRAY= MDBS</t>
  </si>
  <si>
    <t>$ Returns an array of MDB objects in the project</t>
  </si>
  <si>
    <t>2.5.36</t>
  </si>
  <si>
    <t>MEASURE Object</t>
  </si>
  <si>
    <t>Constructors</t>
  </si>
  <si>
    <t>Measure ()</t>
  </si>
  <si>
    <t>Creates  an  invalid/unset dimension (INVALID).</t>
  </si>
  <si>
    <t>Measure(STRING)</t>
  </si>
  <si>
    <t>Creates a MEASURE of which string is a 'reasonable' match to any of description, name, hashcode, format code (L, L2 etc) or any other recognisable name or abbreviation of a unit of the measure.</t>
  </si>
  <si>
    <t>Measure(REAL)</t>
  </si>
  <si>
    <t>Creates a MEASURE of which the value of REAL is a (valid) enum value, or is a negative (non standard) dimension..</t>
  </si>
  <si>
    <t>Table 2: 63.</t>
  </si>
  <si>
    <t>MEASURE Object Members</t>
  </si>
  <si>
    <t>Description()</t>
  </si>
  <si>
    <t>Long  description  of dimension.</t>
  </si>
  <si>
    <t>Unique name used  for format statements and commands</t>
  </si>
  <si>
    <t>Hashcode()</t>
  </si>
  <si>
    <t>Ptype()</t>
  </si>
  <si>
    <t>Hash code of dimension. Returns 'GENERIC' if generic dimension - i.e. non standard.</t>
  </si>
  <si>
    <t>Current Unit Methods</t>
  </si>
  <si>
    <t>currentunits()</t>
  </si>
  <si>
    <t>Returns current unit of this dimension.</t>
  </si>
  <si>
    <t>UnitQualifier()</t>
  </si>
  <si>
    <t>Unit qualifier of current units.</t>
  </si>
  <si>
    <t>UnitFactor()</t>
  </si>
  <si>
    <t>Conversion factor to database units from current units.</t>
  </si>
  <si>
    <t>SetUnits(unit)</t>
  </si>
  <si>
    <t>Returns true if successfully set current unit of the dimension to unit.</t>
  </si>
  <si>
    <t>Numeric()</t>
  </si>
  <si>
    <t>Sets current units of dimension to be Numeric (i.e. no unit conversion in place).</t>
  </si>
  <si>
    <t>NUMERIC units have Hashcode NUMB and null names, unitqualifiers, and descriptions.</t>
  </si>
  <si>
    <t>Returns true if successful.</t>
  </si>
  <si>
    <t>Default()</t>
  </si>
  <si>
    <t>Sets current units of all dimensions to those defined by catalogue BUNI/DUNI.</t>
  </si>
  <si>
    <t>Suspend()</t>
  </si>
  <si>
    <t>Suspends current units of all physical quantities and operates exclusively in database units.  Pushes up one level of suspension.</t>
  </si>
  <si>
    <t>SuspendLevel()</t>
  </si>
  <si>
    <t>Returns number of levels of suspension of current units.</t>
  </si>
  <si>
    <t>If 0 no suspension in force.</t>
  </si>
  <si>
    <t>Reinstate()</t>
  </si>
  <si>
    <t>Reinstates currently defined current working units for all quantities. Clears suspension stack.</t>
  </si>
  <si>
    <t>Unsuspend()</t>
  </si>
  <si>
    <t>Pops one level of suspension stack of current units.  If level now one working in defined current units.</t>
  </si>
  <si>
    <t>General Queries</t>
  </si>
  <si>
    <t>IsNull()</t>
  </si>
  <si>
    <t>TRUE if dimension is  NONE.</t>
  </si>
  <si>
    <t>IsStandard()</t>
  </si>
  <si>
    <t>TRUE if dimension is a named (standard) dimension.</t>
  </si>
  <si>
    <t>FALSE if specified from powers of its base components (i.e. Generic).</t>
  </si>
  <si>
    <t>DBUnits()</t>
  </si>
  <si>
    <t>DBUnit()</t>
  </si>
  <si>
    <t>Database  unit  for  this dimension.</t>
  </si>
  <si>
    <t>UnitsOf()</t>
  </si>
  <si>
    <t>UNITs</t>
  </si>
  <si>
    <t>Set of standard units of this dimension.</t>
  </si>
  <si>
    <t>AllDimensions()</t>
  </si>
  <si>
    <t>ARRAY  of MEASUREs</t>
  </si>
  <si>
    <t>Set  of  all  standard dimensions.</t>
  </si>
  <si>
    <t>AllUnits()</t>
  </si>
  <si>
    <t>Set of all named Units</t>
  </si>
  <si>
    <t>Enum()</t>
  </si>
  <si>
    <t>Unique integer ID for this Dimension.</t>
  </si>
  <si>
    <t>Positive if standard dimension (packed Hash Value)</t>
  </si>
  <si>
    <t>Negative if generic dimension coded from component base dimensions.</t>
  </si>
  <si>
    <t>2.5.37</t>
  </si>
  <si>
    <t>MENU Object</t>
  </si>
  <si>
    <t>Sets/gets the callback on the menu.</t>
  </si>
  <si>
    <t xml:space="preserve">PickedField </t>
  </si>
  <si>
    <t>Returns the DTEXT of the last picked menu field.</t>
  </si>
  <si>
    <t>Using this member is now deprecated. Use the PickedFieldName property instead.</t>
  </si>
  <si>
    <t>PickedFieldName</t>
  </si>
  <si>
    <t>Returns the field name of the last-picked TOGGLE or CALLBACK field.</t>
  </si>
  <si>
    <t>Table 2: 64.</t>
  </si>
  <si>
    <t>MENU Object Members</t>
  </si>
  <si>
    <t>Add('SEPARATOR', {STRING fieldName})</t>
  </si>
  <si>
    <r>
      <t xml:space="preserve">Append a SEPARATOR field, with an optional STRING argument, </t>
    </r>
    <r>
      <rPr>
        <b/>
        <sz val="10"/>
        <color rgb="FF000000"/>
        <rFont val="Arial"/>
        <family val="2"/>
      </rPr>
      <t>fieldName</t>
    </r>
    <r>
      <rPr>
        <sz val="10"/>
        <color rgb="FF000000"/>
        <rFont val="Arial"/>
        <family val="2"/>
      </rPr>
      <t>, that if present denotes the unique field-name in the menu.</t>
    </r>
  </si>
  <si>
    <t>Add('CALLBACK', STRING Dtext, STRING callback, {STRING fieldName})</t>
  </si>
  <si>
    <r>
      <t xml:space="preserve">Append a CALLBACK field with </t>
    </r>
    <r>
      <rPr>
        <b/>
        <sz val="10"/>
        <color rgb="FF000000"/>
        <rFont val="Arial"/>
        <family val="2"/>
      </rPr>
      <t>Dtext</t>
    </r>
    <r>
      <rPr>
        <sz val="10"/>
        <color rgb="FF000000"/>
        <rFont val="Arial"/>
        <family val="2"/>
      </rPr>
      <t>, which may contain multi-byte characters, but which cannot be NULL or blank.</t>
    </r>
  </si>
  <si>
    <r>
      <t xml:space="preserve">The argument </t>
    </r>
    <r>
      <rPr>
        <b/>
        <sz val="10"/>
        <color rgb="FF000000"/>
        <rFont val="Arial"/>
        <family val="2"/>
      </rPr>
      <t xml:space="preserve">callback </t>
    </r>
    <r>
      <rPr>
        <sz val="10"/>
        <color rgb="FF000000"/>
        <rFont val="Arial"/>
        <family val="2"/>
      </rPr>
      <t>gives the callback command.</t>
    </r>
  </si>
  <si>
    <r>
      <t xml:space="preserve">There is also an optional </t>
    </r>
    <r>
      <rPr>
        <b/>
        <sz val="10"/>
        <color rgb="FF000000"/>
        <rFont val="Arial"/>
        <family val="2"/>
      </rPr>
      <t>fieldName</t>
    </r>
    <r>
      <rPr>
        <sz val="10"/>
        <color rgb="FF000000"/>
        <rFont val="Arial"/>
        <family val="2"/>
      </rPr>
      <t xml:space="preserve"> argument that, if present, denotes the unique field name in the menu.</t>
    </r>
  </si>
  <si>
    <t>Add('FORM', STRING Dtext, STRING formName, {STRING fieldName})</t>
  </si>
  <si>
    <r>
      <t xml:space="preserve">Append a FORM display field with </t>
    </r>
    <r>
      <rPr>
        <b/>
        <sz val="10"/>
        <color rgb="FF000000"/>
        <rFont val="Arial"/>
        <family val="2"/>
      </rPr>
      <t>Dtext</t>
    </r>
    <r>
      <rPr>
        <sz val="10"/>
        <color rgb="FF000000"/>
        <rFont val="Arial"/>
        <family val="2"/>
      </rPr>
      <t>, which may contain multi-byte characters, but which cannot be NULL or blank.</t>
    </r>
  </si>
  <si>
    <r>
      <t xml:space="preserve">The argument </t>
    </r>
    <r>
      <rPr>
        <b/>
        <sz val="10"/>
        <color rgb="FF000000"/>
        <rFont val="Arial"/>
        <family val="2"/>
      </rPr>
      <t>formName</t>
    </r>
    <r>
      <rPr>
        <sz val="10"/>
        <color rgb="FF000000"/>
        <rFont val="Arial"/>
        <family val="2"/>
      </rPr>
      <t>, gives the name of the form to be displayed, which may be NULL but may not be blank.</t>
    </r>
  </si>
  <si>
    <r>
      <t xml:space="preserve">There is also an optional </t>
    </r>
    <r>
      <rPr>
        <b/>
        <sz val="10"/>
        <color rgb="FF000000"/>
        <rFont val="Arial"/>
        <family val="2"/>
      </rPr>
      <t>fieldName</t>
    </r>
    <r>
      <rPr>
        <sz val="10"/>
        <color rgb="FF000000"/>
        <rFont val="Arial"/>
        <family val="2"/>
      </rPr>
      <t xml:space="preserve"> argument that, if present, denotes the unique field name in the menu</t>
    </r>
  </si>
  <si>
    <t>Add('MENU', STRING DText, STRING menuName, {STRING fieldName})</t>
  </si>
  <si>
    <r>
      <t xml:space="preserve">Append a MENU (pullright) field with </t>
    </r>
    <r>
      <rPr>
        <b/>
        <sz val="10"/>
        <color rgb="FF000000"/>
        <rFont val="Arial"/>
        <family val="2"/>
      </rPr>
      <t>Dtext</t>
    </r>
    <r>
      <rPr>
        <sz val="10"/>
        <color rgb="FF000000"/>
        <rFont val="Arial"/>
        <family val="2"/>
      </rPr>
      <t>, which may contain multi-byte characters, but which cannot be NULL or blank.</t>
    </r>
  </si>
  <si>
    <r>
      <t>menuName</t>
    </r>
    <r>
      <rPr>
        <sz val="10"/>
        <color rgb="FF000000"/>
        <rFont val="Arial"/>
        <family val="2"/>
      </rPr>
      <t xml:space="preserve"> gives the pullright menu name, which may be NULL but may not be blank.</t>
    </r>
  </si>
  <si>
    <t>Add('TOGGLE', STRING Dtext, STRING callback, {STRING fieldName})</t>
  </si>
  <si>
    <r>
      <t xml:space="preserve">Append a TOGGLE field with </t>
    </r>
    <r>
      <rPr>
        <b/>
        <sz val="10"/>
        <color rgb="FF000000"/>
        <rFont val="Arial"/>
        <family val="2"/>
      </rPr>
      <t>Dtext</t>
    </r>
    <r>
      <rPr>
        <sz val="10"/>
        <color rgb="FF000000"/>
        <rFont val="Arial"/>
        <family val="2"/>
      </rPr>
      <t>, which may contain multi-byte characters, but which cannot be NULL or blank.</t>
    </r>
  </si>
  <si>
    <r>
      <t xml:space="preserve">The argument </t>
    </r>
    <r>
      <rPr>
        <b/>
        <sz val="10"/>
        <color rgb="FF000000"/>
        <rFont val="Arial"/>
        <family val="2"/>
      </rPr>
      <t xml:space="preserve">callback </t>
    </r>
    <r>
      <rPr>
        <sz val="10"/>
        <color rgb="FF000000"/>
        <rFont val="Arial"/>
        <family val="2"/>
      </rPr>
      <t>gives the callback command, which must be an open PML function.</t>
    </r>
  </si>
  <si>
    <t>Removes all menu fields from the menu.</t>
  </si>
  <si>
    <t>Clear(STRING  Dtext)</t>
  </si>
  <si>
    <r>
      <t xml:space="preserve">Removes menu fields starting with the one that matches </t>
    </r>
    <r>
      <rPr>
        <b/>
        <sz val="10"/>
        <color rgb="FF000000"/>
        <rFont val="Arial"/>
        <family val="2"/>
      </rPr>
      <t>Dtext</t>
    </r>
    <r>
      <rPr>
        <sz val="10"/>
        <color rgb="FF000000"/>
        <rFont val="Arial"/>
        <family val="2"/>
      </rPr>
      <t xml:space="preserve"> onwards.</t>
    </r>
  </si>
  <si>
    <t>Using  this  method  is deprecated</t>
  </si>
  <si>
    <t xml:space="preserve">FieldProperty(STRING menuField, </t>
  </si>
  <si>
    <r>
      <t xml:space="preserve">Get the value of the property named in </t>
    </r>
    <r>
      <rPr>
        <b/>
        <sz val="10"/>
        <color rgb="FF000000"/>
        <rFont val="Arial"/>
        <family val="2"/>
      </rPr>
      <t>property</t>
    </r>
    <r>
      <rPr>
        <sz val="10"/>
        <color rgb="FF000000"/>
        <rFont val="Arial"/>
        <family val="2"/>
      </rPr>
      <t xml:space="preserve"> for the menu field named in </t>
    </r>
    <r>
      <rPr>
        <b/>
        <sz val="10"/>
        <color rgb="FF000000"/>
        <rFont val="Arial"/>
        <family val="2"/>
      </rPr>
      <t>menuField</t>
    </r>
    <r>
      <rPr>
        <sz val="10"/>
        <color rgb="FF000000"/>
        <rFont val="Arial"/>
        <family val="2"/>
      </rPr>
      <t>.</t>
    </r>
  </si>
  <si>
    <r>
      <t xml:space="preserve">The allowed values for </t>
    </r>
    <r>
      <rPr>
        <b/>
        <sz val="10"/>
        <color rgb="FF000000"/>
        <rFont val="Arial"/>
        <family val="2"/>
      </rPr>
      <t>property</t>
    </r>
    <r>
      <rPr>
        <sz val="10"/>
        <color rgb="FF000000"/>
        <rFont val="Arial"/>
        <family val="2"/>
      </rPr>
      <t xml:space="preserve"> are ‘ACTIVE’, ‘VISIBLE’, or ‘SELECTED’.</t>
    </r>
  </si>
  <si>
    <t>Returns menu object's full name, for example:</t>
  </si>
  <si>
    <t>‘!!Form.Menu’.</t>
  </si>
  <si>
    <t>InsertAfter(STRING menuField, ‘CALLBACK’, STRING Dtext, STRING callback, {STRING fieldName})</t>
  </si>
  <si>
    <r>
      <t xml:space="preserve">Insert a CALLBACK field with </t>
    </r>
    <r>
      <rPr>
        <b/>
        <sz val="10"/>
        <color rgb="FF000000"/>
        <rFont val="Arial"/>
        <family val="2"/>
      </rPr>
      <t>Dtext</t>
    </r>
    <r>
      <rPr>
        <sz val="10"/>
        <color rgb="FF000000"/>
        <rFont val="Arial"/>
        <family val="2"/>
      </rPr>
      <t xml:space="preserve">, which may contain multi-byte characters, but which cannot be NULL or blank, immediately after the menu field identified by </t>
    </r>
    <r>
      <rPr>
        <b/>
        <sz val="10"/>
        <color rgb="FF000000"/>
        <rFont val="Arial"/>
        <family val="2"/>
      </rPr>
      <t>menuField</t>
    </r>
    <r>
      <rPr>
        <sz val="10"/>
        <color rgb="FF000000"/>
        <rFont val="Arial"/>
        <family val="2"/>
      </rPr>
      <t>.</t>
    </r>
  </si>
  <si>
    <t>InsertAfter(STRING menuField, ‘FORM’, STRING Dtext, STRING formName, {STRING fieldName})</t>
  </si>
  <si>
    <r>
      <t xml:space="preserve">Insert a FORM display field with </t>
    </r>
    <r>
      <rPr>
        <b/>
        <sz val="10"/>
        <color rgb="FF000000"/>
        <rFont val="Arial"/>
        <family val="2"/>
      </rPr>
      <t>Dtext</t>
    </r>
    <r>
      <rPr>
        <sz val="10"/>
        <color rgb="FF000000"/>
        <rFont val="Arial"/>
        <family val="2"/>
      </rPr>
      <t xml:space="preserve">, which may contain multi-byte characters, but which cannot be NULL or blank, immediately after the menu field identified by </t>
    </r>
    <r>
      <rPr>
        <b/>
        <sz val="10"/>
        <color rgb="FF000000"/>
        <rFont val="Arial"/>
        <family val="2"/>
      </rPr>
      <t>menuField</t>
    </r>
    <r>
      <rPr>
        <sz val="10"/>
        <color rgb="FF000000"/>
        <rFont val="Arial"/>
        <family val="2"/>
      </rPr>
      <t>.</t>
    </r>
  </si>
  <si>
    <r>
      <t xml:space="preserve">The argument </t>
    </r>
    <r>
      <rPr>
        <b/>
        <sz val="10"/>
        <color rgb="FF000000"/>
        <rFont val="Arial"/>
        <family val="2"/>
      </rPr>
      <t xml:space="preserve">formName </t>
    </r>
    <r>
      <rPr>
        <sz val="10"/>
        <color rgb="FF000000"/>
        <rFont val="Arial"/>
        <family val="2"/>
      </rPr>
      <t>gives the name of the form.</t>
    </r>
  </si>
  <si>
    <t>InsertAfter(STRING menuField, ‘MENU’, STRING Dtext, STRING menuName, {STRING fieldName})</t>
  </si>
  <si>
    <r>
      <t xml:space="preserve">Insert a MENU (pullright) field with </t>
    </r>
    <r>
      <rPr>
        <b/>
        <sz val="10"/>
        <color rgb="FF000000"/>
        <rFont val="Arial"/>
        <family val="2"/>
      </rPr>
      <t>Dtext</t>
    </r>
    <r>
      <rPr>
        <sz val="10"/>
        <color rgb="FF000000"/>
        <rFont val="Arial"/>
        <family val="2"/>
      </rPr>
      <t xml:space="preserve">, which may contain multi-byte characters, but which cannot be NULL or blank, immediately after the menu field identified by </t>
    </r>
    <r>
      <rPr>
        <b/>
        <sz val="10"/>
        <color rgb="FF000000"/>
        <rFont val="Arial"/>
        <family val="2"/>
      </rPr>
      <t>menuField</t>
    </r>
    <r>
      <rPr>
        <sz val="10"/>
        <color rgb="FF000000"/>
        <rFont val="Arial"/>
        <family val="2"/>
      </rPr>
      <t>.</t>
    </r>
  </si>
  <si>
    <r>
      <t xml:space="preserve">The argument </t>
    </r>
    <r>
      <rPr>
        <b/>
        <sz val="10"/>
        <color rgb="FF000000"/>
        <rFont val="Arial"/>
        <family val="2"/>
      </rPr>
      <t xml:space="preserve">menuName </t>
    </r>
    <r>
      <rPr>
        <sz val="10"/>
        <color rgb="FF000000"/>
        <rFont val="Arial"/>
        <family val="2"/>
      </rPr>
      <t>gives the name of the form.</t>
    </r>
  </si>
  <si>
    <t>InsertAfter(STRING menuField, ‘TOGGLE’, STRING Dtext, STRING menuName, {STRING fieldName})</t>
  </si>
  <si>
    <r>
      <t xml:space="preserve">Append TOGGLE field with </t>
    </r>
    <r>
      <rPr>
        <b/>
        <sz val="10"/>
        <color rgb="FF000000"/>
        <rFont val="Arial"/>
        <family val="2"/>
      </rPr>
      <t>Dtext</t>
    </r>
    <r>
      <rPr>
        <sz val="10"/>
        <color rgb="FF000000"/>
        <rFont val="Arial"/>
        <family val="2"/>
      </rPr>
      <t xml:space="preserve">, which may contain multi-byte characters, but which cannot be NULL or blank, immediately after the menu field identified by </t>
    </r>
    <r>
      <rPr>
        <b/>
        <sz val="10"/>
        <color rgb="FF000000"/>
        <rFont val="Arial"/>
        <family val="2"/>
      </rPr>
      <t>menuField</t>
    </r>
    <r>
      <rPr>
        <sz val="10"/>
        <color rgb="FF000000"/>
        <rFont val="Arial"/>
        <family val="2"/>
      </rPr>
      <t>.</t>
    </r>
  </si>
  <si>
    <t xml:space="preserve">InsertAfter(STRING menuField, </t>
  </si>
  <si>
    <t>‘SEPARATOR’, {STRING fieldName})</t>
  </si>
  <si>
    <r>
      <t xml:space="preserve">Append a SEPARATOR field immediately after the menu field identified by </t>
    </r>
    <r>
      <rPr>
        <b/>
        <sz val="10"/>
        <color rgb="FF000000"/>
        <rFont val="Arial"/>
        <family val="2"/>
      </rPr>
      <t>menuField</t>
    </r>
    <r>
      <rPr>
        <sz val="10"/>
        <color rgb="FF000000"/>
        <rFont val="Arial"/>
        <family val="2"/>
      </rPr>
      <t>.</t>
    </r>
  </si>
  <si>
    <t>InsertBefore(STRING menuField, ‘CALLBACK’, STRING Dtext, STRING callback, {STRING fieldName})</t>
  </si>
  <si>
    <r>
      <t xml:space="preserve">Insert a CALLBACK field with </t>
    </r>
    <r>
      <rPr>
        <b/>
        <sz val="10"/>
        <color rgb="FF000000"/>
        <rFont val="Arial"/>
        <family val="2"/>
      </rPr>
      <t>Dtext</t>
    </r>
    <r>
      <rPr>
        <sz val="10"/>
        <color rgb="FF000000"/>
        <rFont val="Arial"/>
        <family val="2"/>
      </rPr>
      <t xml:space="preserve">, which may contain multi-byte characters, but which cannot be NULL or blank, immediately before the menu field identified by </t>
    </r>
    <r>
      <rPr>
        <b/>
        <sz val="10"/>
        <color rgb="FF000000"/>
        <rFont val="Arial"/>
        <family val="2"/>
      </rPr>
      <t>menuField</t>
    </r>
    <r>
      <rPr>
        <sz val="10"/>
        <color rgb="FF000000"/>
        <rFont val="Arial"/>
        <family val="2"/>
      </rPr>
      <t>.</t>
    </r>
  </si>
  <si>
    <t>InsertBefore(STRING menuField, ‘FORM’, STRING Dtext, STRING formName, {STRING fieldName})</t>
  </si>
  <si>
    <r>
      <t xml:space="preserve">Insert a FORM display field with </t>
    </r>
    <r>
      <rPr>
        <b/>
        <sz val="10"/>
        <color rgb="FF000000"/>
        <rFont val="Arial"/>
        <family val="2"/>
      </rPr>
      <t>Dtext</t>
    </r>
    <r>
      <rPr>
        <sz val="10"/>
        <color rgb="FF000000"/>
        <rFont val="Arial"/>
        <family val="2"/>
      </rPr>
      <t xml:space="preserve">, which may contain multi-byte characters, but which cannot be NULL or blank, immediately before the menu field identified by </t>
    </r>
    <r>
      <rPr>
        <b/>
        <sz val="10"/>
        <color rgb="FF000000"/>
        <rFont val="Arial"/>
        <family val="2"/>
      </rPr>
      <t>menuField</t>
    </r>
    <r>
      <rPr>
        <sz val="10"/>
        <color rgb="FF000000"/>
        <rFont val="Arial"/>
        <family val="2"/>
      </rPr>
      <t>.</t>
    </r>
  </si>
  <si>
    <t>InsertBefore(STRING menuField, ‘MENU’, STRING Dtext, STRING menuName, {STRING fieldName})</t>
  </si>
  <si>
    <r>
      <t xml:space="preserve">Insert a MENU (pullright) field with </t>
    </r>
    <r>
      <rPr>
        <b/>
        <sz val="10"/>
        <color rgb="FF000000"/>
        <rFont val="Arial"/>
        <family val="2"/>
      </rPr>
      <t>Dtext</t>
    </r>
    <r>
      <rPr>
        <sz val="10"/>
        <color rgb="FF000000"/>
        <rFont val="Arial"/>
        <family val="2"/>
      </rPr>
      <t xml:space="preserve">, which may contain multi-byte characters, but which cannot be NULL or blank, immediately before the menu field identified by </t>
    </r>
    <r>
      <rPr>
        <b/>
        <sz val="10"/>
        <color rgb="FF000000"/>
        <rFont val="Arial"/>
        <family val="2"/>
      </rPr>
      <t>menuField</t>
    </r>
    <r>
      <rPr>
        <sz val="10"/>
        <color rgb="FF000000"/>
        <rFont val="Arial"/>
        <family val="2"/>
      </rPr>
      <t>.</t>
    </r>
  </si>
  <si>
    <t>InsertBefore(STRING menuField, ‘TOGGLE’, STRING Dtext, STRING menuName, {STRING fieldName})</t>
  </si>
  <si>
    <r>
      <t xml:space="preserve">Append TOGGLE field with </t>
    </r>
    <r>
      <rPr>
        <b/>
        <sz val="10"/>
        <color rgb="FF000000"/>
        <rFont val="Arial"/>
        <family val="2"/>
      </rPr>
      <t>Dtext</t>
    </r>
    <r>
      <rPr>
        <sz val="10"/>
        <color rgb="FF000000"/>
        <rFont val="Arial"/>
        <family val="2"/>
      </rPr>
      <t xml:space="preserve">, which may contain multi-byte characters, but which cannot be NULL or blank, immediately before the menu field identified by </t>
    </r>
    <r>
      <rPr>
        <b/>
        <sz val="10"/>
        <color rgb="FF000000"/>
        <rFont val="Arial"/>
        <family val="2"/>
      </rPr>
      <t>menuField</t>
    </r>
    <r>
      <rPr>
        <sz val="10"/>
        <color rgb="FF000000"/>
        <rFont val="Arial"/>
        <family val="2"/>
      </rPr>
      <t>.</t>
    </r>
  </si>
  <si>
    <t xml:space="preserve">InsertBefore(STRING menField, </t>
  </si>
  <si>
    <r>
      <t xml:space="preserve">Append a SEPARATOR field immediately before the menu field identified by </t>
    </r>
    <r>
      <rPr>
        <b/>
        <sz val="10"/>
        <color rgb="FF000000"/>
        <rFont val="Arial"/>
        <family val="2"/>
      </rPr>
      <t>menuField</t>
    </r>
    <r>
      <rPr>
        <sz val="10"/>
        <color rgb="FF000000"/>
        <rFont val="Arial"/>
        <family val="2"/>
      </rPr>
      <t>.</t>
    </r>
  </si>
  <si>
    <t>Returns menu object's simple name, for example:</t>
  </si>
  <si>
    <t>'Menu'.</t>
  </si>
  <si>
    <t xml:space="preserve"> FORM</t>
  </si>
  <si>
    <t>Returns reference to owning form.</t>
  </si>
  <si>
    <t>PopupGadget()</t>
  </si>
  <si>
    <t>Returns the name of the gadget that popped up the menu. The value is unset if the menu was not popped up by a gadget.</t>
  </si>
  <si>
    <t>Select(STRING Dtext, BOOLEAN  status)</t>
  </si>
  <si>
    <t xml:space="preserve">NO RESULT </t>
  </si>
  <si>
    <r>
      <t xml:space="preserve">Set the selected status of TOGGLE field identified by </t>
    </r>
    <r>
      <rPr>
        <b/>
        <sz val="10"/>
        <color rgb="FF000000"/>
        <rFont val="Arial"/>
        <family val="2"/>
      </rPr>
      <t>Dtext</t>
    </r>
    <r>
      <rPr>
        <sz val="10"/>
        <color rgb="FF000000"/>
        <rFont val="Arial"/>
        <family val="2"/>
      </rPr>
      <t xml:space="preserve"> to the value of </t>
    </r>
    <r>
      <rPr>
        <b/>
        <sz val="10"/>
        <color rgb="FF000000"/>
        <rFont val="Arial"/>
        <family val="2"/>
      </rPr>
      <t>status</t>
    </r>
    <r>
      <rPr>
        <sz val="10"/>
        <color rgb="FF000000"/>
        <rFont val="Arial"/>
        <family val="2"/>
      </rPr>
      <t>.</t>
    </r>
  </si>
  <si>
    <t>Using  this  method  is deprecated.</t>
  </si>
  <si>
    <t>Selected( STRING Dtext )</t>
  </si>
  <si>
    <r>
      <t xml:space="preserve">Get selected status of the TOGGLE field identified by </t>
    </r>
    <r>
      <rPr>
        <b/>
        <sz val="10"/>
        <color rgb="FF000000"/>
        <rFont val="Arial"/>
        <family val="2"/>
      </rPr>
      <t>Dtext</t>
    </r>
    <r>
      <rPr>
        <sz val="10"/>
        <color rgb="FF000000"/>
        <rFont val="Arial"/>
        <family val="2"/>
      </rPr>
      <t>.</t>
    </r>
  </si>
  <si>
    <t>SetActive(STRING Dtext, BOOLEAN  active)</t>
  </si>
  <si>
    <r>
      <t xml:space="preserve">Set the active status of the menu field identified by </t>
    </r>
    <r>
      <rPr>
        <b/>
        <sz val="10"/>
        <color rgb="FF000000"/>
        <rFont val="Arial"/>
        <family val="2"/>
      </rPr>
      <t>Dtext</t>
    </r>
    <r>
      <rPr>
        <sz val="10"/>
        <color rgb="FF000000"/>
        <rFont val="Arial"/>
        <family val="2"/>
      </rPr>
      <t>.</t>
    </r>
  </si>
  <si>
    <t xml:space="preserve">SetFieldProperty(STRING menuField , STRING property, </t>
  </si>
  <si>
    <t>BOOLEAN value)</t>
  </si>
  <si>
    <r>
      <t xml:space="preserve">Set the value of </t>
    </r>
    <r>
      <rPr>
        <b/>
        <sz val="10"/>
        <color rgb="FF000000"/>
        <rFont val="Arial"/>
        <family val="2"/>
      </rPr>
      <t xml:space="preserve">property </t>
    </r>
    <r>
      <rPr>
        <sz val="10"/>
        <color rgb="FF000000"/>
        <rFont val="Arial"/>
        <family val="2"/>
      </rPr>
      <t xml:space="preserve">with </t>
    </r>
    <r>
      <rPr>
        <b/>
        <sz val="10"/>
        <color rgb="FF000000"/>
        <rFont val="Arial"/>
        <family val="2"/>
      </rPr>
      <t>value</t>
    </r>
    <r>
      <rPr>
        <sz val="10"/>
        <color rgb="FF000000"/>
        <rFont val="Arial"/>
        <family val="2"/>
      </rPr>
      <t xml:space="preserve">, for the menu field identified by </t>
    </r>
    <r>
      <rPr>
        <b/>
        <sz val="10"/>
        <color rgb="FF000000"/>
        <rFont val="Arial"/>
        <family val="2"/>
      </rPr>
      <t>menuField</t>
    </r>
    <r>
      <rPr>
        <sz val="10"/>
        <color rgb="FF000000"/>
        <rFont val="Arial"/>
        <family val="2"/>
      </rPr>
      <t>.</t>
    </r>
  </si>
  <si>
    <t>But see the note below for special cases when you use a SEPARATOR field.</t>
  </si>
  <si>
    <t>Table 2: 65.</t>
  </si>
  <si>
    <t>MENU Object Methods</t>
  </si>
  <si>
    <t>2.5.39</t>
  </si>
  <si>
    <t>NUMERICINPUT Object</t>
  </si>
  <si>
    <t>REALGet/Set</t>
  </si>
  <si>
    <t>Value of the numeric input. Gets adjusted to the nearest value in the range.</t>
  </si>
  <si>
    <t>range</t>
  </si>
  <si>
    <t>REAL ARRAYGet/Set</t>
  </si>
  <si>
    <t>Range: Start, End and Step(&gt;0) as reals.</t>
  </si>
  <si>
    <t>ndp</t>
  </si>
  <si>
    <t>REALReadonly</t>
  </si>
  <si>
    <t>Integer number of decimal places to be displayed. 0 means integer values.</t>
  </si>
  <si>
    <t>modifiedEvents</t>
  </si>
  <si>
    <t>BOOLEANGet/Set</t>
  </si>
  <si>
    <t>Enable/disable modified events.</t>
  </si>
  <si>
    <t>editable</t>
  </si>
  <si>
    <t>Enable/disable editing of the displayed value.</t>
  </si>
  <si>
    <t>Table 2: 66.</t>
  </si>
  <si>
    <t>NUMERICINPUT Object Members</t>
  </si>
  <si>
    <t>setRange( !range, !ndp )</t>
  </si>
  <si>
    <t>Set the range and number of decimal places. !range is an array of REAL, defining the min, max and step (&gt;0) values. !NDP&lt;0 leaves the current value unchanged.</t>
  </si>
  <si>
    <t>Table 2: 67.</t>
  </si>
  <si>
    <t>NUMERICINPUT Object Methods</t>
  </si>
  <si>
    <t>.-------&lt;-------------------.</t>
  </si>
  <si>
    <t>+- &lt;fgpos&gt; -------------------|</t>
  </si>
  <si>
    <t>+- &lt;fganch&gt; ------------------|</t>
  </si>
  <si>
    <t>+- CALLback text -------------|</t>
  </si>
  <si>
    <t>2.5.40</t>
  </si>
  <si>
    <t>Method</t>
  </si>
  <si>
    <t>GetPathName()</t>
  </si>
  <si>
    <t>Extracts the pathname for a file in the PMLLIB searchpath.</t>
  </si>
  <si>
    <t>Table 2: 68.</t>
  </si>
  <si>
    <t>PML Object Methods</t>
  </si>
  <si>
    <t>2.5.41</t>
  </si>
  <si>
    <t>OPTION Gadget</t>
  </si>
  <si>
    <t xml:space="preserve">STRING </t>
  </si>
  <si>
    <t xml:space="preserve">STRING Get Only </t>
  </si>
  <si>
    <t>Table 2: 69.</t>
  </si>
  <si>
    <t>OPTION Gadget Members</t>
  </si>
  <si>
    <t>Table 2: 70.</t>
  </si>
  <si>
    <t>OPTION Gadget Methods</t>
  </si>
  <si>
    <t>2.5.42</t>
  </si>
  <si>
    <t>ORIENTATION Object</t>
  </si>
  <si>
    <t xml:space="preserve">Alpha </t>
  </si>
  <si>
    <t>The Alpha component.</t>
  </si>
  <si>
    <t xml:space="preserve">Beta </t>
  </si>
  <si>
    <t>The Beta component.</t>
  </si>
  <si>
    <t xml:space="preserve">Gamma </t>
  </si>
  <si>
    <t>The Gamma component.</t>
  </si>
  <si>
    <t xml:space="preserve">DBREF </t>
  </si>
  <si>
    <t>The DB element which is the origin.</t>
  </si>
  <si>
    <t>Table 2: 71.</t>
  </si>
  <si>
    <t>ORIENTATION Object Members</t>
  </si>
  <si>
    <t>Orientation( STRING)</t>
  </si>
  <si>
    <t>Creates an ORIENTATION from the values given.</t>
  </si>
  <si>
    <t xml:space="preserve">Orientation( STRING, FORMAT ) </t>
  </si>
  <si>
    <t>Creates an ORIENTATION from the values given, in the specified FORMAT.</t>
  </si>
  <si>
    <t>EQ(ORIENTATION)</t>
  </si>
  <si>
    <t>TRUE if ORIENTATIONS are equal.</t>
  </si>
  <si>
    <t xml:space="preserve">LT(ORIENTATION) </t>
  </si>
  <si>
    <t>TRUE if ORIENTATION is less than argument.</t>
  </si>
  <si>
    <t>Convert ORIENTATION to a STRING.</t>
  </si>
  <si>
    <t xml:space="preserve">WRT(DBREF)  </t>
  </si>
  <si>
    <t>Convert to a new ORIENTATION with respect to given DB element.</t>
  </si>
  <si>
    <t xml:space="preserve">XDir() </t>
  </si>
  <si>
    <t>Return X axis direction of the ORIENTATION as a</t>
  </si>
  <si>
    <t>DIRECTION.</t>
  </si>
  <si>
    <t xml:space="preserve">YDir() </t>
  </si>
  <si>
    <t>Return Y axis direction of the ORIENTATION as a</t>
  </si>
  <si>
    <t xml:space="preserve">ZDir() </t>
  </si>
  <si>
    <t>Return Z axis direction of the</t>
  </si>
  <si>
    <t>ORIENTATION  as  a</t>
  </si>
  <si>
    <t xml:space="preserve">DIRECTION </t>
  </si>
  <si>
    <t>Table 2: 72.</t>
  </si>
  <si>
    <t>ORIENTATION Object Methods</t>
  </si>
  <si>
    <t>2.5.43</t>
  </si>
  <si>
    <t>PARAGRAPH Gadget</t>
  </si>
  <si>
    <t>The paragraph's textual content as a string.</t>
  </si>
  <si>
    <t>If it has a pixmap then the value will be the pathname of the pixmap file as a string.</t>
  </si>
  <si>
    <t>Set or get Background Colour Number.</t>
  </si>
  <si>
    <t>Set  Background  Colour Name.</t>
  </si>
  <si>
    <t>Table 2: 73.</t>
  </si>
  <si>
    <t>PARAGPRAPH Object Members</t>
  </si>
  <si>
    <t>AddPixmap(STRING)</t>
  </si>
  <si>
    <t>AddPixmap(STRING, STRING)</t>
  </si>
  <si>
    <t xml:space="preserve">AddPixmap(STRING, STRING, </t>
  </si>
  <si>
    <t xml:space="preserve">Adds pixmaps to be used for the unselected, selected and inactive states. </t>
  </si>
  <si>
    <t>SetPopup (MENU)</t>
  </si>
  <si>
    <t>Get the GADGET type as a string.</t>
  </si>
  <si>
    <t>Table 2: 74.</t>
  </si>
  <si>
    <t>PARAGPRAPH Object Methods</t>
  </si>
  <si>
    <t>It is bad practice to place one gadget on top of another. This may lead to gadgets being obscured.</t>
  </si>
  <si>
    <t>2.5.44</t>
  </si>
  <si>
    <t xml:space="preserve">PLANE Object </t>
  </si>
  <si>
    <t>Orientation of plane.</t>
  </si>
  <si>
    <t>Origin of plane.</t>
  </si>
  <si>
    <t>Table 2: 75.</t>
  </si>
  <si>
    <t>PLANE Object Members</t>
  </si>
  <si>
    <t>Plane(POSITION, ORIENTATION)</t>
  </si>
  <si>
    <t>Creates a PLANE with the given POSITION and ORIENTATION.</t>
  </si>
  <si>
    <t>Returns the plane as a string.</t>
  </si>
  <si>
    <t>Direction(DIRECTION)</t>
  </si>
  <si>
    <t>Z component of the orientation uses standard PDMS method of maintaining X and Y components of the orientation.</t>
  </si>
  <si>
    <t>Towards(POSITION)</t>
  </si>
  <si>
    <t>Modifies the direction (Z component of the orientation) member of the plane so it is directed to the position.</t>
  </si>
  <si>
    <t>Table 2: 76.</t>
  </si>
  <si>
    <t>PLANE Object Definition Methods</t>
  </si>
  <si>
    <t>PLANE Object: Methods that Return POSITIONs</t>
  </si>
  <si>
    <t>Intersection(LINE)</t>
  </si>
  <si>
    <t>Returns the intersection point of the passed infinite line on the plane definition.</t>
  </si>
  <si>
    <t>Intersection(POINT</t>
  </si>
  <si>
    <t>VECTOR)</t>
  </si>
  <si>
    <t>Returns the intersection point of the passed point vector on the plane definition.</t>
  </si>
  <si>
    <t>Returns the intersection point of the passed arc on the plane definition.</t>
  </si>
  <si>
    <t>Intersection(PLANE, PLANE)</t>
  </si>
  <si>
    <t>Returns intersection position of the three planes.</t>
  </si>
  <si>
    <t>PointVector()</t>
  </si>
  <si>
    <t>POINT-</t>
  </si>
  <si>
    <t>VECTOR</t>
  </si>
  <si>
    <t>Returns a point vector at the origin of the plane with a direction equal to the normal of the plane.</t>
  </si>
  <si>
    <t>ThreeDPosition(XYPOSITION)</t>
  </si>
  <si>
    <t>Returns 3D position of the XYPOSITION offset from the plane origin.</t>
  </si>
  <si>
    <t>Returns the nearest position on the plane definition of the passed position.</t>
  </si>
  <si>
    <t>Table 2: 77.</t>
  </si>
  <si>
    <t>PLANE Object Methods that Return POSITIONs</t>
  </si>
  <si>
    <t>PLANE Object: Methods that Return LINEs</t>
  </si>
  <si>
    <t>Line(REAL)</t>
  </si>
  <si>
    <t>Returns a line of the given length in the direction of the plane normal.</t>
  </si>
  <si>
    <t>Intersection(PLANE)</t>
  </si>
  <si>
    <t>Returns the intersection line of the passed plane on the plane definition. The start position of the line is the origin of the plane definition projected onto the passed plane. The direction of the line is from the start to the position of the passed plane projected onto the reference plane. If the start and end points are coincident, a line of length 1000mm is returned with the start position being defined as described above.</t>
  </si>
  <si>
    <t>Table 2: 78.</t>
  </si>
  <si>
    <t>PLANE Object Methods that Return LINEs</t>
  </si>
  <si>
    <t>PLANE Object: Methods that Return XYOffsets</t>
  </si>
  <si>
    <t>XYOffset(Position)</t>
  </si>
  <si>
    <t>XYPOSITIO</t>
  </si>
  <si>
    <t>Returns  the  position, mapped onto the plane, in term of an XY offset from the plane origin.</t>
  </si>
  <si>
    <t>2.5.45</t>
  </si>
  <si>
    <t>PLANTGRID Object</t>
  </si>
  <si>
    <t>Origin of the grid.</t>
  </si>
  <si>
    <t>Orientation of the grid.</t>
  </si>
  <si>
    <t>XSpacings</t>
  </si>
  <si>
    <t>Array of spaces in the X direction, each space is relative to the previous.</t>
  </si>
  <si>
    <t>YSpacings</t>
  </si>
  <si>
    <t>Array of spaces in the Y direction, each space is relative to the previous.</t>
  </si>
  <si>
    <t xml:space="preserve">Plantgrid(POSITION, </t>
  </si>
  <si>
    <t>ORIENTATION, ARRAY, ARRAY )</t>
  </si>
  <si>
    <t>Creates a grid with the given</t>
  </si>
  <si>
    <t>POSITION  and</t>
  </si>
  <si>
    <t>ORIENTATION, and the X and Y spacings specified in the arrays.</t>
  </si>
  <si>
    <t>Xsize()</t>
  </si>
  <si>
    <t>Maximum size in the X direction.</t>
  </si>
  <si>
    <t>Ysize()</t>
  </si>
  <si>
    <t>Maximum size in the Y direction.</t>
  </si>
  <si>
    <t>OutofBounds(POSITION)</t>
  </si>
  <si>
    <t>Returns whether point lies within the grid boundaries.</t>
  </si>
  <si>
    <t>Table 2: 80.</t>
  </si>
  <si>
    <t>PLANTGRID Object Methods</t>
  </si>
  <si>
    <t>2.5.46</t>
  </si>
  <si>
    <t>PLATFORMGRID</t>
  </si>
  <si>
    <t>ASSIGN(PLATFORMGRID)</t>
  </si>
  <si>
    <t>Copies content of a PLATFORMGRID object</t>
  </si>
  <si>
    <t>into current instance</t>
  </si>
  <si>
    <t>GRIDANGLE()</t>
  </si>
  <si>
    <t>Returns  the  used  grid angle value</t>
  </si>
  <si>
    <t>GRIDANGLE(REAL)</t>
  </si>
  <si>
    <t>Sets grid angle value</t>
  </si>
  <si>
    <t>GRIDPOINT(REAL1, REAL2)</t>
  </si>
  <si>
    <t>Returns position of the intersection of gridlines: X</t>
  </si>
  <si>
    <t xml:space="preserve">(identified by given index REAL1) and Y (identified by given index  -REAL2) </t>
  </si>
  <si>
    <t>GRIDPOSITION()</t>
  </si>
  <si>
    <t>Returns the grid's origin</t>
  </si>
  <si>
    <t>GRIDXSPACINGS()</t>
  </si>
  <si>
    <t>Returns the grid's spacing pattern along X axe</t>
  </si>
  <si>
    <t>GRIDXSPACINGS(ARRAY)</t>
  </si>
  <si>
    <t>Sets the grid's spacing pattern along X axe</t>
  </si>
  <si>
    <t>GRIDXYPOSITION()</t>
  </si>
  <si>
    <t>Returns position of grid's origin</t>
  </si>
  <si>
    <t>GRIDXYPOSITION(XYPOSITION)</t>
  </si>
  <si>
    <t>Sets the position of grid</t>
  </si>
  <si>
    <t>GRIDXYSIZE()</t>
  </si>
  <si>
    <t>Returns the size of rectangle which contains the grid</t>
  </si>
  <si>
    <t>GRIDYSPACINGS()</t>
  </si>
  <si>
    <t>Returns the grid's spacing pattern along Y axe</t>
  </si>
  <si>
    <t>GRIDYSPACINGS(ARRAY)</t>
  </si>
  <si>
    <t>Sets the grid's spacing pattern along Y axe</t>
  </si>
  <si>
    <t>GROSSAREA()</t>
  </si>
  <si>
    <t>Returns the gross area of the grid</t>
  </si>
  <si>
    <t>NETAREA()</t>
  </si>
  <si>
    <t>Returns the net area of the grid</t>
  </si>
  <si>
    <t>ORIENTATION()</t>
  </si>
  <si>
    <t>Returns  the  platform's</t>
  </si>
  <si>
    <t>orientation</t>
  </si>
  <si>
    <t>ORIENTATION(ORIENTATION)</t>
  </si>
  <si>
    <t>Sets  the  platform's</t>
  </si>
  <si>
    <t>orientation for given value</t>
  </si>
  <si>
    <t>PLANE()</t>
  </si>
  <si>
    <t>Return the plane definition of platform grid. This is equivalent of PLANE method on PROFILE</t>
  </si>
  <si>
    <t>object</t>
  </si>
  <si>
    <t>PLATFORMGRID()</t>
  </si>
  <si>
    <t>Create  a  platformgrid object.</t>
  </si>
  <si>
    <t>PLATFORMGRID(DBREF)</t>
  </si>
  <si>
    <t>Creates a platformgrid from</t>
  </si>
  <si>
    <t>DBREF. DBREF must be PLTGRD or INTFRM element. The outer boundary is created from owning PLTFRM routing path (RPATH). Inner boundaries are created from PLOPEN elements</t>
  </si>
  <si>
    <t>POSITION()</t>
  </si>
  <si>
    <t>Returns position of the platform</t>
  </si>
  <si>
    <t>POSITION(POSITION)</t>
  </si>
  <si>
    <t>Sets the grid's position</t>
  </si>
  <si>
    <t>XYSIZE()</t>
  </si>
  <si>
    <t>Returns the size of rectangle (limits) which contains the grid in platform coordinate system</t>
  </si>
  <si>
    <t>ADDINNERBOUNDARY(PROFILE)</t>
  </si>
  <si>
    <t xml:space="preserve">Adds new inner boundary to the grid </t>
  </si>
  <si>
    <t>CLEARINNERBOUNDARY()</t>
  </si>
  <si>
    <t>Deletes all inner boundaries</t>
  </si>
  <si>
    <t>INNERBOUNDARIES()</t>
  </si>
  <si>
    <t>PROFILE ARRAY</t>
  </si>
  <si>
    <t>Returns  array  of  inner</t>
  </si>
  <si>
    <t>boundaries profiles</t>
  </si>
  <si>
    <t>INNERBOUNDARIES(ARRAY)</t>
  </si>
  <si>
    <t>Replaces  the  inner boundaries</t>
  </si>
  <si>
    <t>INNERBOUNDARY(REAL)</t>
  </si>
  <si>
    <t>Returns the profile of the inner boundary</t>
  </si>
  <si>
    <t>NUMBEROFINNERBOUNDARIES()</t>
  </si>
  <si>
    <t>Returns the number of</t>
  </si>
  <si>
    <t>grid's inner boundaries</t>
  </si>
  <si>
    <t>OUTERBOUNDARY()</t>
  </si>
  <si>
    <t>Returns the outer boundary</t>
  </si>
  <si>
    <t xml:space="preserve">profile </t>
  </si>
  <si>
    <t xml:space="preserve">CELLORIENTATION(REAL1, </t>
  </si>
  <si>
    <t>REAL2)</t>
  </si>
  <si>
    <t>Returns an orientation of cell identified by given index.</t>
  </si>
  <si>
    <t>CELLPOSITION(REAL1, REAL2)</t>
  </si>
  <si>
    <t>Returns a position of cell identified by given index</t>
  </si>
  <si>
    <t>CELLPROFILE(REAL1, REAL2)</t>
  </si>
  <si>
    <t>Returns a profile of cell identified by given index</t>
  </si>
  <si>
    <t>CELLSIZE(REAL1, REAL2)</t>
  </si>
  <si>
    <t>Returns the size of cell identified by given index (before trimming)</t>
  </si>
  <si>
    <t xml:space="preserve">CELLXYPOSITION(REAL1, </t>
  </si>
  <si>
    <t>Returns position of the cell identified by given index</t>
  </si>
  <si>
    <t xml:space="preserve">ISCELLTRIMMED(REAL1, </t>
  </si>
  <si>
    <t>BOOL</t>
  </si>
  <si>
    <t>Returns true if cell is trimmed</t>
  </si>
  <si>
    <t xml:space="preserve">ISCELLUNTRIMMED(REAL1, </t>
  </si>
  <si>
    <t>Returns true if cell is untrimmed</t>
  </si>
  <si>
    <t>ISCELLWITHIN(REAL1, REAL2)</t>
  </si>
  <si>
    <t>Returns true if cell is within grid</t>
  </si>
  <si>
    <t>LISTOFTRIMMEDCELLS()</t>
  </si>
  <si>
    <t>Returns indices of all trimmed cells</t>
  </si>
  <si>
    <t>LISTOFTRIMMEDCELLS(REAL)</t>
  </si>
  <si>
    <t>Returns indices of all trimmed cells which area is greater than given REAL value</t>
  </si>
  <si>
    <t>LISTOFUNTRIMMEDCELLS()</t>
  </si>
  <si>
    <t>Returns indices of all untrimmed cells</t>
  </si>
  <si>
    <t>TOTALNUMBEROFCELLS()</t>
  </si>
  <si>
    <t>Returns a number of cells inside grid</t>
  </si>
  <si>
    <t xml:space="preserve">TRIMMEDCELLSIZE(REAL1, </t>
  </si>
  <si>
    <t>Returns the size of rectangle which contains the cell identified by given index</t>
  </si>
  <si>
    <t>XGRIDLINES()</t>
  </si>
  <si>
    <t>Returns array of grid's x-lines</t>
  </si>
  <si>
    <t>XGRIDLINES(REAL)</t>
  </si>
  <si>
    <t>Returns array of grid's x-lines of given index</t>
  </si>
  <si>
    <t>YGRIDLINES()</t>
  </si>
  <si>
    <t>Returns array of grid's y-lines</t>
  </si>
  <si>
    <t>YGRIDLINES(REAL)</t>
  </si>
  <si>
    <t>Returns array of grid's y-lines of given index</t>
  </si>
  <si>
    <t>2.5.47</t>
  </si>
  <si>
    <t>PMLReport Object</t>
  </si>
  <si>
    <t>AddParameters(ARRAY argNames, ARRAY argValues)</t>
  </si>
  <si>
    <t>Adds parameters to report as 2 arrays of argument names and values, which will be used to generate a parameterised report.</t>
  </si>
  <si>
    <t>AddScope(STRING ancestorElements, STRING elements)</t>
  </si>
  <si>
    <t>Specify scope value to filter the data given by comma separated list of ancestor elements and comma separated list of elements.</t>
  </si>
  <si>
    <t xml:space="preserve">AddScope(STRING ancestorElements, STRING </t>
  </si>
  <si>
    <t xml:space="preserve">elements, </t>
  </si>
  <si>
    <t xml:space="preserve">BOOLEAN fully, </t>
  </si>
  <si>
    <t xml:space="preserve">REAL minX, </t>
  </si>
  <si>
    <t xml:space="preserve">REAL minY, </t>
  </si>
  <si>
    <t xml:space="preserve">REAL minZ, </t>
  </si>
  <si>
    <t xml:space="preserve">REAL maxX, </t>
  </si>
  <si>
    <t xml:space="preserve">REAL maxY, </t>
  </si>
  <si>
    <t>REAL maxZ)</t>
  </si>
  <si>
    <t>No result</t>
  </si>
  <si>
    <t>Specify scope value to filter the data given by comma separated list of ancestor elements, comma separated list of elements, if limit box is specified then whether it should be considered fully or partially, to construct limit box minX, minY, minZ, maxX, maxY, maxZ.</t>
  </si>
  <si>
    <t>ExportAsCsv(STRING reportFileName, STRING destinationFilename)</t>
  </si>
  <si>
    <t>Export report to csv file</t>
  </si>
  <si>
    <t>ExportAsPdf(STRING reportFileName, STRING destinationFilename)</t>
  </si>
  <si>
    <t>Export report to pdf file</t>
  </si>
  <si>
    <t>ExportAsXlsx(STRING reportFileName, STRING destinationFilename)</t>
  </si>
  <si>
    <t>Export report to Xlsx file</t>
  </si>
  <si>
    <t>ExportAsXls(STRING reportFileName, STRING destinationFilename)</t>
  </si>
  <si>
    <t>Export report to Xls file</t>
  </si>
  <si>
    <t>InitializePrinterSetting</t>
  </si>
  <si>
    <t>()</t>
  </si>
  <si>
    <t>Initialise the printer settings</t>
  </si>
  <si>
    <t>OpenReportManager</t>
  </si>
  <si>
    <t>Opens report manager</t>
  </si>
  <si>
    <t>Print(STRING reportFileName)</t>
  </si>
  <si>
    <t>Print report with system defined printer settings passing name of</t>
  </si>
  <si>
    <t>report definition file</t>
  </si>
  <si>
    <t>PrintDirect(STRING reportFileName)</t>
  </si>
  <si>
    <t>Print report with user defined printer settings</t>
  </si>
  <si>
    <t>PublishToAVEVANET(STRING reportFileName, STRING pdfFilename)</t>
  </si>
  <si>
    <t>Publishes report to AVEVA NET in</t>
  </si>
  <si>
    <t>form of pdf file</t>
  </si>
  <si>
    <t>RemoveParameters()</t>
  </si>
  <si>
    <t>Removes the parameters applied to report</t>
  </si>
  <si>
    <t>RemoveScope()</t>
  </si>
  <si>
    <t>Removes the scope applied to report</t>
  </si>
  <si>
    <t>2.5.48</t>
  </si>
  <si>
    <t xml:space="preserve">PMLSECURELOGIN </t>
  </si>
  <si>
    <t>PMLSecureLogin( )</t>
  </si>
  <si>
    <t>PMLSECUR ELOGIN</t>
  </si>
  <si>
    <t>Construct an instance of this object</t>
  </si>
  <si>
    <t>EmbedMacro(BOOLEAN)</t>
  </si>
  <si>
    <t>Embed the specified macro</t>
  </si>
  <si>
    <t xml:space="preserve">HasLicenceToEmbedMacro( </t>
  </si>
  <si>
    <t>Returns TRUE if EmbedMacro functionality is available.</t>
  </si>
  <si>
    <t>Macro(STRING)</t>
  </si>
  <si>
    <t>Set the macro to run where</t>
  </si>
  <si>
    <t>STRING specifies the full path of the macro</t>
  </si>
  <si>
    <t>Sets the login MDB</t>
  </si>
  <si>
    <t>Password(STRING)</t>
  </si>
  <si>
    <t>Sets the login password</t>
  </si>
  <si>
    <t>Project(STRING)</t>
  </si>
  <si>
    <t>Sets the login project</t>
  </si>
  <si>
    <t>SaveToFile(STRING)</t>
  </si>
  <si>
    <t>Encrypt and save to specified path</t>
  </si>
  <si>
    <t>User(STRING)</t>
  </si>
  <si>
    <t>Sets the login user</t>
  </si>
  <si>
    <t>VerifyAfter(DATETIME)</t>
  </si>
  <si>
    <t>Verify after specified date</t>
  </si>
  <si>
    <t>VerifyBefore(DATETIME)</t>
  </si>
  <si>
    <t>Verify before specified date</t>
  </si>
  <si>
    <t>VerifyHostnames(ARRAY)</t>
  </si>
  <si>
    <t>Verify a number of host names</t>
  </si>
  <si>
    <t>specified as an array of strings</t>
  </si>
  <si>
    <t>VerifyWinusers(ARRAY)</t>
  </si>
  <si>
    <t>Verify a number of windows users specified as an array of strings</t>
  </si>
  <si>
    <t>Table 2: 81.</t>
  </si>
  <si>
    <t>PMLSECURELOGIN Object Method</t>
  </si>
  <si>
    <t>2.5.49</t>
  </si>
  <si>
    <t>PMLUSERLOGIN</t>
  </si>
  <si>
    <t>PMLUserLogin( )</t>
  </si>
  <si>
    <t>PMLUSERLO GIN</t>
  </si>
  <si>
    <t>STRING specifies the full path of</t>
  </si>
  <si>
    <t>the macro</t>
  </si>
  <si>
    <t>VerifyNonInteractive(BOO</t>
  </si>
  <si>
    <t>LEAN)</t>
  </si>
  <si>
    <t>If TRUE is passed, verify that no user interaction occurs after execution of the generated macro</t>
  </si>
  <si>
    <t>Table 2: 82.</t>
  </si>
  <si>
    <t>PMLUSERLOGIN Object Methods</t>
  </si>
  <si>
    <t>2.5.50</t>
  </si>
  <si>
    <t>POINTVECTOR Object</t>
  </si>
  <si>
    <t>Direction</t>
  </si>
  <si>
    <t>Direction of point</t>
  </si>
  <si>
    <t>Origin of point</t>
  </si>
  <si>
    <t xml:space="preserve">Pointvector( POSITION, </t>
  </si>
  <si>
    <t>DIRECTION)</t>
  </si>
  <si>
    <t>Creates a POINTVECTOR with the given POSITION and DIRECTION</t>
  </si>
  <si>
    <t>Returns a POINTVECTOR as a string.</t>
  </si>
  <si>
    <t>Offset(REAL)</t>
  </si>
  <si>
    <t>Returns the point vector offset in its direction by the passed distance</t>
  </si>
  <si>
    <t>Returns the point vector with the original position and the direction constructed from the position directed to the passed position</t>
  </si>
  <si>
    <t>Returns the point vector at the intersection of the point line with a plane normal to the point line through the passed position</t>
  </si>
  <si>
    <t>Intersection(POINTVECTOR)</t>
  </si>
  <si>
    <t>Returns the intersection position of the point vectors.</t>
  </si>
  <si>
    <t>Returns the intersection position of the point vector with the supplied line.</t>
  </si>
  <si>
    <t>Returns the position at the intersection of the point vector with the supplied plane</t>
  </si>
  <si>
    <t>Returns the positions at the intersection of the point vector with the supplied arc.</t>
  </si>
  <si>
    <t>Returns a plane with an origin equal to the position of the point vector and a normal direction equal to the point vector direction.</t>
  </si>
  <si>
    <t>Returns a line with a start position equal to the position of the point vector, a direction equal to the direction of the point vector and a length equal to the supplied length.</t>
  </si>
  <si>
    <t>Table 2: 86.</t>
  </si>
  <si>
    <t>POINTVECTOR Object Miscellaneous Methods</t>
  </si>
  <si>
    <t>2.5.51</t>
  </si>
  <si>
    <t>POSITION Object</t>
  </si>
  <si>
    <t xml:space="preserve">Purpose </t>
  </si>
  <si>
    <t>The East component</t>
  </si>
  <si>
    <t>The North component</t>
  </si>
  <si>
    <t>The Up component</t>
  </si>
  <si>
    <t>The DB element that is the origin</t>
  </si>
  <si>
    <t>Table 2: 87.</t>
  </si>
  <si>
    <t>POSITION Object Members</t>
  </si>
  <si>
    <t>Position(STRING )</t>
  </si>
  <si>
    <t>Creates a POSITION at the coordinates given in STRING.</t>
  </si>
  <si>
    <t>Position(STRING, FORMAT)</t>
  </si>
  <si>
    <t>Creates a POSITION at the coordinates given in STRING, with the specified FORMAT.</t>
  </si>
  <si>
    <t>Component(DIRECTION)</t>
  </si>
  <si>
    <t>Magnitude of component in specified DIRECTION.</t>
  </si>
  <si>
    <t>EQ(POSITION)</t>
  </si>
  <si>
    <t>TRUE if POSITIONS are the same.</t>
  </si>
  <si>
    <t>LT(POSITION)</t>
  </si>
  <si>
    <t>TRUE if POSITION is less than argument.</t>
  </si>
  <si>
    <t>Convert  POSITION  to  a STRING.</t>
  </si>
  <si>
    <t>Convert to a new POSITION with respect to given DB element.</t>
  </si>
  <si>
    <t>Angle (POSITION, POSITION)</t>
  </si>
  <si>
    <t>Returns the angle between the passed two points about the position object.</t>
  </si>
  <si>
    <t xml:space="preserve">ArcCentre(POSITION, POSITION, </t>
  </si>
  <si>
    <t>POSITION, DIRECTION, REAL )</t>
  </si>
  <si>
    <t>Returns an arc using arc centre technique. The direction is the ‘normal viewing’ direction.</t>
  </si>
  <si>
    <t>POSITION, DIRECTION, REAL)</t>
  </si>
  <si>
    <t>Returns an arc using arc centre technique. The direction is the ‘normal viewing’ direction. Please see diagram for full explanation.</t>
  </si>
  <si>
    <t xml:space="preserve">ArcFillet(  POSITION, POSITION, </t>
  </si>
  <si>
    <t>DIRECTION, REAL )</t>
  </si>
  <si>
    <t xml:space="preserve">Returns an arc using arc centre technique. The direction is the ‘normal viewing’ direction. Please see diagram for full explanation.  </t>
  </si>
  <si>
    <t xml:space="preserve">ArcRadius( POSITION, POSITION, </t>
  </si>
  <si>
    <t>DIRECTION, REAL, BOOLEAN )</t>
  </si>
  <si>
    <t>Returns an arc using arc radius technique. The direction is the ‘normal viewing’ direction. The boolean selects the minor (FALSE) or major(TRUE) arc. Please see diagram for full explanation.</t>
  </si>
  <si>
    <t xml:space="preserve">ArcThru( POSITION, POSITION, </t>
  </si>
  <si>
    <t>DIRECTION )</t>
  </si>
  <si>
    <t>Returns an arc using arc through 3 points technique. The direction is the ‘normal viewing’ direction. Please see diagram for full explanation.</t>
  </si>
  <si>
    <t>Returns an arc using arc through 3 points and radius technique. The direction is the ‘normal viewing’ direction. Please see diagram for full explanation.</t>
  </si>
  <si>
    <t xml:space="preserve">Arc3Lines( LINE, LINE, LINE, </t>
  </si>
  <si>
    <t xml:space="preserve">Returns a circle through the 3 line tangent points. The 'this' position refers to the zone in which the circle lies. </t>
  </si>
  <si>
    <t>Direction(POSITION)</t>
  </si>
  <si>
    <t>Returns  the  direction between the position and the supplied position</t>
  </si>
  <si>
    <t>Distance(ARC)</t>
  </si>
  <si>
    <t>Returns the distance between the position and the nearest point on the arc line of the passed  arc definition</t>
  </si>
  <si>
    <t>MidPoint(POSITION)</t>
  </si>
  <si>
    <t>Returns  the  mid  point</t>
  </si>
  <si>
    <t>between the two positions</t>
  </si>
  <si>
    <t>Near(POSITION, REAL)</t>
  </si>
  <si>
    <t>Returns true if the passed position is within the passed distance from the position object</t>
  </si>
  <si>
    <t>Offset(DIRECTION, REAL)</t>
  </si>
  <si>
    <t>Returns a position offset by the supplied length in the supplied direction</t>
  </si>
  <si>
    <t>Plane(POSITION, POSITION)</t>
  </si>
  <si>
    <t>Returns a plane in which each of the supplied points lie.</t>
  </si>
  <si>
    <t>Distance(LINE)</t>
  </si>
  <si>
    <t>Returns the distance between the position and the nearest point on the passed infinite</t>
  </si>
  <si>
    <t>Distance(PLANE)</t>
  </si>
  <si>
    <t>Returns the distance between the position and the nearest point on the passed plane</t>
  </si>
  <si>
    <t>definition</t>
  </si>
  <si>
    <t>Distance(POSITION)</t>
  </si>
  <si>
    <t>Returns the distance between the two positions</t>
  </si>
  <si>
    <t>Line(POSITION)</t>
  </si>
  <si>
    <t>Returns a line between the two positions, starting at the position object</t>
  </si>
  <si>
    <t>Offset(DIRECTION,</t>
  </si>
  <si>
    <t xml:space="preserve"> REAL)</t>
  </si>
  <si>
    <t>Table 2: 92.</t>
  </si>
  <si>
    <t>POSITION Object Methods (e)</t>
  </si>
  <si>
    <t>2.5.52</t>
  </si>
  <si>
    <t>POSTEVENTS Object</t>
  </si>
  <si>
    <t>postMark(STRING)</t>
  </si>
  <si>
    <t>Called after an undoable has been added to the undo stack. STRING is the description text associated with the undoable object.</t>
  </si>
  <si>
    <t>postUndo (STRING)</t>
  </si>
  <si>
    <t>Called after an undo has occurred. STRING is the description text associated with the undoable object.</t>
  </si>
  <si>
    <t>postRedo(STRING)</t>
  </si>
  <si>
    <t>Called after a redo has occurred. STRING is the description text associated with the undoable object.</t>
  </si>
  <si>
    <t>postClearMark()</t>
  </si>
  <si>
    <r>
      <t xml:space="preserve">Called after a </t>
    </r>
    <r>
      <rPr>
        <sz val="10"/>
        <color rgb="FF000000"/>
        <rFont val="Courier New"/>
        <family val="3"/>
      </rPr>
      <t xml:space="preserve">clearMark </t>
    </r>
    <r>
      <rPr>
        <sz val="10"/>
        <color rgb="FF000000"/>
        <rFont val="Arial"/>
        <family val="2"/>
      </rPr>
      <t>has occurred</t>
    </r>
  </si>
  <si>
    <t>postClearAll()</t>
  </si>
  <si>
    <r>
      <t xml:space="preserve">Called after a </t>
    </r>
    <r>
      <rPr>
        <sz val="10"/>
        <color rgb="FF000000"/>
        <rFont val="Courier New"/>
        <family val="3"/>
      </rPr>
      <t>clearAll</t>
    </r>
    <r>
      <rPr>
        <sz val="10"/>
        <color rgb="FF000000"/>
        <rFont val="Arial"/>
        <family val="2"/>
      </rPr>
      <t xml:space="preserve"> has occurred.</t>
    </r>
  </si>
  <si>
    <t>Table 2: 93.</t>
  </si>
  <si>
    <t>PML PostEvents Object Methods</t>
  </si>
  <si>
    <t>2.5.53</t>
  </si>
  <si>
    <t>PROJECT Object</t>
  </si>
  <si>
    <t>The name of the Project, up to 120 characters.</t>
  </si>
  <si>
    <t>Evar</t>
  </si>
  <si>
    <t>Project environment variable, e.g. SAM000</t>
  </si>
  <si>
    <t>Table 2: 94.</t>
  </si>
  <si>
    <t>PROJECT Object Members</t>
  </si>
  <si>
    <t>Active()</t>
  </si>
  <si>
    <t>Number of active users of the project</t>
  </si>
  <si>
    <t>Code()</t>
  </si>
  <si>
    <t>Project  code,  three</t>
  </si>
  <si>
    <t>characters, e.g. SAM</t>
  </si>
  <si>
    <t>Project description, up to 120 characters.</t>
  </si>
  <si>
    <t>Mbcharset()</t>
  </si>
  <si>
    <t>Multibyte  character  set number</t>
  </si>
  <si>
    <t>Message()</t>
  </si>
  <si>
    <t>Project message (information about the project), up to 120 characters.</t>
  </si>
  <si>
    <t>Project name</t>
  </si>
  <si>
    <t>Number()</t>
  </si>
  <si>
    <t>Project number, up to 17 characters.</t>
  </si>
  <si>
    <t>Isglobal()</t>
  </si>
  <si>
    <t>Whether project is a global project.</t>
  </si>
  <si>
    <t>Locations()</t>
  </si>
  <si>
    <t>Return array of all Locations in Project</t>
  </si>
  <si>
    <t>CurrentLocation()</t>
  </si>
  <si>
    <t>Return true current location</t>
  </si>
  <si>
    <t>ARRAY OF SESSIONS</t>
  </si>
  <si>
    <t>Return array of all Sessions (at the current location)</t>
  </si>
  <si>
    <t>CurrentSession()</t>
  </si>
  <si>
    <t>Return current Session (at the current location)</t>
  </si>
  <si>
    <t>OBJECTS</t>
  </si>
  <si>
    <t>List of databases in the project.</t>
  </si>
  <si>
    <t>ARRAY OF MDBS</t>
  </si>
  <si>
    <t>Return array of all MDBs in Project at current location.</t>
  </si>
  <si>
    <t>UserList()</t>
  </si>
  <si>
    <t>ARRAY OF USERS</t>
  </si>
  <si>
    <t>Return array of all USERs in Project at current location.</t>
  </si>
  <si>
    <t>Macros()</t>
  </si>
  <si>
    <t>ARRAY OF MACROS</t>
  </si>
  <si>
    <t>Return array of all Inter-db macros in MISC db in Project at current location.</t>
  </si>
  <si>
    <t>Messages()</t>
  </si>
  <si>
    <t>Return array of all messages in MISC db at current location.</t>
  </si>
  <si>
    <t>Table 2: 95.</t>
  </si>
  <si>
    <t>PROJECT Object Methods</t>
  </si>
  <si>
    <t>2.5.54</t>
  </si>
  <si>
    <t>PROFILE Object</t>
  </si>
  <si>
    <t>Origin of profile</t>
  </si>
  <si>
    <t>Orientation of profile plane</t>
  </si>
  <si>
    <t>Pointer</t>
  </si>
  <si>
    <t xml:space="preserve">POINTER </t>
  </si>
  <si>
    <t>Definition of profile</t>
  </si>
  <si>
    <t>Table 2: 96.</t>
  </si>
  <si>
    <t>PROFILE Object Members</t>
  </si>
  <si>
    <t xml:space="preserve">Profile(POSITION, ORIENTATION, </t>
  </si>
  <si>
    <t xml:space="preserve">PROFILE </t>
  </si>
  <si>
    <t>Creates a profile object. The input ARRAY is an array of</t>
  </si>
  <si>
    <t>LINEs,  ARCs  and</t>
  </si>
  <si>
    <t>POSITIONs. Other array member types will be ignored.  Array member must be initialised correctly, otherwise it will be ignored.</t>
  </si>
  <si>
    <t>Profile(DBREF)</t>
  </si>
  <si>
    <t>Creates a profile object from a LOOP, PLOO, PALJ or SPINE. Approximately from a POGO, BOUN, DRAW.</t>
  </si>
  <si>
    <t>3D  linear  geometry</t>
  </si>
  <si>
    <t>(SPINE,BOUN, DRAW,PALJ) should be in a single plane.  If not it is projected onto a plane defined by the first few points of the element.</t>
  </si>
  <si>
    <t>Profile(DBREF1,DBREF2)</t>
  </si>
  <si>
    <t>Creates a profile object from SPRO or SLOO at DBREF1. DBREF2 is the design element referencing the catalogue element containing the catalogue primitive thus providing its parameters.</t>
  </si>
  <si>
    <t>Profile(PROFILE)</t>
  </si>
  <si>
    <t>Creates a profile object which is a copy of the given profile</t>
  </si>
  <si>
    <t>Returns the PLANE definition of the profile. This is equivalent to the PLANE method on LINEARGRID</t>
  </si>
  <si>
    <t>IsClosed()</t>
  </si>
  <si>
    <t>Return true if closed</t>
  </si>
  <si>
    <t>IsValidClosed ()</t>
  </si>
  <si>
    <t xml:space="preserve">Returns true if the profile is valid and could be drawn correctly using GML, e.g. there are no self-intersecting edges </t>
  </si>
  <si>
    <t>Sense()</t>
  </si>
  <si>
    <t>True if anti-clockwise (on its plane). Returns error if profile is not closed</t>
  </si>
  <si>
    <t>Area()</t>
  </si>
  <si>
    <t>Internal area of profile. Returns error if profile is not closed</t>
  </si>
  <si>
    <t xml:space="preserve">Returns the complete length of the profile. </t>
  </si>
  <si>
    <t>IsCircle()</t>
  </si>
  <si>
    <t>Returns true if profile is a full circle.</t>
  </si>
  <si>
    <t>IsFillet(REAL)</t>
  </si>
  <si>
    <t>Returns true if edge specified by REAL argument is a fillet. A fillet must be an arc with a significant angle that is tangentially continuous with its adjacent edges that are lines, or arcs of larger radius.</t>
  </si>
  <si>
    <t>Table 2: 97.</t>
  </si>
  <si>
    <t>PROFILE Object Methods</t>
  </si>
  <si>
    <t>Figure 2:55.</t>
  </si>
  <si>
    <t>Finding the Length of the PROFILE Object</t>
  </si>
  <si>
    <t>PROFILE Object Decomposition and Display Methods</t>
  </si>
  <si>
    <t>edges()</t>
  </si>
  <si>
    <t>Returns array of lines and arcs that define the profile. The direction and sense of the lines and arcs are important.</t>
  </si>
  <si>
    <t>If the profile is a full circle only a single full circle arc is returned regardless of the composition of the profile.</t>
  </si>
  <si>
    <t>numberEdges()</t>
  </si>
  <si>
    <t>Returns the number of edges</t>
  </si>
  <si>
    <t>within the profile (= vertices-1)</t>
  </si>
  <si>
    <t>edge(REAL)</t>
  </si>
  <si>
    <t>LINE/ARC</t>
  </si>
  <si>
    <t>Returns the profile element at the passed index of the edges array</t>
  </si>
  <si>
    <t>dbWrite(DBREF)</t>
  </si>
  <si>
    <t>Populates DBREF with contents of the profile. If any geometry already exists it is replaced with the profile geometry.  The geometry stored is that which is appropriate to the database element.  The DBREF must be one of LOOP, PLOO, PALJ, SPINE, BOUN, DRAW, POGO.</t>
  </si>
  <si>
    <t xml:space="preserve">Returns itself unmodified. </t>
  </si>
  <si>
    <t>The owner of a LOOP or</t>
  </si>
  <si>
    <t>PLOOP is repositioned to fit with the profile.  Other geometry is positioned correctly in the frame of reference of its owner or positioned ancestor.</t>
  </si>
  <si>
    <t>Population  of  catalogue</t>
  </si>
  <si>
    <t>geometry is not supported</t>
  </si>
  <si>
    <t>draw(REAL1, REAL2, REAL3)</t>
  </si>
  <si>
    <t>Draws the profile as a set of aid lines and arcs.  REAL1 is the Segment number to draw to. REAL2 sets the style of the segment.  REAL3 sets the colour of the segment..  The drawn graphics can be queried and manipulated using AID geometry functions.</t>
  </si>
  <si>
    <t>LINE and ARC objects also have the .draw method</t>
  </si>
  <si>
    <t>implemented</t>
  </si>
  <si>
    <t>Table 2: 98.</t>
  </si>
  <si>
    <t>PROFILE Object Transformations and Modification Methods</t>
  </si>
  <si>
    <t>These methods return a modified version of the profile definition:</t>
  </si>
  <si>
    <t>mirror(LINE)</t>
  </si>
  <si>
    <t>Mirrors the boundary definition about the passed line, when mapped onto the boundary</t>
  </si>
  <si>
    <t>plane</t>
  </si>
  <si>
    <t>translate(REAL1,REAL2)</t>
  </si>
  <si>
    <t>Offsets the boundary definition in the XY of the boundary plane with a shift of x of REAL1 and y of REAL2</t>
  </si>
  <si>
    <t>rotate(REAL, POSITION)</t>
  </si>
  <si>
    <t>Rotates the boundary definition about the POSITION by the given angle. Angle are anticlock-wise about the Z axes of the boundary plane</t>
  </si>
  <si>
    <t>close()</t>
  </si>
  <si>
    <t>Closes the profile with an additional edge (if necessary). If ends are within a tolerance the end point is adjusted</t>
  </si>
  <si>
    <t>reverse()</t>
  </si>
  <si>
    <t>Reverses the sense of the profile and the order of the edges</t>
  </si>
  <si>
    <t>mergearcs(REAL1, REAL2)</t>
  </si>
  <si>
    <r>
      <t xml:space="preserve">Merge concentric contiguous arcs into one up to a maximum arc angle of REAL1 degrees according to tolerance REAL2 </t>
    </r>
    <r>
      <rPr>
        <sz val="10"/>
        <color rgb="FF000000"/>
        <rFont val="Courier New"/>
        <family val="3"/>
      </rPr>
      <t>Mergearcs()</t>
    </r>
    <r>
      <rPr>
        <sz val="10"/>
        <color rgb="FF000000"/>
        <rFont val="Arial"/>
        <family val="2"/>
      </rPr>
      <t xml:space="preserve"> will remove concentric back tracks in the profile as well.</t>
    </r>
  </si>
  <si>
    <t>mergearcs()</t>
  </si>
  <si>
    <t>Merge concentric contiguous arcs into one.</t>
  </si>
  <si>
    <t>mergelines(REAL)</t>
  </si>
  <si>
    <t>Merge colinear contiguous lines into one according to tolerance supplied.</t>
  </si>
  <si>
    <r>
      <t>Mergelines()</t>
    </r>
    <r>
      <rPr>
        <sz val="10"/>
        <color rgb="FF000000"/>
        <rFont val="Arial"/>
        <family val="2"/>
      </rPr>
      <t xml:space="preserve"> will remove colinear backtracks in the profile as well.</t>
    </r>
  </si>
  <si>
    <t>mergelines()</t>
  </si>
  <si>
    <t>Merge colinear contiguous lines into one.</t>
  </si>
  <si>
    <t>mergepoints(REAL)</t>
  </si>
  <si>
    <t>Remove coincident consecutive points according to tolerance supplied</t>
  </si>
  <si>
    <t>mergepoints()</t>
  </si>
  <si>
    <t>Remove  coincident</t>
  </si>
  <si>
    <t>consecutive points</t>
  </si>
  <si>
    <t>polyline(REAL)</t>
  </si>
  <si>
    <t>Replace arcs with a chordal approximation to the tolerance supplied</t>
  </si>
  <si>
    <t>polyline()</t>
  </si>
  <si>
    <t>Replace arcs with a chordal approximation</t>
  </si>
  <si>
    <t>projectArcs(REAL)</t>
  </si>
  <si>
    <t>Removes all the arcs from the definition, only leaving the straight-line edges. Arcs with angle less than the supplied argument are ignored.  Arcs that are removed are replaced by projected tangents meeting at the polar position of the arc. Arcs with angles approaching</t>
  </si>
  <si>
    <t>180 degrees are split in half</t>
  </si>
  <si>
    <t>Returns the nearest position on the profile, to the given position projected onto the profile plane.</t>
  </si>
  <si>
    <t>Near(REAL,POSITION)</t>
  </si>
  <si>
    <t>The REAL argument is an index to an edge in the</t>
  </si>
  <si>
    <r>
      <t xml:space="preserve">Profile.  Returns the nearest point on this edge to the POSITION supplied.  This is the same as </t>
    </r>
    <r>
      <rPr>
        <sz val="10"/>
        <color rgb="FF000000"/>
        <rFont val="Courier New"/>
        <family val="3"/>
      </rPr>
      <t>.near</t>
    </r>
  </si>
  <si>
    <r>
      <t>(POSITION)</t>
    </r>
    <r>
      <rPr>
        <sz val="10"/>
        <color rgb="FF000000"/>
        <rFont val="Arial"/>
        <family val="2"/>
      </rPr>
      <t xml:space="preserve"> but restricted to a single edge.</t>
    </r>
  </si>
  <si>
    <t>NearEdges(POSITION)</t>
  </si>
  <si>
    <t>Returns array of edge indices of the nearest edges to the given POSITION. The returned edges may be any in the profile. Edges will be consecutive if nearest point is a vertex.</t>
  </si>
  <si>
    <t>IsWithin(POSITION)</t>
  </si>
  <si>
    <t>Returns TRUE if the position when mapped on to the profile plane lies inside the profile.  The profile must be closed.</t>
  </si>
  <si>
    <t>IsWithout(POSITION)</t>
  </si>
  <si>
    <t>Returns TRUE if the position when mapped on to the profile plane lies outside the profile. The profile must be closed.</t>
  </si>
  <si>
    <t>OnProfile(POSITION)</t>
  </si>
  <si>
    <t>Returns TRUE if the position (mapped onto the profile plane) lies on the profile geometry.</t>
  </si>
  <si>
    <t>IsWithin(PROFILE)</t>
  </si>
  <si>
    <t>True if the supplied profile lies wholly within the profile the object. Both profiles must be closed.</t>
  </si>
  <si>
    <t>IsWithout(PROFILE)</t>
  </si>
  <si>
    <t>True if the supplied profile lies completely outside the profile object. Both profiles must be closed.</t>
  </si>
  <si>
    <t>IsIntersecting(PROFILE)</t>
  </si>
  <si>
    <t>True if the supplied profile intersects the profile object. Both profiles must be closed</t>
  </si>
  <si>
    <t>intersections(LINE)</t>
  </si>
  <si>
    <t>POINTS</t>
  </si>
  <si>
    <t>Returns an array of points that are positions where the line (or the projection of the line into the plane of the profile) intersects the profile. All points on the extended infinite line are returned.</t>
  </si>
  <si>
    <t>intersections(ARC)</t>
  </si>
  <si>
    <t>Returns an array of points that are positions where the arc (or the projection of the arc into the plane of the profile) intersects the profile. The plane of the arc must be parallel with the plane of the profile otherwise an error will occur. The points are anywhere on the circle of the arc (and not limited to be between start and end)</t>
  </si>
  <si>
    <t>intersections(PROFILE)</t>
  </si>
  <si>
    <t>Returns an array of points which are positions where the two profiles intersect.. The two profiles must be parallel (or anti-parallel) to each other</t>
  </si>
  <si>
    <t>intersect(PROFILE)</t>
  </si>
  <si>
    <t>ARRAY OF PROFILES</t>
  </si>
  <si>
    <t>Returns array of the resultant intersection profiles</t>
  </si>
  <si>
    <t>union(PROFILE)</t>
  </si>
  <si>
    <t>Returns the union of the two profiles. Holes are returned as separate profiles (in reverse direction)</t>
  </si>
  <si>
    <t>difference(PROFILE)</t>
  </si>
  <si>
    <t>Returns the difference of the passed profile against the</t>
  </si>
  <si>
    <t>profile definition</t>
  </si>
  <si>
    <t>split(LINE)</t>
  </si>
  <si>
    <t>Returns the resultant profiles from projecting the passed line onto the profile and</t>
  </si>
  <si>
    <t xml:space="preserve">splitting about that line </t>
  </si>
  <si>
    <t>split(PLANE, BOOLEAN)</t>
  </si>
  <si>
    <t>Returns the resultant boundaries from splitting the profile on the line at the intersection of the passed plane and the profile plane. The side is specified by the supplied BOOLEAN. If it is TRUE then only profiles in the direction of the normal to the passed plane are created; if side is FALSE, only those in the direction of the anti-normal.</t>
  </si>
  <si>
    <t>Table 2: 103. PROFILE Object Methods that Return New PROFILEs</t>
  </si>
  <si>
    <t>2.5.55</t>
  </si>
  <si>
    <t>RADIALGRID Object</t>
  </si>
  <si>
    <t>Radii</t>
  </si>
  <si>
    <t>Radii of the grid.</t>
  </si>
  <si>
    <t>Angles</t>
  </si>
  <si>
    <t>Angular spacing, from X axes (zero).</t>
  </si>
  <si>
    <t xml:space="preserve">Radialgrid( POSITION, </t>
  </si>
  <si>
    <t>ORIENTATION, ARRAY, ARRAY)</t>
  </si>
  <si>
    <t>RADIALGRID</t>
  </si>
  <si>
    <t>Creates a grid with the given position and orientation, and the angles and radii specified in the arrays.</t>
  </si>
  <si>
    <t>Table 2: 104. RADIALGRID Object  Definition Methods</t>
  </si>
  <si>
    <t>2.5.56</t>
  </si>
  <si>
    <t>REAL Object</t>
  </si>
  <si>
    <t xml:space="preserve">Real(BOOLEAN) </t>
  </si>
  <si>
    <t>Creates a REAL from the given BOOLEAN: TRUE = 1, FALSE = 0.</t>
  </si>
  <si>
    <t xml:space="preserve">Real(BORE) </t>
  </si>
  <si>
    <t>Creates a REAL from the given BORE.</t>
  </si>
  <si>
    <t xml:space="preserve">Real(STRING) </t>
  </si>
  <si>
    <t>Creates a REAL from the given STRING.</t>
  </si>
  <si>
    <t>The String must include a number to give value to the REAL If the STRING also a unit qualifier appended to the number the REAL is given the dimension of the physical quantity and its value will be converted to current working units of that dimension. It will also interpret an extended range of feet and inch formats.</t>
  </si>
  <si>
    <t xml:space="preserve">Real( STRING, FORMAT ) </t>
  </si>
  <si>
    <t>Creates a REAL from the given</t>
  </si>
  <si>
    <t>STRING in the specified format.</t>
  </si>
  <si>
    <t>If the string contains no unit qualifier the format defines the type of physical quantity and the units of the number. (or current units if format units not set). The resulting REAL has current units regardless of the format or input units.</t>
  </si>
  <si>
    <t>If the conversion fails then the Format object is used to provide alternative unit qualifiers for the dimension (unit of measure) and these are used to try and interpret the value. This is similar to the matching string functions.</t>
  </si>
  <si>
    <t>Real(REAL, UNIT)</t>
  </si>
  <si>
    <t>n/a</t>
  </si>
  <si>
    <t>Unit Related Queries</t>
  </si>
  <si>
    <t>Value()</t>
  </si>
  <si>
    <t>Dimension()</t>
  </si>
  <si>
    <t>Unit()</t>
  </si>
  <si>
    <t>Units()</t>
  </si>
  <si>
    <t>ARRAY  of MEASURES</t>
  </si>
  <si>
    <t>Set of all standard dimensions.</t>
  </si>
  <si>
    <t>ARRAY UNITS</t>
  </si>
  <si>
    <t>Unit Conversion Methods</t>
  </si>
  <si>
    <t>Cast(UNIT)</t>
  </si>
  <si>
    <t>ConvertUnits(STRING)</t>
  </si>
  <si>
    <t>Convert(UNIT)</t>
  </si>
  <si>
    <t>ConvertUnits(UNIT)</t>
  </si>
  <si>
    <t>CurrentUnits()</t>
  </si>
  <si>
    <t>CurrentUnits(STRING)</t>
  </si>
  <si>
    <t>CurrentUnits(UNIT)</t>
  </si>
  <si>
    <t>CurrentUnits(MEASURE)</t>
  </si>
  <si>
    <t>Returns a REAL of the same dimension as original and whose value reflects the same physical size, but whose value is measured in current units.</t>
  </si>
  <si>
    <t>If the original REAL has units - returns a Real with units of current units. The argument is ignored.</t>
  </si>
  <si>
    <t xml:space="preserve">If the REAL has no units - The argument used to qualify the units of measure of the REAL.  Its units are that of the UNIT or STRING argument. If the argument is a MEASURE of name of a MEASURE then the units are the appropriate database units.  </t>
  </si>
  <si>
    <t>The returned REAL is returned only as a converted Value. It has no units or dimension (as had the original REAL).</t>
  </si>
  <si>
    <t>Arithmetic and Logical Functions</t>
  </si>
  <si>
    <t xml:space="preserve">ABS() </t>
  </si>
  <si>
    <t>Absolute value (make value positive).</t>
  </si>
  <si>
    <t xml:space="preserve">ACos() </t>
  </si>
  <si>
    <t>ACOS. The real must be purely numeric.</t>
  </si>
  <si>
    <t xml:space="preserve">ALog() </t>
  </si>
  <si>
    <t>ALOG. The real must be purely numeric.</t>
  </si>
  <si>
    <t xml:space="preserve">ASin() </t>
  </si>
  <si>
    <t>ASIN. The real must be purely numeric.</t>
  </si>
  <si>
    <t xml:space="preserve">ATan() </t>
  </si>
  <si>
    <t>ATAN. The real must be purely numeric.</t>
  </si>
  <si>
    <t xml:space="preserve">ATanT(REAL) </t>
  </si>
  <si>
    <t>ATANT. The real must be purely numeric.</t>
  </si>
  <si>
    <t>Between(REAL, REAL)</t>
  </si>
  <si>
    <t>TRUE if value lies in specified range including values specified. All the reals must be of the same or compatible physical quantities and will be interpreted in consistent units.</t>
  </si>
  <si>
    <t xml:space="preserve">Boolean() </t>
  </si>
  <si>
    <t>FALSE if value is zero, otherwise TRUE.</t>
  </si>
  <si>
    <t xml:space="preserve">Bore() </t>
  </si>
  <si>
    <t>Convert to BORE (must be exact) dependent on current BORE units.</t>
  </si>
  <si>
    <t xml:space="preserve">Cosine() </t>
  </si>
  <si>
    <t>COSINE. The real must be an angle, or purely numeric.</t>
  </si>
  <si>
    <t>Distance()</t>
  </si>
  <si>
    <t>Convert to a distance using default settings.</t>
  </si>
  <si>
    <t xml:space="preserve">Distance(BOOLEAN feet, BOOLEAN us, BOOLEAN fraction, REAL precision, </t>
  </si>
  <si>
    <t>BOOLEAN zeroes)</t>
  </si>
  <si>
    <t xml:space="preserve">Convert to a distance : </t>
  </si>
  <si>
    <t xml:space="preserve">to feet &amp; inches if feet (otherwise inches); </t>
  </si>
  <si>
    <t xml:space="preserve">to US format if us (otherwise PDMS format); </t>
  </si>
  <si>
    <t xml:space="preserve">use fraction if fraction (otherwise decimals); </t>
  </si>
  <si>
    <t>use precision as largest denominator or precision decimal places; output zeroes if zeroes (otherwise them).</t>
  </si>
  <si>
    <t xml:space="preserve">EQ(BORE) </t>
  </si>
  <si>
    <t>Comparison dependent on current BORE units. The two reals must be of compatible quantities and are compared in consistent units.</t>
  </si>
  <si>
    <t xml:space="preserve">EQ(REAL) </t>
  </si>
  <si>
    <t>TRUE if equal. The two reals must be of compatible quantities and are compared in consistent units.</t>
  </si>
  <si>
    <t xml:space="preserve">GEQ(BORE) </t>
  </si>
  <si>
    <t xml:space="preserve">GEQ(REAL) </t>
  </si>
  <si>
    <t>TRUE if greater than or equal to another value. The two reals must be of compatible quantities and are compared in consistent units.</t>
  </si>
  <si>
    <t xml:space="preserve">GT(BORE) </t>
  </si>
  <si>
    <t xml:space="preserve">GT(REAL) </t>
  </si>
  <si>
    <t>TRUE if greater than another value. The two reals must be of compatible quantities and are compared in consistent units.</t>
  </si>
  <si>
    <t xml:space="preserve">INT() </t>
  </si>
  <si>
    <t>Convert to whole number, rounding down.</t>
  </si>
  <si>
    <t xml:space="preserve">LEQ(BORE) </t>
  </si>
  <si>
    <t xml:space="preserve">LEQ(REAL) </t>
  </si>
  <si>
    <t>TRUE if less than or equal to another value. The two reals must be of compatible quantities and are compared in consistent units.</t>
  </si>
  <si>
    <t xml:space="preserve">LOG() </t>
  </si>
  <si>
    <t>LOG. Real should be numeric.</t>
  </si>
  <si>
    <t xml:space="preserve">LT(BORE) </t>
  </si>
  <si>
    <t xml:space="preserve">LT(REAL) </t>
  </si>
  <si>
    <t>TRUE if less than another value. The two reals must be of compatible quantities and are compared in consistent units.</t>
  </si>
  <si>
    <t>MODULO (REAL)</t>
  </si>
  <si>
    <t>The remainder MODULO the given REAL.</t>
  </si>
  <si>
    <t>A.MODULO(P) has the value A - floor (A / P) * P, where P cannot be zero.</t>
  </si>
  <si>
    <t xml:space="preserve">NearestBore() </t>
  </si>
  <si>
    <t>Convert to nearest BORE dependent on current BORE units setting.</t>
  </si>
  <si>
    <t xml:space="preserve">Nint() </t>
  </si>
  <si>
    <t>Convert to nearest whole number (up or down).</t>
  </si>
  <si>
    <t xml:space="preserve">Power(REAL) </t>
  </si>
  <si>
    <t>Raise value to power. If the original real is of physical quantity the power value should be integer.</t>
  </si>
  <si>
    <t xml:space="preserve">Real() </t>
  </si>
  <si>
    <t>Convert to REAL (in this case a null operation).</t>
  </si>
  <si>
    <t>SBetween (REAL,REAL)</t>
  </si>
  <si>
    <t>TRUE if value lies in specified range excluding values specified. All the reals must be of the same or compatible physical quantities and will be interpreted in consistent units.</t>
  </si>
  <si>
    <t xml:space="preserve">Sine() </t>
  </si>
  <si>
    <t>SINE. The real must be an angle, or purely numeric.</t>
  </si>
  <si>
    <t xml:space="preserve">Sqrt() </t>
  </si>
  <si>
    <t>Square root of value. If result is not a supported unit of measure it will error.</t>
  </si>
  <si>
    <t>String(STRING precision)</t>
  </si>
  <si>
    <t>Convert to STRING with precision specified as a STRING in the range</t>
  </si>
  <si>
    <t>‘D0’ to ‘D6’.</t>
  </si>
  <si>
    <t>Convert to STRING using settings in global FORMAT object. same process of using format units and unit qualifiers in the STRING as applied in REAL(STRING, FORMAT).</t>
  </si>
  <si>
    <t>Tangent()</t>
  </si>
  <si>
    <t>TANGENT. The real must be an angle, or purely numeric.</t>
  </si>
  <si>
    <t>Table 2: 105. REAL Object Methods</t>
  </si>
  <si>
    <t>2.5.57</t>
  </si>
  <si>
    <t>REPORT Object</t>
  </si>
  <si>
    <t>Report()</t>
  </si>
  <si>
    <t>Constructor.</t>
  </si>
  <si>
    <t>Report(TABLE)</t>
  </si>
  <si>
    <t>Constructor that also sets the table and column formats.</t>
  </si>
  <si>
    <t>Table(TABLE)</t>
  </si>
  <si>
    <t>Sets the table to be used for the report.</t>
  </si>
  <si>
    <t xml:space="preserve">AddColumn(STRING key, </t>
  </si>
  <si>
    <t>COLUMNFORMAT, STRING heading)</t>
  </si>
  <si>
    <r>
      <t xml:space="preserve">Adds the column with the specified key to the report, with the passed column format. The argument </t>
    </r>
    <r>
      <rPr>
        <b/>
        <sz val="10"/>
        <color rgb="FF000000"/>
        <rFont val="Arial"/>
        <family val="2"/>
      </rPr>
      <t>heading</t>
    </r>
    <r>
      <rPr>
        <sz val="10"/>
        <color rgb="FF000000"/>
        <rFont val="Arial"/>
        <family val="2"/>
      </rPr>
      <t xml:space="preserve"> is the column heading.</t>
    </r>
  </si>
  <si>
    <t>NextEntriesIndex(REAL position)</t>
  </si>
  <si>
    <t>Sets the position in the result array to be used for the next evaluation.</t>
  </si>
  <si>
    <t>NextEntriesIndex(REAL n, STRING)</t>
  </si>
  <si>
    <t>Sets the position in the matched result array to be used for the next evaluation.</t>
  </si>
  <si>
    <t>SetCaseMatch(BOOLEAN)</t>
  </si>
  <si>
    <r>
      <t>Used in conjunction with the '</t>
    </r>
    <r>
      <rPr>
        <sz val="10"/>
        <color rgb="FF000000"/>
        <rFont val="Segoe UI Symbol"/>
        <family val="2"/>
      </rPr>
      <t>…</t>
    </r>
    <r>
      <rPr>
        <sz val="10"/>
        <color rgb="FF000000"/>
        <rFont val="Arial"/>
        <family val="2"/>
      </rPr>
      <t>MATCH' methods, defines whether matching is case sensitive.</t>
    </r>
  </si>
  <si>
    <t>Re-initialises  the  next counter.</t>
  </si>
  <si>
    <t>EvaluateTable()</t>
  </si>
  <si>
    <t>Re-evaluates on the table primary key and re-sorts.</t>
  </si>
  <si>
    <t>Keys()</t>
  </si>
  <si>
    <t>Returns an ARRAY of STRINGS that are the column keys used on this report.</t>
  </si>
  <si>
    <t>ColumnFormat(STRING key)</t>
  </si>
  <si>
    <t>COLUMN FORMAT</t>
  </si>
  <si>
    <t>Returns the column format of the passed column key</t>
  </si>
  <si>
    <t>ColumnHeading (STRING key)</t>
  </si>
  <si>
    <t>Returns the heading of the column identified by key.</t>
  </si>
  <si>
    <t>Table()</t>
  </si>
  <si>
    <t>Returns the table used in this report.</t>
  </si>
  <si>
    <t>CaseMatch()</t>
  </si>
  <si>
    <r>
      <t xml:space="preserve">Queries whether the MATCH STRING is case sensitive. Set using </t>
    </r>
    <r>
      <rPr>
        <sz val="10"/>
        <color rgb="FF000000"/>
        <rFont val="Courier New"/>
        <family val="3"/>
      </rPr>
      <t>CaseMatch (BOOLEAN)</t>
    </r>
    <r>
      <rPr>
        <sz val="10"/>
        <color rgb="FF000000"/>
        <rFont val="Arial"/>
        <family val="2"/>
      </rPr>
      <t>.</t>
    </r>
  </si>
  <si>
    <t xml:space="preserve">Results(ARRAY Dtext, ARRAY </t>
  </si>
  <si>
    <t>Rtext)</t>
  </si>
  <si>
    <r>
      <t xml:space="preserve">Evaluates the report using all entries of the table (there may be more than 1 line per entry. If column formats cause a wrap-around </t>
    </r>
    <r>
      <rPr>
        <b/>
        <sz val="10"/>
        <color rgb="FF000000"/>
        <rFont val="Arial"/>
        <family val="2"/>
      </rPr>
      <t xml:space="preserve">Rtext </t>
    </r>
    <r>
      <rPr>
        <sz val="10"/>
        <color rgb="FF000000"/>
        <rFont val="Arial"/>
        <family val="2"/>
      </rPr>
      <t>will be repeated).  The return is TRUE if there are entries to evaluate, FALSE if there are no entries.</t>
    </r>
  </si>
  <si>
    <r>
      <t xml:space="preserve">Both </t>
    </r>
    <r>
      <rPr>
        <b/>
        <sz val="10"/>
        <color rgb="FF000000"/>
        <rFont val="Arial"/>
        <family val="2"/>
      </rPr>
      <t>Rtext</t>
    </r>
    <r>
      <rPr>
        <sz val="10"/>
        <color rgb="FF000000"/>
        <rFont val="Arial"/>
        <family val="2"/>
      </rPr>
      <t xml:space="preserve"> and </t>
    </r>
    <r>
      <rPr>
        <b/>
        <sz val="10"/>
        <color rgb="FF000000"/>
        <rFont val="Arial"/>
        <family val="2"/>
      </rPr>
      <t>Dtext</t>
    </r>
    <r>
      <rPr>
        <sz val="10"/>
        <color rgb="FF000000"/>
        <rFont val="Arial"/>
        <family val="2"/>
      </rPr>
      <t xml:space="preserve"> must exist; they will be updated with the values.</t>
    </r>
  </si>
  <si>
    <t>Results(ARRAY)</t>
  </si>
  <si>
    <r>
      <t xml:space="preserve">As above but only </t>
    </r>
    <r>
      <rPr>
        <b/>
        <sz val="10"/>
        <color rgb="FF000000"/>
        <rFont val="Arial"/>
        <family val="2"/>
      </rPr>
      <t>Dtext</t>
    </r>
    <r>
      <rPr>
        <sz val="10"/>
        <color rgb="FF000000"/>
        <rFont val="Arial"/>
        <family val="2"/>
      </rPr>
      <t xml:space="preserve"> is evaluated.</t>
    </r>
  </si>
  <si>
    <t xml:space="preserve">ResultsMatch(STRING, ARRAY, </t>
  </si>
  <si>
    <r>
      <t xml:space="preserve">Similar to </t>
    </r>
    <r>
      <rPr>
        <sz val="10"/>
        <color rgb="FF000000"/>
        <rFont val="Courier New"/>
        <family val="3"/>
      </rPr>
      <t>Results()</t>
    </r>
    <r>
      <rPr>
        <sz val="10"/>
        <color rgb="FF000000"/>
        <rFont val="Arial"/>
        <family val="2"/>
      </rPr>
      <t xml:space="preserve"> but only values matching the string are put into the two arrays.</t>
    </r>
  </si>
  <si>
    <t>ResultsMatch(STRING, ARRAY)</t>
  </si>
  <si>
    <r>
      <t xml:space="preserve">As above but only </t>
    </r>
    <r>
      <rPr>
        <b/>
        <sz val="10"/>
        <color rgb="FF000000"/>
        <rFont val="Arial"/>
        <family val="2"/>
      </rPr>
      <t xml:space="preserve">Dtext </t>
    </r>
    <r>
      <rPr>
        <sz val="10"/>
        <color rgb="FF000000"/>
        <rFont val="Arial"/>
        <family val="2"/>
      </rPr>
      <t>is evaluated.</t>
    </r>
  </si>
  <si>
    <t xml:space="preserve">NextEntries(REAL n, ARRAY Dtext, </t>
  </si>
  <si>
    <t>ARRAY Rtext)</t>
  </si>
  <si>
    <t>Evaluates the report using the next n entries of the table (there may be more than 1 line per entry, if column formats cause a wrap-around the Rtext will be repeated). The return is TRUE if there are entries to evaluate, FALSE if there are no entries.</t>
  </si>
  <si>
    <r>
      <t xml:space="preserve">Both </t>
    </r>
    <r>
      <rPr>
        <b/>
        <sz val="10"/>
        <color rgb="FF000000"/>
        <rFont val="Arial"/>
        <family val="2"/>
      </rPr>
      <t>Rtext</t>
    </r>
    <r>
      <rPr>
        <sz val="10"/>
        <color rgb="FF000000"/>
        <rFont val="Arial"/>
        <family val="2"/>
      </rPr>
      <t xml:space="preserve"> and </t>
    </r>
    <r>
      <rPr>
        <b/>
        <sz val="10"/>
        <color rgb="FF000000"/>
        <rFont val="Arial"/>
        <family val="2"/>
      </rPr>
      <t>Dtext</t>
    </r>
    <r>
      <rPr>
        <sz val="10"/>
        <color rgb="FF000000"/>
        <rFont val="Arial"/>
        <family val="2"/>
      </rPr>
      <t xml:space="preserve"> must exist; they will be updated with the next </t>
    </r>
    <r>
      <rPr>
        <b/>
        <sz val="10"/>
        <color rgb="FF000000"/>
        <rFont val="Arial"/>
        <family val="2"/>
      </rPr>
      <t>n</t>
    </r>
    <r>
      <rPr>
        <sz val="10"/>
        <color rgb="FF000000"/>
        <rFont val="Arial"/>
        <family val="2"/>
      </rPr>
      <t xml:space="preserve"> values.</t>
    </r>
  </si>
  <si>
    <t>NextEntries(REAL n, ARRAY)</t>
  </si>
  <si>
    <t xml:space="preserve">NextLines(REAL n, ARRAY Dtext, </t>
  </si>
  <si>
    <r>
      <t xml:space="preserve">Evaluates the report with the next </t>
    </r>
    <r>
      <rPr>
        <b/>
        <sz val="10"/>
        <color rgb="FF000000"/>
        <rFont val="Arial"/>
        <family val="2"/>
      </rPr>
      <t>n</t>
    </r>
    <r>
      <rPr>
        <sz val="10"/>
        <color rgb="FF000000"/>
        <rFont val="Arial"/>
        <family val="2"/>
      </rPr>
      <t xml:space="preserve"> lines of the table, if column formats cause a wrap-around the </t>
    </r>
    <r>
      <rPr>
        <b/>
        <sz val="10"/>
        <color rgb="FF000000"/>
        <rFont val="Arial"/>
        <family val="2"/>
      </rPr>
      <t>Rtext</t>
    </r>
    <r>
      <rPr>
        <sz val="10"/>
        <color rgb="FF000000"/>
        <rFont val="Arial"/>
        <family val="2"/>
      </rPr>
      <t xml:space="preserve"> will be repeated.  The return is BOOLEAN to indicate if there are lines to evaluate.</t>
    </r>
  </si>
  <si>
    <t>NextLines(REAL n, ARRAY)</t>
  </si>
  <si>
    <t>NextEntriesMatch (REAL n, STRING value, ARRAY Dtext, ARRAY Rtext)</t>
  </si>
  <si>
    <r>
      <t xml:space="preserve">Similar to </t>
    </r>
    <r>
      <rPr>
        <b/>
        <sz val="10"/>
        <color rgb="FF000000"/>
        <rFont val="Arial"/>
        <family val="2"/>
      </rPr>
      <t>NextEntries()</t>
    </r>
    <r>
      <rPr>
        <sz val="10"/>
        <color rgb="FF000000"/>
        <rFont val="Arial"/>
        <family val="2"/>
      </rPr>
      <t xml:space="preserve"> but only values matching </t>
    </r>
    <r>
      <rPr>
        <b/>
        <sz val="10"/>
        <color rgb="FF000000"/>
        <rFont val="Arial"/>
        <family val="2"/>
      </rPr>
      <t xml:space="preserve">value </t>
    </r>
    <r>
      <rPr>
        <sz val="10"/>
        <color rgb="FF000000"/>
        <rFont val="Arial"/>
        <family val="2"/>
      </rPr>
      <t>are put into the two arrays.</t>
    </r>
  </si>
  <si>
    <t>NextEntriesMatch(REAL n, STRING value, ARRAY Dtext)</t>
  </si>
  <si>
    <t>NextEntriesIndex()</t>
  </si>
  <si>
    <t>Returns the current position in the array of entries.</t>
  </si>
  <si>
    <t>NextLinesIndex()</t>
  </si>
  <si>
    <t>NextEntriesIndex (STRING)</t>
  </si>
  <si>
    <t>Returns the current count of the matched values array. STRING is a key word</t>
  </si>
  <si>
    <t>'MATCH'.</t>
  </si>
  <si>
    <t>Table 2: 106. REPORT Object Methods</t>
  </si>
  <si>
    <t>2.5.58</t>
  </si>
  <si>
    <t>RTOGGLE Gadget</t>
  </si>
  <si>
    <t>Current value true or false.</t>
  </si>
  <si>
    <t>index</t>
  </si>
  <si>
    <t>Index of radio button within the group.</t>
  </si>
  <si>
    <t>onVal</t>
  </si>
  <si>
    <t>Associated selected value.</t>
  </si>
  <si>
    <t>offVal</t>
  </si>
  <si>
    <t>Associated unselected value.</t>
  </si>
  <si>
    <t>Visibility.</t>
  </si>
  <si>
    <t>Active (greyed-in) status.</t>
  </si>
  <si>
    <t>Callback string.</t>
  </si>
  <si>
    <t>Tag text.</t>
  </si>
  <si>
    <t>Table 2: 107. RTOGGLE Object Members</t>
  </si>
  <si>
    <t>SetPopup( MENU )</t>
  </si>
  <si>
    <t>RemovePopup( MENU )</t>
  </si>
  <si>
    <t>Refresh( )</t>
  </si>
  <si>
    <t>SetToolTip( STRING )</t>
  </si>
  <si>
    <t>Sets or edits the text of the TOOLTIP.</t>
  </si>
  <si>
    <t>Type( )</t>
  </si>
  <si>
    <t>Table 2: 108. RTOGGLE Object Methods</t>
  </si>
  <si>
    <r>
      <t>The  RTOGGLE gadget (which is very similar to the TOGGLE gadget) is allowed only  within FRAMES. You can added them to a FRAME with the usual positioning and layout commands. The RTOGGLE gadgets are implicitly numbered 1,2,3</t>
    </r>
    <r>
      <rPr>
        <sz val="10"/>
        <color rgb="FF000000"/>
        <rFont val="Segoe UI Symbol"/>
        <family val="2"/>
      </rPr>
      <t>…</t>
    </r>
    <r>
      <rPr>
        <sz val="10"/>
        <color rgb="FF000000"/>
        <rFont val="Arial"/>
        <family val="2"/>
      </rPr>
      <t xml:space="preserve"> as they are added.</t>
    </r>
  </si>
  <si>
    <t>The FRAME gadget can have an assigned callback, which is executed when the radio group selection is changed, i.e. whenever the user selects an unselected radio-toggle. As there is only a SELECT action supported, it can be either a simple callback or an open callback.</t>
  </si>
  <si>
    <t>.-------&lt;------------.</t>
  </si>
  <si>
    <r>
      <t xml:space="preserve">&gt;- RTOGgle </t>
    </r>
    <r>
      <rPr>
        <i/>
        <sz val="9"/>
        <color rgb="FF000000"/>
        <rFont val="Courier New"/>
        <family val="3"/>
      </rPr>
      <t xml:space="preserve">gname </t>
    </r>
    <r>
      <rPr>
        <sz val="9"/>
        <color rgb="FF000000"/>
        <rFont val="Courier New"/>
        <family val="3"/>
      </rPr>
      <t>-+- tagtext ------------|</t>
    </r>
  </si>
  <si>
    <t>+- CALLback text —-----|</t>
  </si>
  <si>
    <t>+- &lt;fgpos&gt; ------------|</t>
  </si>
  <si>
    <t>+- &lt;fganch&gt; -----------|</t>
  </si>
  <si>
    <t>+- &lt;fgdock&gt; -----------|</t>
  </si>
  <si>
    <t>+- TOOLTIP text -------|</t>
  </si>
  <si>
    <r>
      <t xml:space="preserve">+- CORE ---------------* </t>
    </r>
    <r>
      <rPr>
        <b/>
        <i/>
        <sz val="9"/>
        <color rgb="FF000000"/>
        <rFont val="Courier New"/>
        <family val="3"/>
      </rPr>
      <t>Core managed gadget</t>
    </r>
  </si>
  <si>
    <t>+- STATES offval onval .</t>
  </si>
  <si>
    <t>‘----------------------+- TOOLTIP text -.</t>
  </si>
  <si>
    <t>‘----------------‘---&gt;</t>
  </si>
  <si>
    <r>
      <t>Note: offval</t>
    </r>
    <r>
      <rPr>
        <sz val="10"/>
        <color rgb="FF000000"/>
        <rFont val="Arial"/>
        <family val="2"/>
      </rPr>
      <t xml:space="preserve"> and </t>
    </r>
    <r>
      <rPr>
        <b/>
        <sz val="10"/>
        <color rgb="FF000000"/>
        <rFont val="Arial"/>
        <family val="2"/>
      </rPr>
      <t>onval</t>
    </r>
    <r>
      <rPr>
        <sz val="10"/>
        <color rgb="FF000000"/>
        <rFont val="Arial"/>
        <family val="2"/>
      </rPr>
      <t xml:space="preserve"> are string values associated with the radio button states unselected or selected.</t>
    </r>
  </si>
  <si>
    <r>
      <t xml:space="preserve">Default values are </t>
    </r>
    <r>
      <rPr>
        <b/>
        <sz val="10"/>
        <color rgb="FF000000"/>
        <rFont val="Arial"/>
        <family val="2"/>
      </rPr>
      <t>onval</t>
    </r>
    <r>
      <rPr>
        <sz val="10"/>
        <color rgb="FF000000"/>
        <rFont val="Arial"/>
        <family val="2"/>
      </rPr>
      <t xml:space="preserve"> = ‘ON’, </t>
    </r>
    <r>
      <rPr>
        <b/>
        <sz val="10"/>
        <color rgb="FF000000"/>
        <rFont val="Arial"/>
        <family val="2"/>
      </rPr>
      <t>offval</t>
    </r>
    <r>
      <rPr>
        <sz val="10"/>
        <color rgb="FF000000"/>
        <rFont val="Arial"/>
        <family val="2"/>
      </rPr>
      <t xml:space="preserve"> = ‘OFF’.</t>
    </r>
  </si>
  <si>
    <t>In order to simplify the task of replacing the use of the (now removed) RADIO gadget by the radio group Frame gadget, the RTOGGLE gadget’s UNSELECT events are raised only if a PML open callback has been defined. This allows the simple replacement of TOGGLE gadgets by RTOGGLE gadgets without the need to modify their callbacks.</t>
  </si>
  <si>
    <t>2.5.59</t>
  </si>
  <si>
    <t>Section Plane</t>
  </si>
  <si>
    <t>The Section Plane object provides an interface for interrogating and modifying a Section Plane in the 3D View in Draft. It can be used in conjunction with the PMLSectionPlaneManager PML Object. In order to add a PMLSectionPlane to the 3D View, the PMLSectionPlaneManager must be used.</t>
  </si>
  <si>
    <t>sectionPlane (DBREF)</t>
  </si>
  <si>
    <t>constructor</t>
  </si>
  <si>
    <t>Creates the Section Plane Object with the given DBREF, which must represent a SPLA, PPLA or FPLA element</t>
  </si>
  <si>
    <t>Display Methods</t>
  </si>
  <si>
    <t>Redraw ()</t>
  </si>
  <si>
    <t>Redraw the plane in the 3D View. A plane is infinite in two directions, but is drawn with it's infinite edges clipped to the edges of the current drawlist. Therefore, if the plane is moved, or if the drawlist changes, the plane may need to be redrawn.</t>
  </si>
  <si>
    <t>Highlight ()</t>
  </si>
  <si>
    <t xml:space="preserve">Temporarily highlight the Section Plane in the 3D View.  </t>
  </si>
  <si>
    <t>Show (BOOLEAN)</t>
  </si>
  <si>
    <t>Show/hide a plane in the 3D View.</t>
  </si>
  <si>
    <t>setClipping (BOOLEAN, DBREF)</t>
  </si>
  <si>
    <t>Set/unset the clipping status of the section plane  within the VIEW. DBREF is the reference of the</t>
  </si>
  <si>
    <t>VIEW element</t>
  </si>
  <si>
    <t>switchClipside (DBREF)</t>
  </si>
  <si>
    <t>Switch between standard and reverse for which side of the section plane the model will be clipped. .  DBREF is the reference</t>
  </si>
  <si>
    <t>of the VIEW element</t>
  </si>
  <si>
    <t xml:space="preserve">showClipItems </t>
  </si>
  <si>
    <t>(BOOLEAN, DBREF)</t>
  </si>
  <si>
    <t>Highlight the items in the 3d view that are in the clip list for this section plane. DBREF is the reference of the VIEW element</t>
  </si>
  <si>
    <t>redefinePoints (DIRECTION)</t>
  </si>
  <si>
    <t>Clear the points defining the section plane, and start a user interaction to redefine them. DIRECTION specifies the direction in which the lines between the points are to be extruded.</t>
  </si>
  <si>
    <t>Colour (REAL)</t>
  </si>
  <si>
    <t>Set the colour of the Section Plane (Real must be a colour.code())</t>
  </si>
  <si>
    <t>Translucency (REAL)</t>
  </si>
  <si>
    <t>Set  the  translucency  of  the</t>
  </si>
  <si>
    <t xml:space="preserve">Section Plane. </t>
  </si>
  <si>
    <t>99 = transparent, 1 = opaque</t>
  </si>
  <si>
    <t>isValid ()</t>
  </si>
  <si>
    <t>Checks if the section plane object is valid.</t>
  </si>
  <si>
    <t>queryDbref ()</t>
  </si>
  <si>
    <t>Returns  the  actual  database element.</t>
  </si>
  <si>
    <t>queryShow ()</t>
  </si>
  <si>
    <t>Get the show of the Section Plane</t>
  </si>
  <si>
    <t>queryClip ()</t>
  </si>
  <si>
    <t>Get the clipped value of the Section Plane</t>
  </si>
  <si>
    <t>queryType ()</t>
  </si>
  <si>
    <t>Get the types of the Section Plane. (SPLA, FPLA, PPLA)</t>
  </si>
  <si>
    <t>queryColour ()</t>
  </si>
  <si>
    <t>Get the colour of the Section Plane</t>
  </si>
  <si>
    <t>queryTranslucency ()</t>
  </si>
  <si>
    <t>Get  the  translucency  of  the Section Plane.</t>
  </si>
  <si>
    <t>Table 2: 109. Selection Plane Object Methods</t>
  </si>
  <si>
    <t>2.5.60</t>
  </si>
  <si>
    <t>Section Plane Manager</t>
  </si>
  <si>
    <t>The Graphical Section Plane Manager object provides an interface for interrogating and modifying Section Planes in the 3D View in Draft. It maintains a list of all PML SectionPlane objects that have been added to the 3D View.</t>
  </si>
  <si>
    <t>SectionPlaneManager ()</t>
  </si>
  <si>
    <t xml:space="preserve">Creates the Section Manager Object </t>
  </si>
  <si>
    <t>initialise (BOOLEAN)</t>
  </si>
  <si>
    <t>True - Initialises Section plane mode. False - Uninitialise Section Plane mode.</t>
  </si>
  <si>
    <t>add (DBREF)</t>
  </si>
  <si>
    <t xml:space="preserve">If DBREF is a view then Add all Section Planes from a 2D View (Draft VIEW element) to the 3D View. </t>
  </si>
  <si>
    <t>If DBREF is a PLLB Add all Section Planes from a 2D Library to the 3D View. This includes all elements of the following types:</t>
  </si>
  <si>
    <t>• SPLA, PPLA, FPLA</t>
  </si>
  <si>
    <t xml:space="preserve">If DBREF is a SPLA, PPLA, or FPLA, then it will be added to the 3D View. </t>
  </si>
  <si>
    <t>A SECTIONPLANE object for each section plane added will be created and added to the list.</t>
  </si>
  <si>
    <t>add (SECTIONPLANE)</t>
  </si>
  <si>
    <t>Adds the SECTIONPLANE object to the 3D View.</t>
  </si>
  <si>
    <t>add (STRING)</t>
  </si>
  <si>
    <t>Creates a SECTIONPLANE object from the element with the given name and adds it to the 3D view.</t>
  </si>
  <si>
    <t>remove (DBREF)</t>
  </si>
  <si>
    <t xml:space="preserve">If DBREF is a SPLA, PPLA, or FPLA, then it will be removed from the 3D View.  If the corresponding SECTIONPLANE object is in the list, it will be removed.. </t>
  </si>
  <si>
    <t>remove (SECTIONPLANE)</t>
  </si>
  <si>
    <t>Removes the SECTIONPLANE object from the 3D View and the list.</t>
  </si>
  <si>
    <t>clear ()</t>
  </si>
  <si>
    <t>Clears all Section Planes from the 3D View .</t>
  </si>
  <si>
    <t>highlight (DBREF)</t>
  </si>
  <si>
    <t>Temporarily highlights the Section Plane with DBREF.</t>
  </si>
  <si>
    <t>redraw (DBREF)</t>
  </si>
  <si>
    <t>Redraw all planes in the 3D View. A plane is infinite in two directions, but is drawn with it's infinite edges clipped to the edges of the current drawlist. Therefore, if the plane is moved, or if the drawlist changes, the plane may need to be redrawn.</t>
  </si>
  <si>
    <t>DBREF is the reference of the VIEW element.</t>
  </si>
  <si>
    <t>clip (BOOLEAN)</t>
  </si>
  <si>
    <t>Clip/Unclip the 3D model (within the 3D View) with all the planes displayed in the 3D View. SPLA items will not be clipped.</t>
  </si>
  <si>
    <t>show (BOOLEAN)</t>
  </si>
  <si>
    <t>Show/hide all planes in the 3D View.</t>
  </si>
  <si>
    <t>showClipping (BOOLEAN)</t>
  </si>
  <si>
    <t>Show/hide the side of each section plane that will be clipped</t>
  </si>
  <si>
    <t>colour (REAL)</t>
  </si>
  <si>
    <t>Set the colour of All Section Planes (Real must be a colour.code())</t>
  </si>
  <si>
    <t>translucency (REAL)</t>
  </si>
  <si>
    <t>Set the transparency of All Section Planes.</t>
  </si>
  <si>
    <t xml:space="preserve">createPoints </t>
  </si>
  <si>
    <t xml:space="preserve">(STRING1,STRING2, </t>
  </si>
  <si>
    <t>Creates an SPLA with the given name</t>
  </si>
  <si>
    <t xml:space="preserve">STRING1 in the PLLB named STRING2, extruded in the given DIRECTION.   </t>
  </si>
  <si>
    <t>endCreatePoints</t>
  </si>
  <si>
    <t>Finish collecting points for the SPLA</t>
  </si>
  <si>
    <t>query ()</t>
  </si>
  <si>
    <t>ARRAYof</t>
  </si>
  <si>
    <t xml:space="preserve">SECTIONPLANEs </t>
  </si>
  <si>
    <t>Get all Section Planes in the 3D view</t>
  </si>
  <si>
    <t>querySelected ()</t>
  </si>
  <si>
    <t>Return the DBREF of the selected Section Plane.</t>
  </si>
  <si>
    <t>Create Methods</t>
  </si>
  <si>
    <t>createSpla (name, library name, first point, second point, extrusion direction)</t>
  </si>
  <si>
    <t>SECTIONPLANE</t>
  </si>
  <si>
    <t>Creates a new SPLA element with a specified name, which resides in a specific library. The first and second points represent the locations of the first two WPOS elements. (These will be created automatically by the system with default names). The extrusion direction must also be set. The new SPLA will be drawn in the 3D view.</t>
  </si>
  <si>
    <t>createFpla (name, library name, point, normal direction)</t>
  </si>
  <si>
    <t>SECTIONPLANE.</t>
  </si>
  <si>
    <t>Creates a new FPLA element with a specified name, which resides in a specific library. The position and normal directions must be set. The new FPLA will be drawn in the 3D view.</t>
  </si>
  <si>
    <t>createPpla (name, library name, point)</t>
  </si>
  <si>
    <t xml:space="preserve">Creates a new PPLA element with a specified name , which resides in a specific library. The position must be set. The new PPLA will be drawn in the 3D view. </t>
  </si>
  <si>
    <t>Table 2: 110. Selection Plane Manager Object Methods</t>
  </si>
  <si>
    <t>2.5.61</t>
  </si>
  <si>
    <t>SELECTOR Gadget</t>
  </si>
  <si>
    <r>
      <t xml:space="preserve">Append and entry to the list, where </t>
    </r>
    <r>
      <rPr>
        <b/>
        <sz val="10"/>
        <color rgb="FF000000"/>
        <rFont val="Arial"/>
        <family val="2"/>
      </rPr>
      <t>Dtext</t>
    </r>
    <r>
      <rPr>
        <sz val="10"/>
        <color rgb="FF000000"/>
        <rFont val="Arial"/>
        <family val="2"/>
      </rPr>
      <t xml:space="preserve"> is the text to display in the option list, and </t>
    </r>
    <r>
      <rPr>
        <b/>
        <sz val="10"/>
        <color rgb="FF000000"/>
        <rFont val="Arial"/>
        <family val="2"/>
      </rPr>
      <t>Rtext</t>
    </r>
    <r>
      <rPr>
        <sz val="10"/>
        <color rgb="FF000000"/>
        <rFont val="Arial"/>
        <family val="2"/>
      </rPr>
      <t xml:space="preserve"> is the replacement text for the new field. If </t>
    </r>
    <r>
      <rPr>
        <b/>
        <sz val="10"/>
        <color rgb="FF000000"/>
        <rFont val="Arial"/>
        <family val="2"/>
      </rPr>
      <t>Rtext</t>
    </r>
    <r>
      <rPr>
        <sz val="10"/>
        <color rgb="FF000000"/>
        <rFont val="Arial"/>
        <family val="2"/>
      </rPr>
      <t xml:space="preserve"> isn’t specified, it will be set to </t>
    </r>
    <r>
      <rPr>
        <b/>
        <sz val="10"/>
        <color rgb="FF000000"/>
        <rFont val="Arial"/>
        <family val="2"/>
      </rPr>
      <t>Dtext</t>
    </r>
    <r>
      <rPr>
        <sz val="10"/>
        <color rgb="FF000000"/>
        <rFont val="Arial"/>
        <family val="2"/>
      </rPr>
      <t xml:space="preserve"> by default.</t>
    </r>
  </si>
  <si>
    <r>
      <t>Selected field number of a single choice list. (1,2,</t>
    </r>
    <r>
      <rPr>
        <sz val="10"/>
        <color rgb="FF000000"/>
        <rFont val="Segoe UI Symbol"/>
        <family val="2"/>
      </rPr>
      <t>…</t>
    </r>
    <r>
      <rPr>
        <sz val="10"/>
        <color rgb="FF000000"/>
        <rFont val="Arial"/>
        <family val="2"/>
      </rPr>
      <t>)</t>
    </r>
  </si>
  <si>
    <r>
      <t>Selected field numbers of a multiple choice list. (1,2,</t>
    </r>
    <r>
      <rPr>
        <sz val="10"/>
        <color rgb="FF000000"/>
        <rFont val="Segoe UI Symbol"/>
        <family val="2"/>
      </rPr>
      <t>…</t>
    </r>
    <r>
      <rPr>
        <sz val="10"/>
        <color rgb="FF000000"/>
        <rFont val="Arial"/>
        <family val="2"/>
      </rPr>
      <t>)</t>
    </r>
  </si>
  <si>
    <t>Table 2: 111. SELECTOR Object Members</t>
  </si>
  <si>
    <t>Select(STRING text, STRING value)</t>
  </si>
  <si>
    <r>
      <t xml:space="preserve">Select specified item in a selector. </t>
    </r>
    <r>
      <rPr>
        <sz val="10"/>
        <color rgb="FF000000"/>
        <rFont val="Courier New"/>
        <family val="3"/>
      </rPr>
      <t>text</t>
    </r>
    <r>
      <rPr>
        <sz val="10"/>
        <color rgb="FF000000"/>
        <rFont val="Arial"/>
        <family val="2"/>
      </rPr>
      <t xml:space="preserve"> must be</t>
    </r>
  </si>
  <si>
    <r>
      <t xml:space="preserve">‘Rtext’ or ‘Dtext’. </t>
    </r>
    <r>
      <rPr>
        <sz val="10"/>
        <color rgb="FF000000"/>
        <rFont val="Courier New"/>
        <family val="3"/>
      </rPr>
      <t>value</t>
    </r>
    <r>
      <rPr>
        <sz val="10"/>
        <color rgb="FF000000"/>
        <rFont val="Arial"/>
        <family val="2"/>
      </rPr>
      <t xml:space="preserve"> is the field RTEXT or DTEXT to be selected.</t>
    </r>
  </si>
  <si>
    <t>Select(STRING text, Array values)</t>
  </si>
  <si>
    <r>
      <t xml:space="preserve">Select multiple choice selector fields by value: </t>
    </r>
    <r>
      <rPr>
        <sz val="10"/>
        <color rgb="FF000000"/>
        <rFont val="Courier New"/>
        <family val="3"/>
      </rPr>
      <t>text</t>
    </r>
    <r>
      <rPr>
        <sz val="10"/>
        <color rgb="FF000000"/>
        <rFont val="Arial"/>
        <family val="2"/>
      </rPr>
      <t xml:space="preserve"> must be ‘Rtext’ or ‘Dtext’. The </t>
    </r>
    <r>
      <rPr>
        <sz val="10"/>
        <color rgb="FF000000"/>
        <rFont val="Courier New"/>
        <family val="3"/>
      </rPr>
      <t>values</t>
    </r>
    <r>
      <rPr>
        <sz val="10"/>
        <color rgb="FF000000"/>
        <rFont val="Arial"/>
        <family val="2"/>
      </rPr>
      <t xml:space="preserve"> array contains the RTEXT or DTEXT of the fields to be selected.</t>
    </r>
  </si>
  <si>
    <r>
      <t xml:space="preserve">Get current selection: </t>
    </r>
    <r>
      <rPr>
        <sz val="10"/>
        <color rgb="FF000000"/>
        <rFont val="Courier New"/>
        <family val="3"/>
      </rPr>
      <t xml:space="preserve">text </t>
    </r>
    <r>
      <rPr>
        <sz val="10"/>
        <color rgb="FF000000"/>
        <rFont val="Arial"/>
        <family val="2"/>
      </rPr>
      <t xml:space="preserve">must be ‘Rtext’ or ‘Dtext’. The value of  </t>
    </r>
    <r>
      <rPr>
        <sz val="10"/>
        <color rgb="FF000000"/>
        <rFont val="Courier New"/>
        <family val="3"/>
      </rPr>
      <t>Selection</t>
    </r>
    <r>
      <rPr>
        <sz val="10"/>
        <color rgb="FF000000"/>
        <rFont val="Arial"/>
        <family val="2"/>
      </rPr>
      <t xml:space="preserve"> is the RTEXT or DTEXT of the selected field or fields.</t>
    </r>
  </si>
  <si>
    <t>Clear selector contents.</t>
  </si>
  <si>
    <t>Clear selections only.</t>
  </si>
  <si>
    <t>Table 2: 112. SELECTOR Object Methods</t>
  </si>
  <si>
    <t>The SELECTOR command defines a database element selector gadget and specifies its position, tag, and callback text. Also specifies whether the selector allows a single choice only or multiple choices and defines the area (width and height) in which the displayed part of the list will appear. It also allows you to specify which parts of the hierarchy are shown and whether or not these are updated automatically during database navigation.</t>
  </si>
  <si>
    <t>.-------&lt;---------.</t>
  </si>
  <si>
    <r>
      <t xml:space="preserve">&gt;- SELector </t>
    </r>
    <r>
      <rPr>
        <i/>
        <sz val="9"/>
        <color rgb="FF000000"/>
        <rFont val="Courier New"/>
        <family val="3"/>
      </rPr>
      <t xml:space="preserve">gname </t>
    </r>
    <r>
      <rPr>
        <sz val="9"/>
        <color rgb="FF000000"/>
        <rFont val="Courier New"/>
        <family val="3"/>
      </rPr>
      <t>-+-- &lt;fgpos&gt; --------|</t>
    </r>
  </si>
  <si>
    <r>
      <t>+-- tag</t>
    </r>
    <r>
      <rPr>
        <i/>
        <sz val="9"/>
        <color rgb="FF000000"/>
        <rFont val="Courier New"/>
        <family val="3"/>
      </rPr>
      <t xml:space="preserve">text </t>
    </r>
    <r>
      <rPr>
        <sz val="9"/>
        <color rgb="FF000000"/>
        <rFont val="Courier New"/>
        <family val="3"/>
      </rPr>
      <t>--------| +-- &lt;fganch&gt; -------|</t>
    </r>
  </si>
  <si>
    <t>+-- &lt;fgdock&gt; -------|</t>
  </si>
  <si>
    <r>
      <t xml:space="preserve">+-- TOOLTIP text ---| +-- CALLback </t>
    </r>
    <r>
      <rPr>
        <i/>
        <sz val="9"/>
        <color rgb="FF000000"/>
        <rFont val="Courier New"/>
        <family val="3"/>
      </rPr>
      <t xml:space="preserve">text </t>
    </r>
    <r>
      <rPr>
        <sz val="9"/>
        <color rgb="FF000000"/>
        <rFont val="Courier New"/>
        <family val="3"/>
      </rPr>
      <t>--* +-- SINGle -.</t>
    </r>
  </si>
  <si>
    <t>+-----------‘- &lt;vshap&gt; DATAbase -+- MEMbers -.</t>
  </si>
  <si>
    <t>+- OWNers --|</t>
  </si>
  <si>
    <t>‘-----------+-AUTO-.</t>
  </si>
  <si>
    <t>‘------|</t>
  </si>
  <si>
    <t>‘- MULTiple &lt;vshap&gt; DATAbase ---+- MEMbers ---------|</t>
  </si>
  <si>
    <t>|- OWNers ----------|</t>
  </si>
  <si>
    <t>‘-------------------| |</t>
  </si>
  <si>
    <t>.-------&lt;-----------*</t>
  </si>
  <si>
    <t>+-- TOOLTIP text --.</t>
  </si>
  <si>
    <t>‘------------------‘-&gt;</t>
  </si>
  <si>
    <t>Figure 2:63.</t>
  </si>
  <si>
    <t>Syntax Graph -: Setting up a SELECTOR Object</t>
  </si>
  <si>
    <r>
      <t xml:space="preserve">Default: </t>
    </r>
    <r>
      <rPr>
        <sz val="10"/>
        <color rgb="FF000000"/>
        <rFont val="Arial"/>
        <family val="2"/>
      </rPr>
      <t xml:space="preserve">Single choice. If DATABASE is not qualified, default is Members </t>
    </r>
    <r>
      <rPr>
        <b/>
        <i/>
        <sz val="10"/>
        <color rgb="FF000000"/>
        <rFont val="Arial"/>
        <family val="2"/>
      </rPr>
      <t>plus</t>
    </r>
    <r>
      <rPr>
        <sz val="10"/>
        <color rgb="FF000000"/>
        <rFont val="Arial"/>
        <family val="2"/>
      </rPr>
      <t xml:space="preserve"> Owners. Auto update off.</t>
    </r>
  </si>
  <si>
    <t>2.5.62</t>
  </si>
  <si>
    <t>SESSION Object</t>
  </si>
  <si>
    <t>UniqueID</t>
  </si>
  <si>
    <t xml:space="preserve">Internal ID </t>
  </si>
  <si>
    <t>Session Name</t>
  </si>
  <si>
    <t xml:space="preserve">Login </t>
  </si>
  <si>
    <t>User’s login ID</t>
  </si>
  <si>
    <t xml:space="preserve">Host </t>
  </si>
  <si>
    <t>ID of the Machine running the session</t>
  </si>
  <si>
    <t xml:space="preserve">Entered </t>
  </si>
  <si>
    <t>Time of entering the session</t>
  </si>
  <si>
    <t>LocationName</t>
  </si>
  <si>
    <t>Name  of  Location  for</t>
  </si>
  <si>
    <t>Session</t>
  </si>
  <si>
    <t>IsRemote</t>
  </si>
  <si>
    <t>True for Sessions at Remote locations</t>
  </si>
  <si>
    <t xml:space="preserve">IsCurrent </t>
  </si>
  <si>
    <t>TRUE  for  User’s  own</t>
  </si>
  <si>
    <t>SESSION object</t>
  </si>
  <si>
    <t>Table 2: 113. SESSION Object Members</t>
  </si>
  <si>
    <t>SESSION (STRING)</t>
  </si>
  <si>
    <t>Returns a SESSION object, given a string containing a session's Unique-id.</t>
  </si>
  <si>
    <t>ConfirmID (STRING)</t>
  </si>
  <si>
    <t>Returns TRUE if the password specified by the STRING is correct for the currently logged-in user. (The STRING value must include the leading ‘/’ character).</t>
  </si>
  <si>
    <t>List of Current DBs in the MDB of the SESSION object.</t>
  </si>
  <si>
    <t xml:space="preserve">Deferred() </t>
  </si>
  <si>
    <t>List Deferred DB’s in the MDB of the SESSION object.</t>
  </si>
  <si>
    <t>Location()</t>
  </si>
  <si>
    <t>Return LOCATION to which the Session applies. In a non-Global project, returns NULL or error.</t>
  </si>
  <si>
    <t xml:space="preserve">MDB() </t>
  </si>
  <si>
    <t>The current MDB of the SESSION.</t>
  </si>
  <si>
    <t xml:space="preserve">Mode() </t>
  </si>
  <si>
    <t>List of potential access modes as ‘R’ , ‘RW’  or ‘N’ for each of the current DBs.</t>
  </si>
  <si>
    <t xml:space="preserve">Modified() </t>
  </si>
  <si>
    <t>TRUE if database has been modified.</t>
  </si>
  <si>
    <t xml:space="preserve">Module() </t>
  </si>
  <si>
    <t>Name of the current module.</t>
  </si>
  <si>
    <t xml:space="preserve">Status() </t>
  </si>
  <si>
    <t>List of current access modes as ‘R’ , ‘RW’  or ‘N’ for each of the current DBs.</t>
  </si>
  <si>
    <t xml:space="preserve">User() </t>
  </si>
  <si>
    <t>The user of this SESSION object.</t>
  </si>
  <si>
    <t>Table 2: 114. SESSION Object Methods</t>
  </si>
  <si>
    <r>
      <t>•</t>
    </r>
    <r>
      <rPr>
        <sz val="7"/>
        <color rgb="FF000000"/>
        <rFont val="Times New Roman"/>
        <family val="1"/>
      </rPr>
      <t xml:space="preserve">      </t>
    </r>
    <r>
      <rPr>
        <sz val="10"/>
        <color rgb="FF000000"/>
        <rFont val="Arial"/>
        <family val="2"/>
      </rPr>
      <t xml:space="preserve">The </t>
    </r>
    <r>
      <rPr>
        <b/>
        <sz val="10"/>
        <color rgb="FF000000"/>
        <rFont val="Arial"/>
        <family val="2"/>
      </rPr>
      <t>LocationName</t>
    </r>
    <r>
      <rPr>
        <sz val="10"/>
        <color rgb="FF000000"/>
        <rFont val="Arial"/>
        <family val="2"/>
      </rPr>
      <t xml:space="preserve"> member and </t>
    </r>
    <r>
      <rPr>
        <sz val="10"/>
        <color rgb="FF000000"/>
        <rFont val="Courier New"/>
        <family val="3"/>
      </rPr>
      <t>Location()</t>
    </r>
    <r>
      <rPr>
        <sz val="10"/>
        <color rgb="FF000000"/>
        <rFont val="Arial"/>
        <family val="2"/>
      </rPr>
      <t xml:space="preserve"> method imply the location to which the Session applies. This is normally the current location, except when Sessions at remote locations have been requested. In a non-Global project, these members and methods may be unavailable or unset.</t>
    </r>
  </si>
  <si>
    <r>
      <t>•</t>
    </r>
    <r>
      <rPr>
        <sz val="7"/>
        <color rgb="FF000000"/>
        <rFont val="Times New Roman"/>
        <family val="1"/>
      </rPr>
      <t xml:space="preserve">      </t>
    </r>
    <r>
      <rPr>
        <sz val="10"/>
        <color rgb="FF000000"/>
        <rFont val="Arial"/>
        <family val="2"/>
      </rPr>
      <t xml:space="preserve">Some ADMIN Sessions in a Global project may apply to another location's system database. This will be returned as part of the string returned by the </t>
    </r>
    <r>
      <rPr>
        <sz val="10"/>
        <color rgb="FF000000"/>
        <rFont val="Courier New"/>
        <family val="3"/>
      </rPr>
      <t>Module()</t>
    </r>
    <r>
      <rPr>
        <sz val="10"/>
        <color rgb="FF000000"/>
        <rFont val="Arial"/>
        <family val="2"/>
      </rPr>
      <t xml:space="preserve"> method, if relevant. Other ADMIN Sessions may actually be Global Daemon Sessions. This is returned as part of the string for the </t>
    </r>
    <r>
      <rPr>
        <b/>
        <sz val="10"/>
        <color rgb="FF000000"/>
        <rFont val="Arial"/>
        <family val="2"/>
      </rPr>
      <t>name</t>
    </r>
    <r>
      <rPr>
        <sz val="10"/>
        <color rgb="FF000000"/>
        <rFont val="Arial"/>
        <family val="2"/>
      </rPr>
      <t xml:space="preserve"> member.</t>
    </r>
  </si>
  <si>
    <r>
      <t>•</t>
    </r>
    <r>
      <rPr>
        <sz val="7"/>
        <color rgb="FF000000"/>
        <rFont val="Times New Roman"/>
        <family val="1"/>
      </rPr>
      <t xml:space="preserve">      </t>
    </r>
    <r>
      <rPr>
        <sz val="10"/>
        <color rgb="FF000000"/>
        <rFont val="Arial"/>
        <family val="2"/>
      </rPr>
      <t>Some SESSION object methods have only restricted availability:</t>
    </r>
  </si>
  <si>
    <r>
      <t>•</t>
    </r>
    <r>
      <rPr>
        <sz val="7"/>
        <color rgb="FF000000"/>
        <rFont val="Times New Roman"/>
        <family val="1"/>
      </rPr>
      <t xml:space="preserve">      </t>
    </r>
    <r>
      <rPr>
        <sz val="10"/>
        <color rgb="FF000000"/>
        <rFont val="Arial"/>
        <family val="2"/>
      </rPr>
      <t xml:space="preserve">The </t>
    </r>
    <r>
      <rPr>
        <sz val="10"/>
        <color rgb="FF000000"/>
        <rFont val="Courier New"/>
        <family val="3"/>
      </rPr>
      <t>Modified()</t>
    </r>
    <r>
      <rPr>
        <sz val="10"/>
        <color rgb="FF000000"/>
        <rFont val="Arial"/>
        <family val="2"/>
      </rPr>
      <t xml:space="preserve"> method only applies to the current Session at the current location.</t>
    </r>
  </si>
  <si>
    <r>
      <t>•</t>
    </r>
    <r>
      <rPr>
        <sz val="7"/>
        <color rgb="FF000000"/>
        <rFont val="Times New Roman"/>
        <family val="1"/>
      </rPr>
      <t xml:space="preserve">      </t>
    </r>
    <r>
      <rPr>
        <sz val="10"/>
        <color rgb="FF000000"/>
        <rFont val="Arial"/>
        <family val="2"/>
      </rPr>
      <t xml:space="preserve">The </t>
    </r>
    <r>
      <rPr>
        <sz val="10"/>
        <color rgb="FF000000"/>
        <rFont val="Courier New"/>
        <family val="3"/>
      </rPr>
      <t>Current(),</t>
    </r>
    <r>
      <rPr>
        <sz val="10"/>
        <color rgb="FF000000"/>
        <rFont val="Arial"/>
        <family val="2"/>
      </rPr>
      <t xml:space="preserve"> </t>
    </r>
    <r>
      <rPr>
        <sz val="10"/>
        <color rgb="FF000000"/>
        <rFont val="Courier New"/>
        <family val="3"/>
      </rPr>
      <t>Deferred(),</t>
    </r>
    <r>
      <rPr>
        <sz val="10"/>
        <color rgb="FF000000"/>
        <rFont val="Arial"/>
        <family val="2"/>
      </rPr>
      <t xml:space="preserve"> </t>
    </r>
    <r>
      <rPr>
        <sz val="10"/>
        <color rgb="FF000000"/>
        <rFont val="Courier New"/>
        <family val="3"/>
      </rPr>
      <t>Mode()</t>
    </r>
    <r>
      <rPr>
        <sz val="10"/>
        <color rgb="FF000000"/>
        <rFont val="Arial"/>
        <family val="2"/>
      </rPr>
      <t xml:space="preserve"> and </t>
    </r>
    <r>
      <rPr>
        <sz val="10"/>
        <color rgb="FF000000"/>
        <rFont val="Courier New"/>
        <family val="3"/>
      </rPr>
      <t>Status()</t>
    </r>
    <r>
      <rPr>
        <sz val="10"/>
        <color rgb="FF000000"/>
        <rFont val="Arial"/>
        <family val="2"/>
      </rPr>
      <t xml:space="preserve"> methods will not be implemented for remote Sessions and will return an error.</t>
    </r>
  </si>
  <si>
    <r>
      <t>•</t>
    </r>
    <r>
      <rPr>
        <sz val="7"/>
        <color rgb="FF000000"/>
        <rFont val="Times New Roman"/>
        <family val="1"/>
      </rPr>
      <t xml:space="preserve">      </t>
    </r>
    <r>
      <rPr>
        <sz val="10"/>
        <color rgb="FF000000"/>
        <rFont val="Arial"/>
        <family val="2"/>
      </rPr>
      <t xml:space="preserve">The </t>
    </r>
    <r>
      <rPr>
        <sz val="10"/>
        <color rgb="FF000000"/>
        <rFont val="Courier New"/>
        <family val="3"/>
      </rPr>
      <t>Location()</t>
    </r>
    <r>
      <rPr>
        <sz val="10"/>
        <color rgb="FF000000"/>
        <rFont val="Arial"/>
        <family val="2"/>
      </rPr>
      <t xml:space="preserve">, </t>
    </r>
    <r>
      <rPr>
        <sz val="10"/>
        <color rgb="FF000000"/>
        <rFont val="Courier New"/>
        <family val="3"/>
      </rPr>
      <t>MDB()</t>
    </r>
    <r>
      <rPr>
        <sz val="10"/>
        <color rgb="FF000000"/>
        <rFont val="Arial"/>
        <family val="2"/>
      </rPr>
      <t xml:space="preserve">, </t>
    </r>
    <r>
      <rPr>
        <sz val="10"/>
        <color rgb="FF000000"/>
        <rFont val="Courier New"/>
        <family val="3"/>
      </rPr>
      <t>User()</t>
    </r>
    <r>
      <rPr>
        <sz val="10"/>
        <color rgb="FF000000"/>
        <rFont val="Arial"/>
        <family val="2"/>
      </rPr>
      <t xml:space="preserve"> and </t>
    </r>
    <r>
      <rPr>
        <sz val="10"/>
        <color rgb="FF000000"/>
        <rFont val="Courier New"/>
        <family val="3"/>
      </rPr>
      <t>Module()</t>
    </r>
    <r>
      <rPr>
        <sz val="10"/>
        <color rgb="FF000000"/>
        <rFont val="Arial"/>
        <family val="2"/>
      </rPr>
      <t xml:space="preserve"> methods are valid for remote Sessions.</t>
    </r>
  </si>
  <si>
    <t>The last three methods will cause Daemon activity for Sessions at remote locations.</t>
  </si>
  <si>
    <r>
      <t>•</t>
    </r>
    <r>
      <rPr>
        <sz val="7"/>
        <color rgb="FF000000"/>
        <rFont val="Times New Roman"/>
        <family val="1"/>
      </rPr>
      <t xml:space="preserve">      </t>
    </r>
    <r>
      <rPr>
        <sz val="10"/>
        <color rgb="FF000000"/>
        <rFont val="Arial"/>
        <family val="2"/>
      </rPr>
      <t xml:space="preserve">It should be should be observed in using the MDB and USER objects returned by the </t>
    </r>
    <r>
      <rPr>
        <sz val="10"/>
        <color rgb="FF000000"/>
        <rFont val="Courier New"/>
        <family val="3"/>
      </rPr>
      <t>MDB()</t>
    </r>
    <r>
      <rPr>
        <sz val="10"/>
        <color rgb="FF000000"/>
        <rFont val="Arial"/>
        <family val="2"/>
      </rPr>
      <t xml:space="preserve"> and </t>
    </r>
    <r>
      <rPr>
        <sz val="10"/>
        <color rgb="FF000000"/>
        <rFont val="Courier New"/>
        <family val="3"/>
      </rPr>
      <t>User()</t>
    </r>
    <r>
      <rPr>
        <sz val="10"/>
        <color rgb="FF000000"/>
        <rFont val="Arial"/>
        <family val="2"/>
      </rPr>
      <t xml:space="preserve"> methods for a remote Session. Methods on these objects will access the currently open system database. Thus the appropriate location's system database should be opened (using the </t>
    </r>
    <r>
      <rPr>
        <sz val="10"/>
        <color rgb="FF000000"/>
        <rFont val="Courier New"/>
        <family val="3"/>
      </rPr>
      <t>ADMINISTER SYSTEM</t>
    </r>
    <r>
      <rPr>
        <sz val="10"/>
        <color rgb="FF000000"/>
        <rFont val="Arial"/>
        <family val="2"/>
      </rPr>
      <t xml:space="preserve"> command) before invoking methods on these remotely generated MDB and USER objects.</t>
    </r>
  </si>
  <si>
    <t>!SESSION = CURRENT SESSION</t>
  </si>
  <si>
    <t>$ Returns the current session object.</t>
  </si>
  <si>
    <t>2.5.63</t>
  </si>
  <si>
    <t>SLIDER Gadget</t>
  </si>
  <si>
    <t>Tag text - not displayed for this gadget.</t>
  </si>
  <si>
    <t>Current value as integer.</t>
  </si>
  <si>
    <t>background</t>
  </si>
  <si>
    <t>Background Colour Number.</t>
  </si>
  <si>
    <t>STRING Set only</t>
  </si>
  <si>
    <t xml:space="preserve">Background Colour Name. </t>
  </si>
  <si>
    <t>Range Start, End and optional Step(&gt;0) as integers. The start value may be less than the end value. Array size must be 2 or more.</t>
  </si>
  <si>
    <t>tickstyle</t>
  </si>
  <si>
    <t>Tick style as integer.</t>
  </si>
  <si>
    <t>0 - none, 1 - right or bottom, 2 top or left, 3 - both 1 and 2</t>
  </si>
  <si>
    <t>Table 2: 115. SLIDER Object Members</t>
  </si>
  <si>
    <r>
      <t>•</t>
    </r>
    <r>
      <rPr>
        <sz val="7"/>
        <color rgb="FF000000"/>
        <rFont val="Times New Roman"/>
        <family val="1"/>
      </rPr>
      <t xml:space="preserve">      </t>
    </r>
    <r>
      <rPr>
        <sz val="10"/>
        <color rgb="FF000000"/>
        <rFont val="Arial"/>
        <family val="2"/>
      </rPr>
      <t xml:space="preserve">The </t>
    </r>
    <r>
      <rPr>
        <b/>
        <sz val="10"/>
        <color rgb="FF000000"/>
        <rFont val="Arial"/>
        <family val="2"/>
      </rPr>
      <t>Val</t>
    </r>
    <r>
      <rPr>
        <sz val="10"/>
        <color rgb="FF000000"/>
        <rFont val="Arial"/>
        <family val="2"/>
      </rPr>
      <t xml:space="preserve"> member represents the current value of the slider as a PML REAL (in fact always an integer).</t>
    </r>
  </si>
  <si>
    <r>
      <t>•</t>
    </r>
    <r>
      <rPr>
        <sz val="7"/>
        <color rgb="FF000000"/>
        <rFont val="Times New Roman"/>
        <family val="1"/>
      </rPr>
      <t xml:space="preserve">      </t>
    </r>
    <r>
      <rPr>
        <sz val="10"/>
        <color rgb="FF000000"/>
        <rFont val="Arial"/>
        <family val="2"/>
      </rPr>
      <t xml:space="preserve">The </t>
    </r>
    <r>
      <rPr>
        <b/>
        <sz val="10"/>
        <color rgb="FF000000"/>
        <rFont val="Arial"/>
        <family val="2"/>
      </rPr>
      <t>Range</t>
    </r>
    <r>
      <rPr>
        <sz val="10"/>
        <color rgb="FF000000"/>
        <rFont val="Arial"/>
        <family val="2"/>
      </rPr>
      <t xml:space="preserve"> member allows the slider range and optionally the step value to be set or queried. The granularity of the slider movement is determined by the specified step increment, i.e. a move event is generated at each step increment within the slider’s range. The range limits must each be an integral multiple of the step size (else an error is flagged</t>
    </r>
  </si>
  <si>
    <t>The RESET action of a form (from reset, CANCEL or QUIT actions) will only reset the</t>
  </si>
  <si>
    <r>
      <t xml:space="preserve">slider current value not other slider properties. So if you redefine the range while a form is displayed, and press the </t>
    </r>
    <r>
      <rPr>
        <b/>
        <sz val="10"/>
        <color rgb="FF000000"/>
        <rFont val="Arial"/>
        <family val="2"/>
      </rPr>
      <t>RESET</t>
    </r>
    <r>
      <rPr>
        <sz val="10"/>
        <color rgb="FF000000"/>
        <rFont val="Arial"/>
        <family val="2"/>
      </rPr>
      <t xml:space="preserve"> button, the range will not revert to the previous settings. You will have to do this from reset button’s callback and/or the form’s CANCELCALL callback.</t>
    </r>
  </si>
  <si>
    <r>
      <t>•</t>
    </r>
    <r>
      <rPr>
        <sz val="7"/>
        <color rgb="FF000000"/>
        <rFont val="Times New Roman"/>
        <family val="1"/>
      </rPr>
      <t xml:space="preserve">      </t>
    </r>
    <r>
      <rPr>
        <sz val="10"/>
        <color rgb="FF000000"/>
        <rFont val="Arial"/>
        <family val="2"/>
      </rPr>
      <t>Tick marks, if present, occur at every step value in the range.</t>
    </r>
  </si>
  <si>
    <t>Sets or edits the text of the Tooltip.</t>
  </si>
  <si>
    <t>Get the gadget type as a string i.e. 'SLIDER'.</t>
  </si>
  <si>
    <t>Refresh gadget image.</t>
  </si>
  <si>
    <t>Set keyboard focus to gadget. Allows arrow keys to drive slider.</t>
  </si>
  <si>
    <t>Table 2: 116. SLIDER Object Methods</t>
  </si>
  <si>
    <t>&gt;-- SLIDER gname -+- tagtext -------------------|</t>
  </si>
  <si>
    <t>+- CORE ----------------------| Core managed gadget</t>
  </si>
  <si>
    <t>+- &lt;fgdock&gt; ------------------| +- BACKGround &lt;colno&gt; --------|</t>
  </si>
  <si>
    <t>+- TOOLTIP text --------------| +- VERTical ------------------|</t>
  </si>
  <si>
    <t>+- HORIZontal ----------------* |</t>
  </si>
  <si>
    <t>| .-------&lt;-------------------.</t>
  </si>
  <si>
    <t>+- RANGE int int -------------| +- STEP int ------------------|</t>
  </si>
  <si>
    <t>+- VALue int -----------------*</t>
  </si>
  <si>
    <t>‘- &lt;vshap&gt; -+- TOOLTIP text -.</t>
  </si>
  <si>
    <t>‘----------------‘--&gt;</t>
  </si>
  <si>
    <t>Figure 2:64.</t>
  </si>
  <si>
    <t>Syntax Graph -: Creating a SLIDER Object</t>
  </si>
  <si>
    <r>
      <t xml:space="preserve">Note: </t>
    </r>
    <r>
      <rPr>
        <sz val="10"/>
        <color rgb="FF000000"/>
        <rFont val="Arial"/>
        <family val="2"/>
      </rPr>
      <t xml:space="preserve">The user can specify the range as </t>
    </r>
    <r>
      <rPr>
        <i/>
        <sz val="10"/>
        <color rgb="FF000000"/>
        <rFont val="Arial"/>
        <family val="2"/>
      </rPr>
      <t>start, end</t>
    </r>
    <r>
      <rPr>
        <sz val="10"/>
        <color rgb="FF000000"/>
        <rFont val="Arial"/>
        <family val="2"/>
      </rPr>
      <t xml:space="preserve"> and optional </t>
    </r>
    <r>
      <rPr>
        <i/>
        <sz val="10"/>
        <color rgb="FF000000"/>
        <rFont val="Arial"/>
        <family val="2"/>
      </rPr>
      <t>step</t>
    </r>
    <r>
      <rPr>
        <sz val="10"/>
        <color rgb="FF000000"/>
        <rFont val="Arial"/>
        <family val="2"/>
      </rPr>
      <t xml:space="preserve"> and</t>
    </r>
    <r>
      <rPr>
        <i/>
        <sz val="10"/>
        <color rgb="FF000000"/>
        <rFont val="Arial"/>
        <family val="2"/>
      </rPr>
      <t xml:space="preserve"> value</t>
    </r>
    <r>
      <rPr>
        <sz val="10"/>
        <color rgb="FF000000"/>
        <rFont val="Arial"/>
        <family val="2"/>
      </rPr>
      <t xml:space="preserve"> integer values.</t>
    </r>
  </si>
  <si>
    <t>The &lt;vshap&gt; graph allows the specification of the WIDTH and/or HEIGHT for sliders, in grid units. The width must be specified for a horizontal slider, and the height must be specified for a vertical slider. If the other dimension is not specified then a default size will be assumed.</t>
  </si>
  <si>
    <t>The tag text is not displayed for a slider gadget.</t>
  </si>
  <si>
    <t>2.5.64</t>
  </si>
  <si>
    <t>STRING Object</t>
  </si>
  <si>
    <t>String.real() will convert the string to a number in the same way as REAL(string) does including an extended set of feet and inch formats that can be interpreted. The resultant real will be in current units consistent with the units in the string.</t>
  </si>
  <si>
    <t>After(STRING two)</t>
  </si>
  <si>
    <r>
      <t xml:space="preserve">Return sub-string following leftmost occurrence of substring </t>
    </r>
    <r>
      <rPr>
        <b/>
        <sz val="10"/>
        <color rgb="FF000000"/>
        <rFont val="Arial"/>
        <family val="2"/>
      </rPr>
      <t>two.</t>
    </r>
  </si>
  <si>
    <t>Before(STRING two)</t>
  </si>
  <si>
    <r>
      <t xml:space="preserve">Return sub-string before leftmost occurrence of substring </t>
    </r>
    <r>
      <rPr>
        <b/>
        <sz val="10"/>
        <color rgb="FF000000"/>
        <rFont val="Arial"/>
        <family val="2"/>
      </rPr>
      <t>two.</t>
    </r>
  </si>
  <si>
    <t>Block()</t>
  </si>
  <si>
    <t>Make STRING into a BLOCK for evaluation.</t>
  </si>
  <si>
    <t>Boolean()</t>
  </si>
  <si>
    <t>TRUE if STRING is ‘TRUE’,</t>
  </si>
  <si>
    <t>‘T’, ‘YES’ or ‘Y’;</t>
  </si>
  <si>
    <t>FALSE if STRING is ‘FALSE’,</t>
  </si>
  <si>
    <t>‘F’, ‘NO’,or ‘N’.</t>
  </si>
  <si>
    <t>Bore()</t>
  </si>
  <si>
    <t>Convert STRING to a BORE (exact conversion - see also NEARESTBORE).</t>
  </si>
  <si>
    <t>Bore(FORMAT)</t>
  </si>
  <si>
    <t>Convert STRING to a BORE using the settings in the global FORMAT object.</t>
  </si>
  <si>
    <t>DBRef()</t>
  </si>
  <si>
    <t>Convert STRING to a DBREF.</t>
  </si>
  <si>
    <t>DBRef(FORMAT)</t>
  </si>
  <si>
    <r>
      <t xml:space="preserve">Convert STRING to a DBREF using the settings in the global </t>
    </r>
    <r>
      <rPr>
        <b/>
        <sz val="10"/>
        <color rgb="FF000000"/>
        <rFont val="Arial"/>
        <family val="2"/>
      </rPr>
      <t>format</t>
    </r>
    <r>
      <rPr>
        <sz val="10"/>
        <color rgb="FF000000"/>
        <rFont val="Arial"/>
        <family val="2"/>
      </rPr>
      <t xml:space="preserve"> object.</t>
    </r>
  </si>
  <si>
    <t>Digits()</t>
  </si>
  <si>
    <t>If String contains decimal digits only, then return the positive value represented, else return value -1.0. This handles the digit characters from any Unicode supported language.</t>
  </si>
  <si>
    <t>Convert  STRING  to  a DIRECTION.</t>
  </si>
  <si>
    <t>Direction(FORMAT)</t>
  </si>
  <si>
    <r>
      <t xml:space="preserve">Convert STRING to a DIRECTION using the settings in the global </t>
    </r>
    <r>
      <rPr>
        <b/>
        <sz val="10"/>
        <color rgb="FF000000"/>
        <rFont val="Arial"/>
        <family val="2"/>
      </rPr>
      <t xml:space="preserve">format </t>
    </r>
    <r>
      <rPr>
        <sz val="10"/>
        <color rgb="FF000000"/>
        <rFont val="Arial"/>
        <family val="2"/>
      </rPr>
      <t>object.</t>
    </r>
  </si>
  <si>
    <t>TRUE for empty zero-length string.</t>
  </si>
  <si>
    <t>EQNoCase( STRING )</t>
  </si>
  <si>
    <t>Compare equal ignoring case, with given string.</t>
  </si>
  <si>
    <t>isDigits()</t>
  </si>
  <si>
    <t>String is a contiguous string of decimal digits only. This includes the digit characters from any Unicode supported language.</t>
  </si>
  <si>
    <t>isLetters( )</t>
  </si>
  <si>
    <t>String is a contiguous string of letters only. This includes the letter characters from any Unicode supported language.</t>
  </si>
  <si>
    <t>isLettersAndDigits( )</t>
  </si>
  <si>
    <t>String is a contiguous string of letters and decimal digits only. This includes the letters and digits characters from any Unicode supported language.</t>
  </si>
  <si>
    <t>Number  of  characters  in string.</t>
  </si>
  <si>
    <t>LowCase()</t>
  </si>
  <si>
    <t>Convert string to lower case.</t>
  </si>
  <si>
    <t>LT(STRING)</t>
  </si>
  <si>
    <t>Comparison using ASCII collating sequence.</t>
  </si>
  <si>
    <t>Match(STRING two)</t>
  </si>
  <si>
    <r>
      <t xml:space="preserve">Location of start of sub-string </t>
    </r>
    <r>
      <rPr>
        <b/>
        <sz val="10"/>
        <color rgb="FF000000"/>
        <rFont val="Arial"/>
        <family val="2"/>
      </rPr>
      <t>two</t>
    </r>
    <r>
      <rPr>
        <sz val="10"/>
        <color rgb="FF000000"/>
        <rFont val="Arial"/>
        <family val="2"/>
      </rPr>
      <t xml:space="preserve"> within first string - zero returned if not found.</t>
    </r>
  </si>
  <si>
    <t>MatchWild(STRING two)</t>
  </si>
  <si>
    <r>
      <t xml:space="preserve">TRUE if strings are the same. STRING </t>
    </r>
    <r>
      <rPr>
        <b/>
        <sz val="10"/>
        <color rgb="FF000000"/>
        <rFont val="Arial"/>
        <family val="2"/>
      </rPr>
      <t>two</t>
    </r>
    <r>
      <rPr>
        <sz val="10"/>
        <color rgb="FF000000"/>
        <rFont val="Arial"/>
        <family val="2"/>
      </rPr>
      <t xml:space="preserve"> may contain wildcard characters:</t>
    </r>
  </si>
  <si>
    <t>·* for  any  number  of</t>
  </si>
  <si>
    <t xml:space="preserve">characters </t>
  </si>
  <si>
    <t>·? for any single character.</t>
  </si>
  <si>
    <t>MatchWild(STRING two, STRING multiple)</t>
  </si>
  <si>
    <r>
      <t xml:space="preserve">TRUE if strings are the same as above but </t>
    </r>
    <r>
      <rPr>
        <b/>
        <sz val="10"/>
        <color rgb="FF000000"/>
        <rFont val="Arial"/>
        <family val="2"/>
      </rPr>
      <t xml:space="preserve">multiple </t>
    </r>
    <r>
      <rPr>
        <sz val="10"/>
        <color rgb="FF000000"/>
        <rFont val="Arial"/>
        <family val="2"/>
      </rPr>
      <t>redefines the wildcard for any number of characters.</t>
    </r>
  </si>
  <si>
    <t>MatchWild(STRING two, STRING multiple,STRING single)</t>
  </si>
  <si>
    <r>
      <t xml:space="preserve">TRUE if strings are the same as above but </t>
    </r>
    <r>
      <rPr>
        <b/>
        <sz val="10"/>
        <color rgb="FF000000"/>
        <rFont val="Arial"/>
        <family val="2"/>
      </rPr>
      <t xml:space="preserve">multiple </t>
    </r>
    <r>
      <rPr>
        <sz val="10"/>
        <color rgb="FF000000"/>
        <rFont val="Arial"/>
        <family val="2"/>
      </rPr>
      <t xml:space="preserve">redefines the wildcard for any number of characters and </t>
    </r>
    <r>
      <rPr>
        <b/>
        <sz val="10"/>
        <color rgb="FF000000"/>
        <rFont val="Arial"/>
        <family val="2"/>
      </rPr>
      <t>single</t>
    </r>
    <r>
      <rPr>
        <sz val="10"/>
        <color rgb="FF000000"/>
        <rFont val="Arial"/>
        <family val="2"/>
      </rPr>
      <t xml:space="preserve"> also redefines that for a single character.</t>
    </r>
  </si>
  <si>
    <t>Occurs(STRING)</t>
  </si>
  <si>
    <t>Returns the number of occurrences of the given string.</t>
  </si>
  <si>
    <t>Orientation()</t>
  </si>
  <si>
    <t>Convert  STRING  to  an ORIENTATION.</t>
  </si>
  <si>
    <t>Orientation(FORMAT !!format)</t>
  </si>
  <si>
    <r>
      <t xml:space="preserve">Convert STRING to an ORIENTATION using the settings in the global </t>
    </r>
    <r>
      <rPr>
        <b/>
        <sz val="10"/>
        <color rgb="FF000000"/>
        <rFont val="Arial"/>
        <family val="2"/>
      </rPr>
      <t>!!format</t>
    </r>
    <r>
      <rPr>
        <sz val="10"/>
        <color rgb="FF000000"/>
        <rFont val="Arial"/>
        <family val="2"/>
      </rPr>
      <t>.</t>
    </r>
  </si>
  <si>
    <t>Part(REAL nth)</t>
  </si>
  <si>
    <r>
      <t xml:space="preserve">Extract </t>
    </r>
    <r>
      <rPr>
        <b/>
        <sz val="10"/>
        <color rgb="FF000000"/>
        <rFont val="Arial"/>
        <family val="2"/>
      </rPr>
      <t>nth</t>
    </r>
    <r>
      <rPr>
        <sz val="10"/>
        <color rgb="FF000000"/>
        <rFont val="Arial"/>
        <family val="2"/>
      </rPr>
      <t xml:space="preserve"> field from string where fields are delimited by space, tab or newline.</t>
    </r>
  </si>
  <si>
    <t>Part(REAL nth,STRING delim)</t>
  </si>
  <si>
    <r>
      <t xml:space="preserve">Extract </t>
    </r>
    <r>
      <rPr>
        <b/>
        <sz val="10"/>
        <color rgb="FF000000"/>
        <rFont val="Arial"/>
        <family val="2"/>
      </rPr>
      <t>nth</t>
    </r>
    <r>
      <rPr>
        <sz val="10"/>
        <color rgb="FF000000"/>
        <rFont val="Arial"/>
        <family val="2"/>
      </rPr>
      <t xml:space="preserve"> field from string where fields are delimited by </t>
    </r>
    <r>
      <rPr>
        <b/>
        <sz val="10"/>
        <color rgb="FF000000"/>
        <rFont val="Arial"/>
        <family val="2"/>
      </rPr>
      <t>delim</t>
    </r>
    <r>
      <rPr>
        <sz val="10"/>
        <color rgb="FF000000"/>
        <rFont val="Arial"/>
        <family val="2"/>
      </rPr>
      <t>.</t>
    </r>
  </si>
  <si>
    <t>Position()</t>
  </si>
  <si>
    <t>Convert  STRING  to  a</t>
  </si>
  <si>
    <t>POSITION.</t>
  </si>
  <si>
    <t>Position(FORMAT !!format)</t>
  </si>
  <si>
    <r>
      <t xml:space="preserve">Convert STRING to a POSITION using the settings in the global </t>
    </r>
    <r>
      <rPr>
        <b/>
        <sz val="10"/>
        <color rgb="FF000000"/>
        <rFont val="Arial"/>
        <family val="2"/>
      </rPr>
      <t>!!format</t>
    </r>
    <r>
      <rPr>
        <sz val="10"/>
        <color rgb="FF000000"/>
        <rFont val="Arial"/>
        <family val="2"/>
      </rPr>
      <t xml:space="preserve"> object.</t>
    </r>
  </si>
  <si>
    <t>REAL()</t>
  </si>
  <si>
    <t>Convert to a number.</t>
  </si>
  <si>
    <t>Replace(STRING two,STRING three)</t>
  </si>
  <si>
    <r>
      <t xml:space="preserve">Replace all occurrences of sub-string two with sub-string </t>
    </r>
    <r>
      <rPr>
        <b/>
        <sz val="10"/>
        <color rgb="FF000000"/>
        <rFont val="Arial"/>
        <family val="2"/>
      </rPr>
      <t>three</t>
    </r>
    <r>
      <rPr>
        <sz val="10"/>
        <color rgb="FF000000"/>
        <rFont val="Arial"/>
        <family val="2"/>
      </rPr>
      <t>.</t>
    </r>
  </si>
  <si>
    <t>Replace(STRING two,STRING three,REAL nth)</t>
  </si>
  <si>
    <r>
      <t xml:space="preserve">Replace all occurrences of sub-string </t>
    </r>
    <r>
      <rPr>
        <b/>
        <sz val="10"/>
        <color rgb="FF000000"/>
        <rFont val="Arial"/>
        <family val="2"/>
      </rPr>
      <t>two</t>
    </r>
    <r>
      <rPr>
        <sz val="10"/>
        <color rgb="FF000000"/>
        <rFont val="Arial"/>
        <family val="2"/>
      </rPr>
      <t xml:space="preserve"> with sub-string </t>
    </r>
    <r>
      <rPr>
        <b/>
        <sz val="10"/>
        <color rgb="FF000000"/>
        <rFont val="Arial"/>
        <family val="2"/>
      </rPr>
      <t>three</t>
    </r>
    <r>
      <rPr>
        <sz val="10"/>
        <color rgb="FF000000"/>
        <rFont val="Arial"/>
        <family val="2"/>
      </rPr>
      <t xml:space="preserve"> starting at the </t>
    </r>
    <r>
      <rPr>
        <b/>
        <sz val="10"/>
        <color rgb="FF000000"/>
        <rFont val="Arial"/>
        <family val="2"/>
      </rPr>
      <t xml:space="preserve">nth </t>
    </r>
    <r>
      <rPr>
        <sz val="10"/>
        <color rgb="FF000000"/>
        <rFont val="Arial"/>
        <family val="2"/>
      </rPr>
      <t>occurrence (or -</t>
    </r>
    <r>
      <rPr>
        <b/>
        <sz val="10"/>
        <color rgb="FF000000"/>
        <rFont val="Arial"/>
        <family val="2"/>
      </rPr>
      <t xml:space="preserve">nth </t>
    </r>
    <r>
      <rPr>
        <sz val="10"/>
        <color rgb="FF000000"/>
        <rFont val="Arial"/>
        <family val="2"/>
      </rPr>
      <t>occurrence from the end).</t>
    </r>
  </si>
  <si>
    <t>Replace(STRING wo,STRINGt hree,REAL nth,REAL count)</t>
  </si>
  <si>
    <r>
      <t xml:space="preserve">Replace </t>
    </r>
    <r>
      <rPr>
        <b/>
        <sz val="10"/>
        <color rgb="FF000000"/>
        <rFont val="Arial"/>
        <family val="2"/>
      </rPr>
      <t>count</t>
    </r>
    <r>
      <rPr>
        <sz val="10"/>
        <color rgb="FF000000"/>
        <rFont val="Arial"/>
        <family val="2"/>
      </rPr>
      <t xml:space="preserve">  occurrences of sub-string </t>
    </r>
    <r>
      <rPr>
        <b/>
        <sz val="10"/>
        <color rgb="FF000000"/>
        <rFont val="Arial"/>
        <family val="2"/>
      </rPr>
      <t>two</t>
    </r>
    <r>
      <rPr>
        <sz val="10"/>
        <color rgb="FF000000"/>
        <rFont val="Arial"/>
        <family val="2"/>
      </rPr>
      <t xml:space="preserve"> with substring </t>
    </r>
    <r>
      <rPr>
        <b/>
        <sz val="10"/>
        <color rgb="FF000000"/>
        <rFont val="Arial"/>
        <family val="2"/>
      </rPr>
      <t>three</t>
    </r>
    <r>
      <rPr>
        <sz val="10"/>
        <color rgb="FF000000"/>
        <rFont val="Arial"/>
        <family val="2"/>
      </rPr>
      <t xml:space="preserve"> starting at the </t>
    </r>
    <r>
      <rPr>
        <b/>
        <sz val="10"/>
        <color rgb="FF000000"/>
        <rFont val="Arial"/>
        <family val="2"/>
      </rPr>
      <t xml:space="preserve">nth </t>
    </r>
    <r>
      <rPr>
        <sz val="10"/>
        <color rgb="FF000000"/>
        <rFont val="Arial"/>
        <family val="2"/>
      </rPr>
      <t>occurrence (or -nth occurrence from the end).</t>
    </r>
  </si>
  <si>
    <t>Split string into an ARRAY of STRINGS at space (multiple spaces compressed).</t>
  </si>
  <si>
    <t>Split(STRING elim)</t>
  </si>
  <si>
    <r>
      <t xml:space="preserve">Split string into an ARRAY of STRINGS at </t>
    </r>
    <r>
      <rPr>
        <b/>
        <sz val="10"/>
        <color rgb="FF000000"/>
        <rFont val="Arial"/>
        <family val="2"/>
      </rPr>
      <t>delim</t>
    </r>
    <r>
      <rPr>
        <sz val="10"/>
        <color rgb="FF000000"/>
        <rFont val="Arial"/>
        <family val="2"/>
      </rPr>
      <t xml:space="preserve"> (multiples of </t>
    </r>
    <r>
      <rPr>
        <b/>
        <sz val="10"/>
        <color rgb="FF000000"/>
        <rFont val="Arial"/>
        <family val="2"/>
      </rPr>
      <t>delim</t>
    </r>
    <r>
      <rPr>
        <sz val="10"/>
        <color rgb="FF000000"/>
        <rFont val="Arial"/>
        <family val="2"/>
      </rPr>
      <t xml:space="preserve"> not compressed).</t>
    </r>
  </si>
  <si>
    <t>String(BLOCK)</t>
  </si>
  <si>
    <t>Creates a STRING from a BLOCK expression.</t>
  </si>
  <si>
    <t>String(BOOLEAN)</t>
  </si>
  <si>
    <t>Creates a STRING equal to TRUE or FALSE.</t>
  </si>
  <si>
    <t>String(BOOLEAN,FORMAT)</t>
  </si>
  <si>
    <t>Creates a STRING from a BOOLEAN, as specified in the FORMAT object.</t>
  </si>
  <si>
    <t>String(BORE)</t>
  </si>
  <si>
    <t>Creates a STRING from a BORE.</t>
  </si>
  <si>
    <t>String(BORE,FORMAT)</t>
  </si>
  <si>
    <t>Creates a STRING from a BORE, as specified in the FORMAT object.</t>
  </si>
  <si>
    <t>String(DB)</t>
  </si>
  <si>
    <t>Creates a STRING containing the DB name.</t>
  </si>
  <si>
    <t>String(DB,FORMAT)</t>
  </si>
  <si>
    <t>Creates a STRING containing the DB name. The FORMAT argument is required for consistency by Forms and Menus.</t>
  </si>
  <si>
    <t>String(DIRECTION)</t>
  </si>
  <si>
    <t>Creates a STRING from a DIRECTION.</t>
  </si>
  <si>
    <t>String(DIRECTION,FORMAT)</t>
  </si>
  <si>
    <t>Creates a STRING from a Direction, as specified in the FORMAT object.</t>
  </si>
  <si>
    <t>Convert STRING to a STRING using the settings in the global FORMAT object.</t>
  </si>
  <si>
    <t>String(MDB)</t>
  </si>
  <si>
    <t>Creates a STRING containing the MDB name.</t>
  </si>
  <si>
    <t>String(ORIENTATION)</t>
  </si>
  <si>
    <t>Creates a STRING from an</t>
  </si>
  <si>
    <t>Orientation.</t>
  </si>
  <si>
    <t>String(ORIENTATION,FORMAT)</t>
  </si>
  <si>
    <t>Creates a STRING from an Orientation, as specified in the FORMAT object.</t>
  </si>
  <si>
    <t>String(POSITION)</t>
  </si>
  <si>
    <t>Creates a STRING from a POSITION.</t>
  </si>
  <si>
    <t>String(POSITION,FORMAT)</t>
  </si>
  <si>
    <t>Creates a STRING from a POSITION, as specified in the FORMAT object.</t>
  </si>
  <si>
    <t>String(PROJECT)</t>
  </si>
  <si>
    <t>Creates a STRING containing the PROJECT code.</t>
  </si>
  <si>
    <t>String(REAL)</t>
  </si>
  <si>
    <t>Creates a STRING from a REAL.</t>
  </si>
  <si>
    <t>String(REAL,FORMAT)</t>
  </si>
  <si>
    <t>Creates a STRING from a REAL, as specified in the FORMAT object.</t>
  </si>
  <si>
    <t>String(REAL,STRING)</t>
  </si>
  <si>
    <t>Creates a STRING from a</t>
  </si>
  <si>
    <t>REAL. The STRING argument  is present for converting the number of decimal places when given in the obsolete format  Dn.</t>
  </si>
  <si>
    <t>String(SESSION)</t>
  </si>
  <si>
    <t>Creates a STRING containing the SESSION number.</t>
  </si>
  <si>
    <t>String(TEAM)</t>
  </si>
  <si>
    <t>Creates a STRING containing the TEAM name.</t>
  </si>
  <si>
    <t>String(USER)</t>
  </si>
  <si>
    <t>Creates a STRING containing the USER name.</t>
  </si>
  <si>
    <t>Substring(REAL index,REAL nchars)</t>
  </si>
  <si>
    <r>
      <t xml:space="preserve">Returns a sub-string, </t>
    </r>
    <r>
      <rPr>
        <b/>
        <sz val="10"/>
        <color rgb="FF000000"/>
        <rFont val="Arial"/>
        <family val="2"/>
      </rPr>
      <t xml:space="preserve">nchars </t>
    </r>
    <r>
      <rPr>
        <sz val="10"/>
        <color rgb="FF000000"/>
        <rFont val="Arial"/>
        <family val="2"/>
      </rPr>
      <t xml:space="preserve">in length, starting at </t>
    </r>
    <r>
      <rPr>
        <b/>
        <sz val="10"/>
        <color rgb="FF000000"/>
        <rFont val="Arial"/>
        <family val="2"/>
      </rPr>
      <t>index</t>
    </r>
    <r>
      <rPr>
        <sz val="10"/>
        <color rgb="FF000000"/>
        <rFont val="Arial"/>
        <family val="2"/>
      </rPr>
      <t>.</t>
    </r>
  </si>
  <si>
    <t>Substring(REALindex)</t>
  </si>
  <si>
    <r>
      <t xml:space="preserve">Returns a sub-string from </t>
    </r>
    <r>
      <rPr>
        <b/>
        <sz val="10"/>
        <color rgb="FF000000"/>
        <rFont val="Arial"/>
        <family val="2"/>
      </rPr>
      <t>index</t>
    </r>
    <r>
      <rPr>
        <sz val="10"/>
        <color rgb="FF000000"/>
        <rFont val="Arial"/>
        <family val="2"/>
      </rPr>
      <t xml:space="preserve"> to the end of the string</t>
    </r>
  </si>
  <si>
    <t>Trim()</t>
  </si>
  <si>
    <t>Remove initial and trailing spaces.</t>
  </si>
  <si>
    <t>Trim(STRING options,STRING char)</t>
  </si>
  <si>
    <r>
      <t xml:space="preserve">Reduce multiple occurrences of </t>
    </r>
    <r>
      <rPr>
        <b/>
        <sz val="10"/>
        <color rgb="FF000000"/>
        <rFont val="Arial"/>
        <family val="2"/>
      </rPr>
      <t>char</t>
    </r>
    <r>
      <rPr>
        <sz val="10"/>
        <color rgb="FF000000"/>
        <rFont val="Arial"/>
        <family val="2"/>
      </rPr>
      <t xml:space="preserve"> to a single occurrence throughout the STRING</t>
    </r>
  </si>
  <si>
    <t>(options = ‘M’).</t>
  </si>
  <si>
    <t>Trim(STRING‘options’)</t>
  </si>
  <si>
    <t>Remove  initial  spaces</t>
  </si>
  <si>
    <r>
      <t>(</t>
    </r>
    <r>
      <rPr>
        <b/>
        <sz val="10"/>
        <color rgb="FF000000"/>
        <rFont val="Arial"/>
        <family val="2"/>
      </rPr>
      <t>options</t>
    </r>
    <r>
      <rPr>
        <sz val="10"/>
        <color rgb="FF000000"/>
        <rFont val="Arial"/>
        <family val="2"/>
      </rPr>
      <t xml:space="preserve"> =‘L’), trailing spaces (</t>
    </r>
    <r>
      <rPr>
        <b/>
        <sz val="10"/>
        <color rgb="FF000000"/>
        <rFont val="Arial"/>
        <family val="2"/>
      </rPr>
      <t>options</t>
    </r>
    <r>
      <rPr>
        <sz val="10"/>
        <color rgb="FF000000"/>
        <rFont val="Arial"/>
        <family val="2"/>
      </rPr>
      <t xml:space="preserve"> = ‘R’) or both</t>
    </r>
  </si>
  <si>
    <r>
      <t>(</t>
    </r>
    <r>
      <rPr>
        <b/>
        <sz val="10"/>
        <color rgb="FF000000"/>
        <rFont val="Arial"/>
        <family val="2"/>
      </rPr>
      <t>options</t>
    </r>
    <r>
      <rPr>
        <sz val="10"/>
        <color rgb="FF000000"/>
        <rFont val="Arial"/>
        <family val="2"/>
      </rPr>
      <t xml:space="preserve"> =’LR’).</t>
    </r>
  </si>
  <si>
    <t>UpCase()</t>
  </si>
  <si>
    <t>Convert STRING to upper case.</t>
  </si>
  <si>
    <t>VLogical()</t>
  </si>
  <si>
    <t>Evaluate STRING as a BOOLEAN.</t>
  </si>
  <si>
    <t>VText()</t>
  </si>
  <si>
    <t>Evaluate STRING as a STRING.</t>
  </si>
  <si>
    <t>VValue()</t>
  </si>
  <si>
    <t>Evaluate STRING as a REAL.</t>
  </si>
  <si>
    <t>Table 2: 117. STRING Object Methods</t>
  </si>
  <si>
    <r>
      <t xml:space="preserve">Compare Strings Ignoring Case </t>
    </r>
    <r>
      <rPr>
        <sz val="10"/>
        <color rgb="FF000000"/>
        <rFont val="Arial"/>
        <family val="2"/>
      </rPr>
      <t>Examples:</t>
    </r>
  </si>
  <si>
    <r>
      <t>•</t>
    </r>
    <r>
      <rPr>
        <sz val="7"/>
        <color rgb="FF000000"/>
        <rFont val="Times New Roman"/>
        <family val="1"/>
      </rPr>
      <t xml:space="preserve">      </t>
    </r>
    <r>
      <rPr>
        <sz val="10"/>
        <color rgb="FF000000"/>
        <rFont val="Arial"/>
        <family val="2"/>
      </rPr>
      <t xml:space="preserve">The new construct </t>
    </r>
    <r>
      <rPr>
        <b/>
        <sz val="10"/>
        <color rgb="FF000000"/>
        <rFont val="Arial"/>
        <family val="2"/>
      </rPr>
      <t xml:space="preserve">if( !this.attrib.eqNoCase('Name') </t>
    </r>
    <r>
      <rPr>
        <sz val="10"/>
        <color rgb="FF000000"/>
        <rFont val="Arial"/>
        <family val="2"/>
      </rPr>
      <t xml:space="preserve">) is more efficient than comparisons of the form </t>
    </r>
    <r>
      <rPr>
        <b/>
        <sz val="10"/>
        <color rgb="FF000000"/>
        <rFont val="Arial"/>
        <family val="2"/>
      </rPr>
      <t>if( !this.attrib.upcase() eq 'NAME' )</t>
    </r>
    <r>
      <rPr>
        <sz val="10"/>
        <color rgb="FF000000"/>
        <rFont val="Arial"/>
        <family val="2"/>
      </rPr>
      <t xml:space="preserve"> particularly when the check fails. It is also more reliable because it doesn't matter what is the case of the value checked against.</t>
    </r>
  </si>
  <si>
    <r>
      <t>•</t>
    </r>
    <r>
      <rPr>
        <sz val="7"/>
        <color rgb="FF000000"/>
        <rFont val="Times New Roman"/>
        <family val="1"/>
      </rPr>
      <t xml:space="preserve">      </t>
    </r>
    <r>
      <rPr>
        <sz val="10"/>
        <color rgb="FF000000"/>
        <rFont val="Arial"/>
        <family val="2"/>
      </rPr>
      <t>It may be worth revisiting such checks in the Appware and replacing them with the new construction as this could fix undiagnosed defects and improve performance!</t>
    </r>
  </si>
  <si>
    <t>Is String Letters Only?</t>
  </si>
  <si>
    <t>Example:</t>
  </si>
  <si>
    <t>Is String Digits Only?</t>
  </si>
  <si>
    <r>
      <t xml:space="preserve">Get Value Of Digits Only String </t>
    </r>
    <r>
      <rPr>
        <sz val="10"/>
        <color rgb="FF000000"/>
        <rFont val="Arial"/>
        <family val="2"/>
      </rPr>
      <t>Example:</t>
    </r>
  </si>
  <si>
    <t>!val = !strdgts.Digits() q var !val</t>
  </si>
  <si>
    <t>&lt;REAL&gt; 1234</t>
  </si>
  <si>
    <t>Is String Letters And Digits Only?</t>
  </si>
  <si>
    <t>!strmix= !strlet + !strdgts q var !strmix.isLettersAndDigits()</t>
  </si>
  <si>
    <t>&lt;BOOLEAN&gt; TRUE q var !strmix.isLetters() &lt;BOOLEAN&gt; FALSE q var !strmix.Digits()</t>
  </si>
  <si>
    <t>&lt;REAL&gt; -1</t>
  </si>
  <si>
    <t>q var !strlet.isLettersAndDigits()</t>
  </si>
  <si>
    <t>&lt;BOOLEAN&gt; TRUE</t>
  </si>
  <si>
    <t>q var !strdgts.isLettersAndDigits()</t>
  </si>
  <si>
    <t>2.5.65</t>
  </si>
  <si>
    <t>STATE</t>
  </si>
  <si>
    <t>The STATE object provides an interface for interrogating and modifying the status of modify mode. It is only available to Design running in graphical mode.</t>
  </si>
  <si>
    <t>state ()</t>
  </si>
  <si>
    <t>modifyMode ()</t>
  </si>
  <si>
    <t>Returns TRUE if modify mode is on; else returns FALSE</t>
  </si>
  <si>
    <t>modifyMode (BOOLEAN)</t>
  </si>
  <si>
    <t>none</t>
  </si>
  <si>
    <t>Sets modify mode on or off</t>
  </si>
  <si>
    <t>enableModifyMode ()</t>
  </si>
  <si>
    <t>Returns TRUE if modify mode is enabled, else returns FALSE</t>
  </si>
  <si>
    <t>enableModifyMode (BOOLEAN)</t>
  </si>
  <si>
    <t>If TRUE, then modify mode is enabled. If FALSE, modify mode is disabled unless it is already on, in which case this method has no effect.</t>
  </si>
  <si>
    <t>The method returns TRUE if the action is successful, else returns FALSE.</t>
  </si>
  <si>
    <t xml:space="preserve">.featureHighlight </t>
  </si>
  <si>
    <t>(BOOLEAN)</t>
  </si>
  <si>
    <t>If TRUE, then features (ppoints, plines, vertices, etc) are temporarily highlighted in the 3d view as the cursor passes over them.  Setting this to FALSE turns this feature off.</t>
  </si>
  <si>
    <t>Table 2: 118. STATE Object Method</t>
  </si>
  <si>
    <t>2.5.66</t>
  </si>
  <si>
    <t>TABLE Object</t>
  </si>
  <si>
    <t>The TABLE object is used to hold raw data in a manner that can be manipulated in a tabular manner, i.e. as a spreadsheet. Each row of the table represents a DBREF, and is defined by the primary key. The columns of the table contain information about the DBREF according to the associated COLUMN object.</t>
  </si>
  <si>
    <t>Sorting of the table is by the order of the columns and the sort criteria on the relevant column. The formatting of the table data is via a REPORT object, which will allow the same data to be represented in many different ways.</t>
  </si>
  <si>
    <t>Table(DBREF ARRAY, COLUMN ARRAY)</t>
  </si>
  <si>
    <t>Constructor that passes the Primary Key as an ARRAY of DBREFS and the columns as an ARRAY of COLUMNS</t>
  </si>
  <si>
    <t>Table(COLLECTION, COLUMNARRAY)</t>
  </si>
  <si>
    <t>Constructor that passes the</t>
  </si>
  <si>
    <t>Primary Key as a COLLECTION and the columns as an ARRAY of COLUMNS.</t>
  </si>
  <si>
    <t>PrimaryKey(COLLECTION)</t>
  </si>
  <si>
    <t>User defined Primary Key populated directly from a COLLECTION.</t>
  </si>
  <si>
    <t>PrimaryKey(ARRAY of DBREF)</t>
  </si>
  <si>
    <t>User defined Primary Key.</t>
  </si>
  <si>
    <t>Column(REAL n, COLUMN)</t>
  </si>
  <si>
    <t>Replaces the -nth column of the table.</t>
  </si>
  <si>
    <t>ClearColumns()</t>
  </si>
  <si>
    <t>Clears all the columns from the table.</t>
  </si>
  <si>
    <t>Columns(COLUMN ARRAY)</t>
  </si>
  <si>
    <t>Sets up the columns from an ARRAY of COLUMN objects.</t>
  </si>
  <si>
    <t>Evaluates the complete table.</t>
  </si>
  <si>
    <t>EvaluatePrimaryKey()</t>
  </si>
  <si>
    <t>Re-evaluates  the  Primary</t>
  </si>
  <si>
    <t>Key collection.</t>
  </si>
  <si>
    <t>PrimaryKey()</t>
  </si>
  <si>
    <t>Returns the primary Key of the table, reference list for the columns of the table.</t>
  </si>
  <si>
    <t>Columns()</t>
  </si>
  <si>
    <t>COLUMN ARRAY</t>
  </si>
  <si>
    <t>Returns  the  column definitions.  The order of the columns is important when sorting.</t>
  </si>
  <si>
    <t>Cell(REAL column, REAL row)</t>
  </si>
  <si>
    <r>
      <t xml:space="preserve">Returns the contents of the cell at the </t>
    </r>
    <r>
      <rPr>
        <b/>
        <sz val="10"/>
        <color rgb="FF000000"/>
        <rFont val="Arial"/>
        <family val="2"/>
      </rPr>
      <t>column</t>
    </r>
    <r>
      <rPr>
        <sz val="10"/>
        <color rgb="FF000000"/>
        <rFont val="Arial"/>
        <family val="2"/>
      </rPr>
      <t xml:space="preserve"> and </t>
    </r>
    <r>
      <rPr>
        <b/>
        <sz val="10"/>
        <color rgb="FF000000"/>
        <rFont val="Arial"/>
        <family val="2"/>
      </rPr>
      <t>row</t>
    </r>
    <r>
      <rPr>
        <sz val="10"/>
        <color rgb="FF000000"/>
        <rFont val="Arial"/>
        <family val="2"/>
      </rPr>
      <t>.</t>
    </r>
  </si>
  <si>
    <t>Column(REAL, n)</t>
  </si>
  <si>
    <r>
      <t xml:space="preserve">Returns the contents of </t>
    </r>
    <r>
      <rPr>
        <b/>
        <sz val="10"/>
        <color rgb="FF000000"/>
        <rFont val="Arial"/>
        <family val="2"/>
      </rPr>
      <t xml:space="preserve">nth </t>
    </r>
    <r>
      <rPr>
        <sz val="10"/>
        <color rgb="FF000000"/>
        <rFont val="Arial"/>
        <family val="2"/>
      </rPr>
      <t>column.</t>
    </r>
  </si>
  <si>
    <t>Row(REAL, n)</t>
  </si>
  <si>
    <r>
      <t xml:space="preserve">Returns the contents of </t>
    </r>
    <r>
      <rPr>
        <b/>
        <sz val="10"/>
        <color rgb="FF000000"/>
        <rFont val="Arial"/>
        <family val="2"/>
      </rPr>
      <t xml:space="preserve">nth </t>
    </r>
    <r>
      <rPr>
        <sz val="10"/>
        <color rgb="FF000000"/>
        <rFont val="Arial"/>
        <family val="2"/>
      </rPr>
      <t>row.</t>
    </r>
  </si>
  <si>
    <t>Cell(STRING key, DBREF)</t>
  </si>
  <si>
    <t>Contents of the cell at the column and row.</t>
  </si>
  <si>
    <t>Column(STRING key)</t>
  </si>
  <si>
    <r>
      <t xml:space="preserve">Returns the contents of column identified by </t>
    </r>
    <r>
      <rPr>
        <b/>
        <sz val="10"/>
        <color rgb="FF000000"/>
        <rFont val="Arial"/>
        <family val="2"/>
      </rPr>
      <t>key</t>
    </r>
    <r>
      <rPr>
        <sz val="10"/>
        <color rgb="FF000000"/>
        <rFont val="Arial"/>
        <family val="2"/>
      </rPr>
      <t>.</t>
    </r>
  </si>
  <si>
    <t>Row(DBREF)</t>
  </si>
  <si>
    <t>Returns the contents of row identified by DBREF.</t>
  </si>
  <si>
    <t>Table 2: 119. Table -:TABLE Object Methods</t>
  </si>
  <si>
    <t>2.5.67</t>
  </si>
  <si>
    <t>TEAM Object</t>
  </si>
  <si>
    <t>Name of the TEAM, up to 32 characters.</t>
  </si>
  <si>
    <t>TEAM description, up to 120 characters.</t>
  </si>
  <si>
    <t>STRING  containing</t>
  </si>
  <si>
    <t>Database reference number.</t>
  </si>
  <si>
    <t>Table 2: 120. TEAM Object Members</t>
  </si>
  <si>
    <t>DbList()</t>
  </si>
  <si>
    <t>List of DBs owned by the TEAM.</t>
  </si>
  <si>
    <t>ARRAY OF USER</t>
  </si>
  <si>
    <t>List of USERS in the TEAM.</t>
  </si>
  <si>
    <t>TEAM(DBREF)</t>
  </si>
  <si>
    <t>Returns a TEAM object, given a DBREF.</t>
  </si>
  <si>
    <t>TEAM(STRING)</t>
  </si>
  <si>
    <t>Returns a TEAM object, given a name or reference number.</t>
  </si>
  <si>
    <t>Table 2: 121. TEAM Object Methods</t>
  </si>
  <si>
    <t xml:space="preserve">These methods may be used in the following ways </t>
  </si>
  <si>
    <t>!D = OBJECT TEAM(!!CE)</t>
  </si>
  <si>
    <t>!D = OBJECT TEAM(!!CE.Name)</t>
  </si>
  <si>
    <t>!D = !!CE.TEAM()</t>
  </si>
  <si>
    <t>!D = !!CE.Name.TEAM()</t>
  </si>
  <si>
    <r>
      <t xml:space="preserve">In all cases </t>
    </r>
    <r>
      <rPr>
        <b/>
        <sz val="10"/>
        <color rgb="FF000000"/>
        <rFont val="Arial"/>
        <family val="2"/>
      </rPr>
      <t>!!CE</t>
    </r>
    <r>
      <rPr>
        <sz val="10"/>
        <color rgb="FF000000"/>
        <rFont val="Arial"/>
        <family val="2"/>
      </rPr>
      <t xml:space="preserve"> is assumed to be a DB database element and </t>
    </r>
    <r>
      <rPr>
        <b/>
        <sz val="10"/>
        <color rgb="FF000000"/>
        <rFont val="Arial"/>
        <family val="2"/>
      </rPr>
      <t>!!CE.Name</t>
    </r>
    <r>
      <rPr>
        <sz val="10"/>
        <color rgb="FF000000"/>
        <rFont val="Arial"/>
        <family val="2"/>
      </rPr>
      <t xml:space="preserve"> is a STRING object containing the element’s name.</t>
    </r>
  </si>
  <si>
    <t>!ARRAY = TEAMS</t>
  </si>
  <si>
    <t>$ Returns an array of TEAMs</t>
  </si>
  <si>
    <t>2.5.68</t>
  </si>
  <si>
    <t>TEXT Gadget</t>
  </si>
  <si>
    <t>Set or get the contents of STRING type TEXT field.</t>
  </si>
  <si>
    <t xml:space="preserve">Val  </t>
  </si>
  <si>
    <t>Set or get the contents of REAL type TEXT field.</t>
  </si>
  <si>
    <t>Set or get the contents of BOOLEAN type TEXT field.</t>
  </si>
  <si>
    <t>'AS</t>
  </si>
  <si>
    <t>DEFINED</t>
  </si>
  <si>
    <t>Set or get the contents of the field according to the user defined type.</t>
  </si>
  <si>
    <t>DataType</t>
  </si>
  <si>
    <t>Get the type of the field.</t>
  </si>
  <si>
    <t>Echo</t>
  </si>
  <si>
    <t>Get the Echo Status. Noecho means that typed characters will all appear as asterisks.</t>
  </si>
  <si>
    <t>Format</t>
  </si>
  <si>
    <t>Get the name of the format object associated with the field.</t>
  </si>
  <si>
    <t>Get the Scroll Width.</t>
  </si>
  <si>
    <t>ValidateCall</t>
  </si>
  <si>
    <t>Set/get user-defined validation callback.</t>
  </si>
  <si>
    <t>Controls the ability to interactively edit the content of a text field.</t>
  </si>
  <si>
    <t>Table 2: 122. TEXT Object Members</t>
  </si>
  <si>
    <t>Clear gadget contents.</t>
  </si>
  <si>
    <t>SetEditable(BOOLEAN)</t>
  </si>
  <si>
    <t>Sets the editable status for the field.</t>
  </si>
  <si>
    <t>SetValue(ANY value, BOOLEAN validate)</t>
  </si>
  <si>
    <r>
      <t xml:space="preserve">Sets the value of the field, checking for valid type and format. If </t>
    </r>
    <r>
      <rPr>
        <sz val="10"/>
        <color rgb="FF000000"/>
        <rFont val="Courier New"/>
        <family val="3"/>
      </rPr>
      <t>validate</t>
    </r>
    <r>
      <rPr>
        <sz val="10"/>
        <color rgb="FF000000"/>
        <rFont val="Arial"/>
        <family val="2"/>
      </rPr>
      <t xml:space="preserve">  is TRUE, the validation callback will be executed.</t>
    </r>
  </si>
  <si>
    <t>Get the gadget type as a string i.e. 'TEXT'.</t>
  </si>
  <si>
    <t xml:space="preserve">Seteditable( STRING attrib, </t>
  </si>
  <si>
    <t>REAL value)</t>
  </si>
  <si>
    <t>Specify value of named attribute. Currently the only attribute supported is HANDLEMODIFY which determines when the text MODIFIED events are fired. It has values:</t>
  </si>
  <si>
    <r>
      <t>0</t>
    </r>
    <r>
      <rPr>
        <sz val="7"/>
        <color rgb="FF000000"/>
        <rFont val="Times New Roman"/>
        <family val="1"/>
      </rPr>
      <t xml:space="preserve">                </t>
    </r>
    <r>
      <rPr>
        <sz val="10"/>
        <color rgb="FF000000"/>
        <rFont val="Arial"/>
        <family val="2"/>
      </rPr>
      <t>MODIFIED  events  off</t>
    </r>
  </si>
  <si>
    <t>(default).</t>
  </si>
  <si>
    <r>
      <t>1</t>
    </r>
    <r>
      <rPr>
        <sz val="7"/>
        <color rgb="FF000000"/>
        <rFont val="Times New Roman"/>
        <family val="1"/>
      </rPr>
      <t xml:space="preserve">                </t>
    </r>
    <r>
      <rPr>
        <sz val="10"/>
        <color rgb="FF000000"/>
        <rFont val="Arial"/>
        <family val="2"/>
      </rPr>
      <t>Generate MODIFIED eventfor first user modification.</t>
    </r>
  </si>
  <si>
    <r>
      <t>2</t>
    </r>
    <r>
      <rPr>
        <sz val="7"/>
        <color rgb="FF000000"/>
        <rFont val="Times New Roman"/>
        <family val="1"/>
      </rPr>
      <t xml:space="preserve">                </t>
    </r>
    <r>
      <rPr>
        <sz val="10"/>
        <color rgb="FF000000"/>
        <rFont val="Arial"/>
        <family val="2"/>
      </rPr>
      <t>Generate MODIFIED eventfor all user modifications.</t>
    </r>
  </si>
  <si>
    <t>Table 2: 123. TEXT Object Methods</t>
  </si>
  <si>
    <t xml:space="preserve">The TEXT command defines a text field gadget which supports data values of a given type. </t>
  </si>
  <si>
    <t>The following can also be specified; Gadget position, tag, size, callback, dock, anchor and tooltip; maximum length of the string that may be scrolled in the gadget; the name of a format object which says how a value is to appear as text or be interpreted; that text entered is not echoed as typed, but appears as asterisks (for entering passwords, for example); that the field contents can be seen but not edited.</t>
  </si>
  <si>
    <r>
      <t xml:space="preserve">You can define the TEXT object to be either PML-controlled, or core-code controlled using the gadget qualifier attribute </t>
    </r>
    <r>
      <rPr>
        <i/>
        <sz val="10"/>
        <color rgb="FF000000"/>
        <rFont val="Arial"/>
        <family val="2"/>
      </rPr>
      <t>control type</t>
    </r>
    <r>
      <rPr>
        <sz val="10"/>
        <color rgb="FF000000"/>
        <rFont val="Arial"/>
        <family val="2"/>
      </rPr>
      <t xml:space="preserve">, with values ‘PML” or “CORE”. </t>
    </r>
  </si>
  <si>
    <t>.--------&lt;-------------.</t>
  </si>
  <si>
    <t>&gt;-- TEXT gname --+-- &lt;fgpos&gt; -------------|</t>
  </si>
  <si>
    <t>+-- CORE ----------------| Core managed gadget</t>
  </si>
  <si>
    <t>+-- &lt;fgtagw&gt; ------------|</t>
  </si>
  <si>
    <t>+-- &lt;fgdock&gt; ------------| +-- TOOLTIP text --------|</t>
  </si>
  <si>
    <t>+-- CALLback text -------* |</t>
  </si>
  <si>
    <t>.---------&lt;---------.</t>
  </si>
  <si>
    <t>‘--*-- WIDth integer ----| +-- SCRoll integer ---| +---NOEcho------------* |</t>
  </si>
  <si>
    <t>‘-- IS --+-- STRING --. +-- REAL ----|</t>
  </si>
  <si>
    <t>+-- BOOLEAN -|</t>
  </si>
  <si>
    <t>‘-- word ----+- FORMAT gvarnm -.</t>
  </si>
  <si>
    <t>‘-----------------+- TOOLTIP text -.</t>
  </si>
  <si>
    <r>
      <t xml:space="preserve">‘----------------‘--&gt; </t>
    </r>
    <r>
      <rPr>
        <i/>
        <sz val="9"/>
        <color rgb="FF000000"/>
        <rFont val="Arial"/>
        <family val="2"/>
      </rPr>
      <t>Figure 2:65.</t>
    </r>
  </si>
  <si>
    <t>Syntax Graph -: Setting Up a TEXT Object</t>
  </si>
  <si>
    <r>
      <t xml:space="preserve">The </t>
    </r>
    <r>
      <rPr>
        <b/>
        <i/>
        <sz val="10"/>
        <color rgb="FF000000"/>
        <rFont val="Arial"/>
        <family val="2"/>
      </rPr>
      <t>IS word</t>
    </r>
    <r>
      <rPr>
        <sz val="10"/>
        <color rgb="FF000000"/>
        <rFont val="Arial"/>
        <family val="2"/>
      </rPr>
      <t xml:space="preserve"> syntax allows for any user defined data type to be used, but this will only work satisfactorily if a suitable FORMAT object is supplied.</t>
    </r>
  </si>
  <si>
    <r>
      <t xml:space="preserve">Note: </t>
    </r>
    <r>
      <rPr>
        <sz val="10"/>
        <color rgb="FF000000"/>
        <rFont val="Arial"/>
        <family val="2"/>
      </rPr>
      <t xml:space="preserve">The maximum string length (SCROLL </t>
    </r>
    <r>
      <rPr>
        <b/>
        <i/>
        <sz val="10"/>
        <color rgb="FF000000"/>
        <rFont val="Arial"/>
        <family val="2"/>
      </rPr>
      <t>integer</t>
    </r>
    <r>
      <rPr>
        <sz val="10"/>
        <color rgb="FF000000"/>
        <rFont val="Arial"/>
        <family val="2"/>
      </rPr>
      <t>) is 256 characters, and the default if you do not specify a length is 132.</t>
    </r>
  </si>
  <si>
    <t>2.5.69</t>
  </si>
  <si>
    <t>TEXTPANE Gadget</t>
  </si>
  <si>
    <t>Get or set the contents of the text pane.</t>
  </si>
  <si>
    <t xml:space="preserve">Count </t>
  </si>
  <si>
    <t>Get the number of lines of text in the gadget.</t>
  </si>
  <si>
    <t>Table 2: 124. TEXTPANE Gadget Members</t>
  </si>
  <si>
    <t>Get  the  full  gadget  name,</t>
  </si>
  <si>
    <t>e.g.'!!Form.gadget'.</t>
  </si>
  <si>
    <t>Get the gadget's name, e.g.</t>
  </si>
  <si>
    <t>'gadget'.</t>
  </si>
  <si>
    <t xml:space="preserve">Clear all lines from the gadget </t>
  </si>
  <si>
    <t>Line(REAL )</t>
  </si>
  <si>
    <t>Get the text of given line</t>
  </si>
  <si>
    <t>SetLine(REAL, STRING)</t>
  </si>
  <si>
    <t>Replace specifie STRING.</t>
  </si>
  <si>
    <t>CurPos()</t>
  </si>
  <si>
    <t>ARRAY[2] OF REAL</t>
  </si>
  <si>
    <t>Get  cursor character).</t>
  </si>
  <si>
    <t>SetCurPos(REAL[2])</t>
  </si>
  <si>
    <t>Set  cursor character).</t>
  </si>
  <si>
    <t>SetCurPos(REAL, REAL)</t>
  </si>
  <si>
    <t>Set edit status.</t>
  </si>
  <si>
    <t>Table 2: 125. TXTPANE Gadget Methods</t>
  </si>
  <si>
    <t>The TEXTPANE command defines a text pane gadget and specifies its position and tag. This is a multi-line text input field, allowing the user to enter a number of lines of text (either directly or using cut and paste). Note that no callback string is allowed with this gadget, as there is no way of knowing when a user has finished entering text.</t>
  </si>
  <si>
    <t>The value of a TEXTPANE is its contents, held as an array of strings, where each line is an element of the array.</t>
  </si>
  <si>
    <r>
      <t xml:space="preserve">You can define the TEXTPANE to be either PML-controlled, or core-code controlled using the gadget qualifier attribute </t>
    </r>
    <r>
      <rPr>
        <i/>
        <sz val="10"/>
        <color rgb="FF000000"/>
        <rFont val="Arial"/>
        <family val="2"/>
      </rPr>
      <t>control type</t>
    </r>
    <r>
      <rPr>
        <sz val="10"/>
        <color rgb="FF000000"/>
        <rFont val="Arial"/>
        <family val="2"/>
      </rPr>
      <t>, with values ‘PML” or “CORE”.</t>
    </r>
  </si>
  <si>
    <r>
      <t xml:space="preserve">The Textpane gadget definition has a new keyword 'FixChars' to force the use of a fixed width font. This allows the text pane to be used to show simple reports laid out using the </t>
    </r>
    <r>
      <rPr>
        <b/>
        <sz val="10"/>
        <color rgb="FF000000"/>
        <rFont val="Arial"/>
        <family val="2"/>
      </rPr>
      <t>space</t>
    </r>
    <r>
      <rPr>
        <sz val="10"/>
        <color rgb="FF000000"/>
        <rFont val="Arial"/>
        <family val="2"/>
      </rPr>
      <t xml:space="preserve"> character.</t>
    </r>
  </si>
  <si>
    <r>
      <t xml:space="preserve">The chosen font is </t>
    </r>
    <r>
      <rPr>
        <b/>
        <sz val="10"/>
        <color rgb="FF000000"/>
        <rFont val="Arial"/>
        <family val="2"/>
      </rPr>
      <t>Courier New</t>
    </r>
    <r>
      <rPr>
        <sz val="10"/>
        <color rgb="FF000000"/>
        <rFont val="Arial"/>
        <family val="2"/>
      </rPr>
      <t xml:space="preserve"> (TrueType), because it has a reasonable selection of character glyphs (nowhere near as extensive as the default variable width font </t>
    </r>
    <r>
      <rPr>
        <b/>
        <sz val="10"/>
        <color rgb="FF000000"/>
        <rFont val="Arial"/>
        <family val="2"/>
      </rPr>
      <t>Arial Unicode MS</t>
    </r>
    <r>
      <rPr>
        <sz val="10"/>
        <color rgb="FF000000"/>
        <rFont val="Arial"/>
        <family val="2"/>
      </rPr>
      <t>).</t>
    </r>
  </si>
  <si>
    <t>.--------&lt;--------.</t>
  </si>
  <si>
    <t>&gt;-- TEXTPane gname --+-- tagtext---------| +-- &lt;fganch&gt; -------|</t>
  </si>
  <si>
    <t>+-- &lt;fgpos&gt; --------|</t>
  </si>
  <si>
    <t>+-- FIXCHARS -------|</t>
  </si>
  <si>
    <t>+-- CORE -----------* Core managed gadget</t>
  </si>
  <si>
    <t>‘-- &lt;vshap&gt; ---&gt;</t>
  </si>
  <si>
    <t>Figure 2:66.</t>
  </si>
  <si>
    <t>Syntax Graph -: Setting Up a TEXTPANE Object</t>
  </si>
  <si>
    <t>2.5.70</t>
  </si>
  <si>
    <t>TOGGLE Gadget</t>
  </si>
  <si>
    <t>Toggles value TRUE and FALSE.</t>
  </si>
  <si>
    <t>Moves keyboard focus to this gadget.</t>
  </si>
  <si>
    <t>SetToolTip</t>
  </si>
  <si>
    <t>Table 2: 126. TOGGLE Object Methods</t>
  </si>
  <si>
    <t>2.5.71</t>
  </si>
  <si>
    <t>UNDOABLE Object</t>
  </si>
  <si>
    <t>This object allows you to add functionality to the undo and redo stacks.</t>
  </si>
  <si>
    <t>description(STRING)</t>
  </si>
  <si>
    <r>
      <t xml:space="preserve">Adds description text to the </t>
    </r>
    <r>
      <rPr>
        <b/>
        <sz val="10"/>
        <color rgb="FF000000"/>
        <rFont val="Arial"/>
        <family val="2"/>
      </rPr>
      <t>undoable</t>
    </r>
  </si>
  <si>
    <t>add()</t>
  </si>
  <si>
    <r>
      <t xml:space="preserve">Marks the database with the description text and adds this </t>
    </r>
    <r>
      <rPr>
        <b/>
        <sz val="10"/>
        <color rgb="FF000000"/>
        <rFont val="Arial"/>
        <family val="2"/>
      </rPr>
      <t xml:space="preserve">undoable </t>
    </r>
    <r>
      <rPr>
        <sz val="10"/>
        <color rgb="FF000000"/>
        <rFont val="Arial"/>
        <family val="2"/>
      </rPr>
      <t>to the undo stack</t>
    </r>
  </si>
  <si>
    <t>endundoable()</t>
  </si>
  <si>
    <t>Marks the database again at the end of the change.</t>
  </si>
  <si>
    <t>undoAction (STRING)</t>
  </si>
  <si>
    <r>
      <t xml:space="preserve">Specify a command to be executed when this </t>
    </r>
    <r>
      <rPr>
        <b/>
        <sz val="10"/>
        <color rgb="FF000000"/>
        <rFont val="Arial"/>
        <family val="2"/>
      </rPr>
      <t>undoable</t>
    </r>
    <r>
      <rPr>
        <sz val="10"/>
        <color rgb="FF000000"/>
        <rFont val="Arial"/>
        <family val="2"/>
      </rPr>
      <t xml:space="preserve"> is taken off the undo stack</t>
    </r>
  </si>
  <si>
    <t>redoAction(STRING)</t>
  </si>
  <si>
    <r>
      <t xml:space="preserve">Specify a command to execute when this </t>
    </r>
    <r>
      <rPr>
        <b/>
        <sz val="10"/>
        <color rgb="FF000000"/>
        <rFont val="Arial"/>
        <family val="2"/>
      </rPr>
      <t>undoable</t>
    </r>
    <r>
      <rPr>
        <sz val="10"/>
        <color rgb="FF000000"/>
        <rFont val="Arial"/>
        <family val="2"/>
      </rPr>
      <t xml:space="preserve"> is taken off the redo stack.</t>
    </r>
  </si>
  <si>
    <t>clearAction(STRING)</t>
  </si>
  <si>
    <r>
      <t xml:space="preserve">Specify a command to execute when this </t>
    </r>
    <r>
      <rPr>
        <b/>
        <sz val="10"/>
        <color rgb="FF000000"/>
        <rFont val="Arial"/>
        <family val="2"/>
      </rPr>
      <t>undoable</t>
    </r>
    <r>
      <rPr>
        <sz val="10"/>
        <color rgb="FF000000"/>
        <rFont val="Arial"/>
        <family val="2"/>
      </rPr>
      <t xml:space="preserve"> is cleared without any associated undo/ redo being performed.</t>
    </r>
  </si>
  <si>
    <t>Table 2: 127. PMLUndoable Object Methods</t>
  </si>
  <si>
    <t>2.5.72</t>
  </si>
  <si>
    <t>UNIT Object</t>
  </si>
  <si>
    <t>Unit(REAL)</t>
  </si>
  <si>
    <t>Creates a UNIT of which the value of REAL is a (valid) enum value, or is a negative</t>
  </si>
  <si>
    <t>(compound) unit.</t>
  </si>
  <si>
    <t>Unit(STRING)</t>
  </si>
  <si>
    <t>Creates a UNIT with String equivalent to (in order) Description, Name,</t>
  </si>
  <si>
    <t>ComponentName, or Hashcode.</t>
  </si>
  <si>
    <t>Table 2: 128. UNIT Object Members</t>
  </si>
  <si>
    <t>Name String Methods</t>
  </si>
  <si>
    <t xml:space="preserve">Description() </t>
  </si>
  <si>
    <t>Long description of unit, very often same as Name()</t>
  </si>
  <si>
    <t xml:space="preserve">Name() </t>
  </si>
  <si>
    <t>Unit name used as qualifier for solitary units</t>
  </si>
  <si>
    <t>ShortName()</t>
  </si>
  <si>
    <t>Short name used as qualifier for component units. Very often same as Name()</t>
  </si>
  <si>
    <t>Hash code of unit.  If a compound unit returns 'COMPOUND', if derived from component standard units (e.g. Area units are Distance squared) returns 'DRVD'.</t>
  </si>
  <si>
    <t>Unique integer ID for this unit. Positive if standard unit.</t>
  </si>
  <si>
    <t>Negative if compound unit.</t>
  </si>
  <si>
    <t>Factor()</t>
  </si>
  <si>
    <t>Conversion factor to database units.</t>
  </si>
  <si>
    <t>Dimension of unit.</t>
  </si>
  <si>
    <t>TRUE if a standard, single, unit.</t>
  </si>
  <si>
    <t>FALSE if a compound unit (e.g. kg/m3, m2)</t>
  </si>
  <si>
    <t>TRUE if units are NONE.</t>
  </si>
  <si>
    <t>UNITS</t>
  </si>
  <si>
    <t>Set of all named, standard Units.</t>
  </si>
  <si>
    <t>IsImperial()</t>
  </si>
  <si>
    <t>TRUE if an exclusively imperial unit (e.g. inch, lb) or a non specific unit (e.g. second, ohm, degree).</t>
  </si>
  <si>
    <t>IsMetric()</t>
  </si>
  <si>
    <t>TRUE if an exclusively metric unit (e.g. mm, kg) or a non specific unit used in metric situations.</t>
  </si>
  <si>
    <r>
      <t xml:space="preserve">Note: </t>
    </r>
    <r>
      <rPr>
        <sz val="10"/>
        <color rgb="FF000000"/>
        <rFont val="Arial"/>
        <family val="2"/>
      </rPr>
      <t>Derived units (which are units derived from current units of component dimensions such as area units derived from current distance) and numeric units (no conversion or unit qualifiers) have empty strings for name, description and qualifier. However their hash codes are DRVD and NUMB so they can be created using a form as object unit ('DRVD'). Current units can be set to this using measure.setUnits. Additionally numeric current units can be set using measure.numeric().</t>
    </r>
  </si>
  <si>
    <t>2.5.73</t>
  </si>
  <si>
    <t>USER Object</t>
  </si>
  <si>
    <t>The name of the User, up to 32 characters.</t>
  </si>
  <si>
    <t>User’s description, up to 120 characters.</t>
  </si>
  <si>
    <t>User’s access rights (FREE, GENERAL, RESTRICTED).</t>
  </si>
  <si>
    <t>Table 2: 129. USER Object Members</t>
  </si>
  <si>
    <t>TeamList()</t>
  </si>
  <si>
    <t>List of TEAMs including this</t>
  </si>
  <si>
    <t>USER.</t>
  </si>
  <si>
    <t>WorkingList()</t>
  </si>
  <si>
    <t>List of working extract DBS owned by a User.</t>
  </si>
  <si>
    <t>Password()</t>
  </si>
  <si>
    <t>No value.</t>
  </si>
  <si>
    <t>USER(DBREF)</t>
  </si>
  <si>
    <t>Returns a USER object, given a DBREF.</t>
  </si>
  <si>
    <t>USER(STRING)</t>
  </si>
  <si>
    <t>Returns a USER object, given a name or reference number.</t>
  </si>
  <si>
    <t>2.5.74</t>
  </si>
  <si>
    <t>VERIFY</t>
  </si>
  <si>
    <t xml:space="preserve">VERIFY object is used directly to verify that the executing user is on a list of approved users and is running on an approved host computer, and is running within a given time period. If the condition is not met the command script terminates immediately with a "Verification error". </t>
  </si>
  <si>
    <t>Verify( )</t>
  </si>
  <si>
    <t>After(DATETIME)</t>
  </si>
  <si>
    <t>Verify after the specified date</t>
  </si>
  <si>
    <t>Before(DATETIME)</t>
  </si>
  <si>
    <t>Verify before the specified date</t>
  </si>
  <si>
    <t>Hostname(STRING)</t>
  </si>
  <si>
    <t>Verify current computer hostname matches single hostname passed as STRING</t>
  </si>
  <si>
    <t>Hostname(ARRAY)</t>
  </si>
  <si>
    <t>Verify  current  computer hostname matches one of a set of hostnames passed as ARRAY of STRING</t>
  </si>
  <si>
    <t>WinUser(STRING)</t>
  </si>
  <si>
    <t>Verify current Windows user matches single username</t>
  </si>
  <si>
    <t>passed as STRING</t>
  </si>
  <si>
    <t>WinUser(ARRAY)</t>
  </si>
  <si>
    <t>Verify current Windows user matches one of a set of usernames passed as ARRAY of STRING</t>
  </si>
  <si>
    <t>Table 2: 131. VERIFY Object Method</t>
  </si>
  <si>
    <t>2.5.75</t>
  </si>
  <si>
    <t>ViewFinder</t>
  </si>
  <si>
    <t>.viewFinder(DBREF)</t>
  </si>
  <si>
    <t>Creates a viewfinder object based on the parameters of the Draft View. The input argument must be the dbref of a valid View .</t>
  </si>
  <si>
    <t>.view(DBREF)</t>
  </si>
  <si>
    <t xml:space="preserve">Sets the associated View object using the DBREF which must be a valid view </t>
  </si>
  <si>
    <t xml:space="preserve">Methods </t>
  </si>
  <si>
    <t xml:space="preserve">.redraw() </t>
  </si>
  <si>
    <t>Redraws the box using current state of View parameters</t>
  </si>
  <si>
    <t>.update3d()</t>
  </si>
  <si>
    <t>Regenerates frame and 3d model view from the 2d view</t>
  </si>
  <si>
    <t>.colour ( REAL)</t>
  </si>
  <si>
    <t>Changes colour to the PDMS colour number specified</t>
  </si>
  <si>
    <t>.translucency(BOOLEAN)</t>
  </si>
  <si>
    <t>Switches translucency on or off</t>
  </si>
  <si>
    <t>.align()</t>
  </si>
  <si>
    <t>Aligns the viewfinder frame with the 3d view direction</t>
  </si>
  <si>
    <t xml:space="preserve">.lock(BOOLEAN)  </t>
  </si>
  <si>
    <t>Locks/unlocks  the frame so it cannot be moved</t>
  </si>
  <si>
    <t xml:space="preserve">.dynamic(BOOLEAN)  </t>
  </si>
  <si>
    <t>If true, update design will automatically occur whenever the frame is moved</t>
  </si>
  <si>
    <t>.hide()</t>
  </si>
  <si>
    <t>Makes the frame invisible</t>
  </si>
  <si>
    <t>.show()</t>
  </si>
  <si>
    <t>Makes the frame visible.  Also expands the clipping planes to make sure they include the frame.</t>
  </si>
  <si>
    <t>.valid()</t>
  </si>
  <si>
    <t>.view()</t>
  </si>
  <si>
    <t>.position()</t>
  </si>
  <si>
    <t>.direction()</t>
  </si>
  <si>
    <t>.size()</t>
  </si>
  <si>
    <t>ARRAY REAL</t>
  </si>
  <si>
    <t>.dynamic()</t>
  </si>
  <si>
    <t>Table 2: 132. ViewFinder Object Methods</t>
  </si>
  <si>
    <t>2.5.76</t>
  </si>
  <si>
    <t>VIEW Gadget: ALPHA Views</t>
  </si>
  <si>
    <t>Channel</t>
  </si>
  <si>
    <t>Get  or channel.</t>
  </si>
  <si>
    <t>Table 2: 133. VIEW ALPHA Object Members</t>
  </si>
  <si>
    <t>Clear all lines from the Alpha TTY window.</t>
  </si>
  <si>
    <t>Refresh</t>
  </si>
  <si>
    <t>Set the keyboard focus immediately to this Alpha gadget.</t>
  </si>
  <si>
    <t>removeRequests()</t>
  </si>
  <si>
    <t>Deletes the ‘requests’ channel from the alpha view gadget, and dissociates it from the current Requests IO-channel if necessary.</t>
  </si>
  <si>
    <t>2.5.77</t>
  </si>
  <si>
    <t>VIEW Gadget: AREA View</t>
  </si>
  <si>
    <t>Limits</t>
  </si>
  <si>
    <t>ARRAY[4]</t>
  </si>
  <si>
    <t>Get  or  set  limits  box</t>
  </si>
  <si>
    <t>[x1,y1,x2,y2].</t>
  </si>
  <si>
    <t xml:space="preserve">Borders </t>
  </si>
  <si>
    <t>Get or set borders ON (TRUE) or OFF (FALSE).</t>
  </si>
  <si>
    <t>Get or set background Colour</t>
  </si>
  <si>
    <t>STRING Set Only</t>
  </si>
  <si>
    <t>Set background Colour Name.</t>
  </si>
  <si>
    <t xml:space="preserve">Contents </t>
  </si>
  <si>
    <t>ARRAY[2]</t>
  </si>
  <si>
    <t>Get or set User contents ID.</t>
  </si>
  <si>
    <t>Defcall</t>
  </si>
  <si>
    <t>Get or set default interaction callback.</t>
  </si>
  <si>
    <t xml:space="preserve">Height </t>
  </si>
  <si>
    <t>Get view height.</t>
  </si>
  <si>
    <t>Highlight</t>
  </si>
  <si>
    <t>Get or set highlight Colour Number.</t>
  </si>
  <si>
    <t>Set highlight Colour Name</t>
  </si>
  <si>
    <t>Prompt</t>
  </si>
  <si>
    <t>Get  or  set  User  Prompt PARAGRAPH gadget.</t>
  </si>
  <si>
    <t>Subtype</t>
  </si>
  <si>
    <t>Get subtype of graphic view.</t>
  </si>
  <si>
    <t xml:space="preserve">Width </t>
  </si>
  <si>
    <t>Get view width.</t>
  </si>
  <si>
    <t>Table 2: 135. VIEW AREA Object Methods</t>
  </si>
  <si>
    <t>Returns the highlight colour as a name string.</t>
  </si>
  <si>
    <t>Clear VIEW contents</t>
  </si>
  <si>
    <t>Highlight()</t>
  </si>
  <si>
    <t>Refreshes the display of the gadget</t>
  </si>
  <si>
    <t>RestoreView(REAL storeNumber)</t>
  </si>
  <si>
    <t>Restores the saved VIEW with the given store number.</t>
  </si>
  <si>
    <t>SaveView(REAL storeNumber)</t>
  </si>
  <si>
    <t>Saves the current VIEW. The number must be in the range 1 to 4.</t>
  </si>
  <si>
    <t>SetSize(REAL width, REAL height)</t>
  </si>
  <si>
    <t>Set VIEW size.</t>
  </si>
  <si>
    <t>Table 2: 136. VIEW AREA Object Methods</t>
  </si>
  <si>
    <t>The VIEW ... AREA command puts you into View Setup mode. You remain in View Setup mode until you use the EXIT command.</t>
  </si>
  <si>
    <t>.-------------------------&lt;------------------------.</t>
  </si>
  <si>
    <t>(AREa) --+- &lt;vshap&gt; -----------------------------------.</t>
  </si>
  <si>
    <t>+- PUT - &lt;sgid&gt; ------------------------------|</t>
  </si>
  <si>
    <t>+- LIMits &lt;uval&gt; &lt;uval&gt; - TO - &lt;uval&gt; &lt;uval&gt; -|</t>
  </si>
  <si>
    <t>+- SETColour - &lt;colno&gt; -----------------------|</t>
  </si>
  <si>
    <t>+- SETHighlight - &lt;colno&gt; --------------------‘- NL -|</t>
  </si>
  <si>
    <t>+- &lt;cursor&gt; -----------------------------------------|</t>
  </si>
  <si>
    <t>+- &lt;border&gt; -----------------------------------------| +-- &lt;pml&gt; -------------------------------------------*</t>
  </si>
  <si>
    <t>Figure 2:69.</t>
  </si>
  <si>
    <t>Syntax Graph -: Setting Up an AREA VIEW Object</t>
  </si>
  <si>
    <t>DRAFT where &lt;sgid&gt; is either CE (current element) or the name of a 2D graphical element (e.g., a DRAFT SHEET, VIEW, LIBRARY, etc.) and &lt;colno&gt; is any valid DRAFT colour definition.</t>
  </si>
  <si>
    <t>And &lt;cursor&gt; is the syntax for selecting the cursor type, as follows:</t>
  </si>
  <si>
    <t>&gt;-- CURSortype ---+-- POINTER ----.</t>
  </si>
  <si>
    <t>+-- NOCURSOR ---|</t>
  </si>
  <si>
    <t>+-- PICKPLUS ---| ‘-- CROSSHAIR --‘--&gt;</t>
  </si>
  <si>
    <r>
      <t xml:space="preserve">Figure 2:70. Syntax Graph -: Setting Up the Cursor Type </t>
    </r>
    <r>
      <rPr>
        <sz val="10"/>
        <color rgb="FF000000"/>
        <rFont val="Arial"/>
        <family val="2"/>
      </rPr>
      <t>&lt;border&gt; allows control of zooming and panning:</t>
    </r>
  </si>
  <si>
    <t>&gt;--- BORDers --+-- ON --.</t>
  </si>
  <si>
    <t>‘-- OFF -‘---&gt;</t>
  </si>
  <si>
    <t>Figure 2:71.</t>
  </si>
  <si>
    <t>Syntax Graph -: Setting Up the Border</t>
  </si>
  <si>
    <t>2.5.78</t>
  </si>
  <si>
    <t>VIEW Gadget: PLOT View</t>
  </si>
  <si>
    <t>Get or set background Colour Number.</t>
  </si>
  <si>
    <t>Set  background  Colour Name.</t>
  </si>
  <si>
    <t>Get or set User Contents ID.</t>
  </si>
  <si>
    <t>Set highlight Colour Name.</t>
  </si>
  <si>
    <t>Get or set User Prompt PARAGRAPH gadget.</t>
  </si>
  <si>
    <t>Table 2: 137. VIEW PLOT Object Members</t>
  </si>
  <si>
    <t>Add(STRING)</t>
  </si>
  <si>
    <t>Add plot file with name given by STRING. Replaces given plot file if any.</t>
  </si>
  <si>
    <t>Returns the background colour as a name STRING.</t>
  </si>
  <si>
    <t>Clear gadget contents</t>
  </si>
  <si>
    <t>Returns the highlight colour as a name STRING.</t>
  </si>
  <si>
    <t>Set view size.</t>
  </si>
  <si>
    <t>Table 2: 138. VIEW PLOT Object Methods</t>
  </si>
  <si>
    <t>The VIEW ... PLOT command puts you into View Setup mode. You remain in View Setup mode until you use the EXIT command.</t>
  </si>
  <si>
    <t>(PLOT) --+- &lt;vshap&gt; -----------------------------------.</t>
  </si>
  <si>
    <t>+- ADD - plot_filename -----------------------|</t>
  </si>
  <si>
    <t>+- CLear -------------------------------------|</t>
  </si>
  <si>
    <r>
      <t xml:space="preserve">+- SETHighlight - &lt;colno&gt; --------------------‘- </t>
    </r>
    <r>
      <rPr>
        <i/>
        <sz val="9"/>
        <color rgb="FF000000"/>
        <rFont val="Courier New"/>
        <family val="3"/>
      </rPr>
      <t xml:space="preserve">NL </t>
    </r>
    <r>
      <rPr>
        <sz val="9"/>
        <color rgb="FF000000"/>
        <rFont val="Courier New"/>
        <family val="3"/>
      </rPr>
      <t>-| +- &lt;cursor&gt; -----------------------------------------|</t>
    </r>
  </si>
  <si>
    <t>Figure 2:72.</t>
  </si>
  <si>
    <r>
      <t xml:space="preserve">Syntax Graph -: Setting Up a PLOT VIEW Object </t>
    </r>
    <r>
      <rPr>
        <sz val="10"/>
        <color rgb="FF000000"/>
        <rFont val="Arial"/>
        <family val="2"/>
      </rPr>
      <t xml:space="preserve">where:  </t>
    </r>
  </si>
  <si>
    <t>&lt;colno&gt; is any valid PDMS colour definition.</t>
  </si>
  <si>
    <t>&lt;cursor&gt; is the syntax for selecting the cursor type, as in 2-19</t>
  </si>
  <si>
    <t>&lt;border&gt; allows control of zooming and panning as in 2-20</t>
  </si>
  <si>
    <t>2.5.79</t>
  </si>
  <si>
    <t>VIEW Gadget: VOLUME Views</t>
  </si>
  <si>
    <t>Get  or  set  Background</t>
  </si>
  <si>
    <t>Get View Height.</t>
  </si>
  <si>
    <t>Get or set Highlight Colour Number.</t>
  </si>
  <si>
    <t>Set Highlight Colour Name.</t>
  </si>
  <si>
    <t>Get or Set User Prompt paragraph gadget.</t>
  </si>
  <si>
    <t>Get Subtype of graphic view.</t>
  </si>
  <si>
    <t>Get View Width.</t>
  </si>
  <si>
    <t>Get or set Borders ON (TRUE) or OFF (FALSE).</t>
  </si>
  <si>
    <t>ARRAY[3]</t>
  </si>
  <si>
    <t>Direction vector [dE,dN,dU].</t>
  </si>
  <si>
    <t>EyeMode</t>
  </si>
  <si>
    <t>TRUE for Eyemode FALSE for Modelmode.</t>
  </si>
  <si>
    <t xml:space="preserve">Limits </t>
  </si>
  <si>
    <t>ARRAY[6]</t>
  </si>
  <si>
    <t>Limits  box</t>
  </si>
  <si>
    <t>[E1,E2,N1,N2,U1,U2].</t>
  </si>
  <si>
    <t>Mousemode</t>
  </si>
  <si>
    <t>'ZOOM', 'PAN', 'ROTATE', WALK'.</t>
  </si>
  <si>
    <t>Projection</t>
  </si>
  <si>
    <t>‘PERSPECTIVE’  or</t>
  </si>
  <si>
    <t>‘PARALLEL’.</t>
  </si>
  <si>
    <t>View Radius distance &gt;0.</t>
  </si>
  <si>
    <t>Range</t>
  </si>
  <si>
    <t>Range distance &gt;0.</t>
  </si>
  <si>
    <t>RestoreView</t>
  </si>
  <si>
    <t>Restores view saved as given view number.</t>
  </si>
  <si>
    <t>SaveView</t>
  </si>
  <si>
    <t>Saves view as given view number, in the range 1 to 4.</t>
  </si>
  <si>
    <t xml:space="preserve">Shaded </t>
  </si>
  <si>
    <t>TRUE for shaded FALSE for wireline.</t>
  </si>
  <si>
    <t>Step</t>
  </si>
  <si>
    <t>Step size &gt;0.</t>
  </si>
  <si>
    <t>Through</t>
  </si>
  <si>
    <t>Through point [E,N,U].</t>
  </si>
  <si>
    <t>WalkThrough</t>
  </si>
  <si>
    <t>TRUE  for  Walkthrough</t>
  </si>
  <si>
    <t>(equivalent to Eyemode).</t>
  </si>
  <si>
    <t>LabelStyle</t>
  </si>
  <si>
    <t>Set by specifying ‘ENU’ or ‘XYZ’. Default is ‘ENU’.</t>
  </si>
  <si>
    <t>Bearing</t>
  </si>
  <si>
    <t>View bearing</t>
  </si>
  <si>
    <t>-180 &lt;= bearing &lt;=180</t>
  </si>
  <si>
    <t>Elevation</t>
  </si>
  <si>
    <t>View elevation</t>
  </si>
  <si>
    <t>-180 &lt;= elevation &lt;=180</t>
  </si>
  <si>
    <t>Table 2: 139. VIEW VOLUME Members</t>
  </si>
  <si>
    <t>Returns the BACKGROUND colour as a name string.</t>
  </si>
  <si>
    <t>Returns the HIGHLIGHT colour as a name string.</t>
  </si>
  <si>
    <t>Saves view as given view number.</t>
  </si>
  <si>
    <t>Table 2: 140. VOLUME VIEW Object Methods</t>
  </si>
  <si>
    <t>The VIEW ... VOLUME command puts you into View Setup mode. You remain in View Setup mode until you use the EXIT command.</t>
  </si>
  <si>
    <t>(VOLume)--+-- LOok --+-- &lt;dir&gt; ---------------------.</t>
  </si>
  <si>
    <t>|-- THRough---.</t>
  </si>
  <si>
    <t>|-- FROM -----|</t>
  </si>
  <si>
    <t>‘-- TOWards --+-- &lt;pos&gt; ----. |</t>
  </si>
  <si>
    <t>|-- &lt;gid&gt; ----| |</t>
  </si>
  <si>
    <t>‘-- ID @ NL --‘--|</t>
  </si>
  <si>
    <r>
      <t xml:space="preserve">+-- ISOmetric --+-- </t>
    </r>
    <r>
      <rPr>
        <i/>
        <sz val="10"/>
        <color rgb="FF000000"/>
        <rFont val="Courier New"/>
        <family val="3"/>
      </rPr>
      <t xml:space="preserve">value </t>
    </r>
    <r>
      <rPr>
        <sz val="10"/>
        <color rgb="FF000000"/>
        <rFont val="Courier New"/>
        <family val="3"/>
      </rPr>
      <t>--.</t>
    </r>
  </si>
  <si>
    <t>‘-----------‘-------------|</t>
  </si>
  <si>
    <t>+-- PLAN ---------------------------------|</t>
  </si>
  <si>
    <t>+-- ELEVation -- (one of N/S/E/W/X/Y) ----|</t>
  </si>
  <si>
    <t>+-- CLIPping -----+-- ON --.</t>
  </si>
  <si>
    <t>‘-- OFF -‘--------------|</t>
  </si>
  <si>
    <t>+-- CAPping ------+-- ON --.</t>
  </si>
  <si>
    <t>+-- PERSPective --+-- ON --.</t>
  </si>
  <si>
    <t>+-- WALKthrough --+-- ON --.</t>
  </si>
  <si>
    <r>
      <t xml:space="preserve">+--RADius --- </t>
    </r>
    <r>
      <rPr>
        <i/>
        <sz val="10"/>
        <color rgb="FF000000"/>
        <rFont val="Courier New"/>
        <family val="3"/>
      </rPr>
      <t xml:space="preserve">value </t>
    </r>
    <r>
      <rPr>
        <sz val="10"/>
        <color rgb="FF000000"/>
        <rFont val="Courier New"/>
        <family val="3"/>
      </rPr>
      <t>----------------------|</t>
    </r>
  </si>
  <si>
    <r>
      <t xml:space="preserve">+--STEP ----- </t>
    </r>
    <r>
      <rPr>
        <i/>
        <sz val="10"/>
        <color rgb="FF000000"/>
        <rFont val="Courier New"/>
        <family val="3"/>
      </rPr>
      <t xml:space="preserve">value </t>
    </r>
    <r>
      <rPr>
        <sz val="10"/>
        <color rgb="FF000000"/>
        <rFont val="Courier New"/>
        <family val="3"/>
      </rPr>
      <t>----------------------|</t>
    </r>
  </si>
  <si>
    <r>
      <t xml:space="preserve">‘--RANGE ---- </t>
    </r>
    <r>
      <rPr>
        <i/>
        <sz val="10"/>
        <color rgb="FF000000"/>
        <rFont val="Courier New"/>
        <family val="3"/>
      </rPr>
      <t xml:space="preserve">value </t>
    </r>
    <r>
      <rPr>
        <sz val="10"/>
        <color rgb="FF000000"/>
        <rFont val="Courier New"/>
        <family val="3"/>
      </rPr>
      <t>----------------------‘---&gt;</t>
    </r>
  </si>
  <si>
    <t>Figure 2:73.</t>
  </si>
  <si>
    <r>
      <t xml:space="preserve">Syntax Graph -: Setting Up a VOLUME VIEW Object </t>
    </r>
    <r>
      <rPr>
        <sz val="10"/>
        <color rgb="FF000000"/>
        <rFont val="Arial"/>
        <family val="2"/>
      </rPr>
      <t>Where:</t>
    </r>
  </si>
  <si>
    <t>&lt;colno&gt; is any valid DESIGN colour definition; either a colour description or a colour number</t>
  </si>
  <si>
    <t>Borders:ON; Shading OFF.</t>
  </si>
  <si>
    <t>View direction:PLAN or LOOK DOWN.</t>
  </si>
  <si>
    <t>Limits: AUTO (set to current view limits).</t>
  </si>
  <si>
    <t>2.5.80</t>
  </si>
  <si>
    <t>XYPosition Object</t>
  </si>
  <si>
    <t>X</t>
  </si>
  <si>
    <t>X component of 2D POSITION.</t>
  </si>
  <si>
    <t>Y component of 2D POSITION.</t>
  </si>
  <si>
    <t>Table 2: 141. XYPOSITION Object Members</t>
  </si>
  <si>
    <t>XYposition()</t>
  </si>
  <si>
    <t>Creates an XYPOSITION at the given coordinates.</t>
  </si>
  <si>
    <t>Returns a XYPOSITION as a STRING.</t>
  </si>
  <si>
    <t xml:space="preserve"> REAL</t>
  </si>
  <si>
    <t xml:space="preserve"> BOOLEAN</t>
  </si>
  <si>
    <t xml:space="preserve"> POSITION</t>
  </si>
  <si>
    <t xml:space="preserve"> Length()</t>
  </si>
  <si>
    <t xml:space="preserve"> Plane() </t>
    <phoneticPr fontId="4" type="noConversion"/>
  </si>
  <si>
    <t xml:space="preserve"> POSITION Get/Set</t>
    <phoneticPr fontId="4" type="noConversion"/>
  </si>
  <si>
    <t xml:space="preserve"> STRING</t>
  </si>
  <si>
    <t>Is the selection valid.  (This is a standard method, and should not normally need to be called)</t>
  </si>
  <si>
    <t>Returns highest significant parent of given element, i.e. the element which will be included in the selection</t>
  </si>
  <si>
    <t>Returns true if the given element is in itself selectable within the scope of the</t>
  </si>
  <si>
    <t>Returns true if the highest significant parent of the given element is modifiable</t>
  </si>
  <si>
    <t>Returns true if the given element exists in the selection</t>
  </si>
  <si>
    <t>Returns list of permissible ancestors for given element, within the current scope</t>
  </si>
  <si>
    <t>Returns all elements in the selection</t>
  </si>
  <si>
    <t>creates an new REAL with the value of the REAL argument (ignoring its units) in the units of UNIT.</t>
  </si>
  <si>
    <t>return undimensioned real with same value as original.</t>
  </si>
  <si>
    <t>dimension (of measure) of the physical quantity recorded by the real.</t>
  </si>
  <si>
    <t>unit of measure of the quantity stored in the REAL.</t>
  </si>
  <si>
    <t>set of all named, standard Units.</t>
  </si>
  <si>
    <t>Same as REAL(REAL,UNIT).</t>
  </si>
  <si>
    <t>Returns a REAL converted from original units to the units specified by the UNIT or STRING argument.</t>
  </si>
  <si>
    <t>The STRING value must be able to be interpreted as a valid unit.</t>
  </si>
  <si>
    <t>If Object is undimensioned its value is assumed to be in the DatabaseUnits consistent with the unit specified by the STRING or UNIT argument.</t>
  </si>
  <si>
    <t>Returns a real of same physical size, but in database units.</t>
  </si>
  <si>
    <t>Returns a Real of the same physical size, whose value is converted to be in current working units and units of current units.</t>
  </si>
  <si>
    <t>Plane</t>
  </si>
  <si>
    <t>d line number by</t>
  </si>
  <si>
    <t>position  (line,</t>
  </si>
  <si>
    <t>between</t>
  </si>
  <si>
    <t>Table 2: 130. USER Object Methods</t>
  </si>
  <si>
    <t>Is the viewfinder valid.  This will be true if it was created with a valid View, otherwise false</t>
  </si>
  <si>
    <t>Returns the dbref of the associated view object</t>
  </si>
  <si>
    <t>Returns the position of the centre of the viewfinder frame.</t>
  </si>
  <si>
    <t>Returns the direction of the View associated with the viewfinder</t>
  </si>
  <si>
    <t>Returns the size of the viewfinder frame ( as Xnnn Ynnn)</t>
  </si>
  <si>
    <t>Returns true if in dynamic mode</t>
  </si>
  <si>
    <t xml:space="preserve">set </t>
  </si>
  <si>
    <t xml:space="preserve">the </t>
  </si>
  <si>
    <t>assigned</t>
  </si>
  <si>
    <t>Table 2: 134. VIEW ALPHA Object Methods</t>
  </si>
  <si>
    <t>Table 2: 142. XYPOSITION Object Methods</t>
  </si>
  <si>
    <t>Name</t>
    <phoneticPr fontId="4" type="noConversion"/>
  </si>
  <si>
    <t xml:space="preserve"> String()</t>
  </si>
  <si>
    <t xml:space="preserve"> DIRECTION</t>
  </si>
  <si>
    <t xml:space="preserve"> ARRAY OF STRINGS</t>
  </si>
  <si>
    <t xml:space="preserve"> ARRAY OF STRING</t>
  </si>
  <si>
    <t xml:space="preserve"> LINE</t>
  </si>
  <si>
    <t xml:space="preserve"> LINE </t>
    <phoneticPr fontId="4" type="noConversion"/>
  </si>
  <si>
    <t xml:space="preserve"> BOOLEAN Get/Set</t>
    <phoneticPr fontId="4" type="noConversion"/>
  </si>
  <si>
    <t xml:space="preserve"> End position of line.</t>
    <phoneticPr fontId="4" type="noConversion"/>
  </si>
  <si>
    <t xml:space="preserve"> Line( POSITION first, POSITION second)</t>
  </si>
  <si>
    <t xml:space="preserve"> Creates a LINE between the given positions, first and second.</t>
  </si>
  <si>
    <t xml:space="preserve"> Returns  the  line  as  a STRING.</t>
  </si>
  <si>
    <t xml:space="preserve"> Direction()</t>
  </si>
  <si>
    <t xml:space="preserve"> Returns a DIRECTION representing the direction of the line.</t>
  </si>
  <si>
    <t xml:space="preserve"> Direction(DIRECTION way)</t>
  </si>
  <si>
    <t xml:space="preserve"> Creates a new line with the same start position and length but in the direction given by way. </t>
  </si>
  <si>
    <t xml:space="preserve"> On(POSITION where)</t>
  </si>
  <si>
    <t xml:space="preserve"> Returns TRUE if where lies on the unbounded line.</t>
  </si>
  <si>
    <t xml:space="preserve"> On(POSITION where, BOOLEAN bounded)</t>
  </si>
  <si>
    <t xml:space="preserve"> Returns TRUE if where lies on the line, bounded indicates if the point is also checked to be on the bounded line segment.</t>
  </si>
  <si>
    <t xml:space="preserve"> OnProjected(POSITION where)</t>
  </si>
  <si>
    <t xml:space="preserve"> Returns TRUE if where, when projected onto the line, lies within the bounded line.</t>
  </si>
  <si>
    <t xml:space="preserve"> Intersection(POINT point,   VECTOR vector)</t>
    <phoneticPr fontId="4" type="noConversion"/>
  </si>
  <si>
    <t xml:space="preserve"> Intersection(PLANE plane)</t>
  </si>
  <si>
    <t xml:space="preserve"> Returns the intersection line of plane on the line definition.</t>
  </si>
  <si>
    <t xml:space="preserve"> Near(POSITION position)</t>
  </si>
  <si>
    <t xml:space="preserve"> Returns the nearest position on the line definition to position.</t>
  </si>
  <si>
    <t xml:space="preserve"> Returns the length of the line.</t>
  </si>
  <si>
    <t xml:space="preserve"> Distance(LINE other)</t>
  </si>
  <si>
    <t xml:space="preserve"> Returns the minimum distance between the line definition and other.</t>
  </si>
  <si>
    <t xml:space="preserve"> Distance(POSITION position)</t>
  </si>
  <si>
    <t xml:space="preserve"> Returns the minimum distance between the line definition and position.</t>
  </si>
  <si>
    <t xml:space="preserve"> SetLengthStart(REAL length)</t>
  </si>
  <si>
    <t xml:space="preserve"> Returns a new line, maintaining the original StartPosition and direction, with an EndPosition to match length.</t>
  </si>
  <si>
    <t xml:space="preserve"> SetLengthEnd(REAL length)</t>
  </si>
  <si>
    <t xml:space="preserve"> Returns a new line, maintaining the original EndPosition and direction, with a StartPosition to match length.</t>
  </si>
  <si>
    <t xml:space="preserve"> Towards(POSITION position) </t>
    <phoneticPr fontId="4" type="noConversion"/>
  </si>
  <si>
    <t xml:space="preserve"> LINE </t>
    <phoneticPr fontId="4" type="noConversion"/>
  </si>
  <si>
    <t xml:space="preserve"> From(POSITION position)</t>
  </si>
  <si>
    <t xml:space="preserve"> Returns a line, where the StartPosition is set position, maintaining the original EndPosition.</t>
  </si>
  <si>
    <t xml:space="preserve"> To(POSITION position)</t>
  </si>
  <si>
    <t xml:space="preserve"> Returns a line, where the EndPosition is set to position, maintaining the original StartPosition </t>
  </si>
  <si>
    <t xml:space="preserve"> ExtendStart(REAL distance)</t>
  </si>
  <si>
    <t xml:space="preserve"> Returns a new LINE, where the StartPosition has been extended in the opposite direction of line by distance.</t>
  </si>
  <si>
    <t xml:space="preserve"> ExtendEnd(REAL distance)</t>
  </si>
  <si>
    <t xml:space="preserve"> Returns a new LINE, where the EndPosition has been extended in the direction of the line by distance.</t>
  </si>
  <si>
    <t xml:space="preserve"> ExtendStart(PLANE plane)</t>
  </si>
  <si>
    <t xml:space="preserve"> Returns a new LINE, where the StartPosition has been extended to plane.</t>
  </si>
  <si>
    <t xml:space="preserve"> ExtendEnd(PLANE plane)</t>
  </si>
  <si>
    <t xml:space="preserve"> Returns a new LINE, where the EndPosition has been extended to plane.</t>
  </si>
  <si>
    <t xml:space="preserve"> Projected(PLANE plane)</t>
  </si>
  <si>
    <t xml:space="preserve"> Returns a LINE definition normalised onto plane. See picture.</t>
  </si>
  <si>
    <t xml:space="preserve"> Parallel(POSITION position)</t>
  </si>
  <si>
    <t xml:space="preserve"> Returns a parallel to the line definition of the line object, through position. All other members are copied. See picture.</t>
  </si>
  <si>
    <t xml:space="preserve"> Offset(DIRECTION direction, REAL offset)</t>
  </si>
  <si>
    <t xml:space="preserve"> Returns a parallel line to the LINE object, offset by offset from the original in the given direction. See picture.</t>
  </si>
  <si>
    <t xml:space="preserve"> Overlap(LINE other)</t>
  </si>
  <si>
    <t xml:space="preserve"> Returns the overlapping line of two parallel lines. All positions are return projected onto the original object. See picture.</t>
  </si>
  <si>
    <t xml:space="preserve"> Union(LINE other)</t>
  </si>
  <si>
    <t xml:space="preserve"> Returns the union of LINE and other. The two are parallel lines, all positions are return projected onto the original object. See picture.</t>
  </si>
  <si>
    <t xml:space="preserve"> LOCATION</t>
  </si>
  <si>
    <t xml:space="preserve"> ARRAY OF DB</t>
  </si>
  <si>
    <t xml:space="preserve"> MDB</t>
  </si>
  <si>
    <t xml:space="preserve"> Current() </t>
  </si>
  <si>
    <t xml:space="preserve"> Mode() </t>
  </si>
  <si>
    <t xml:space="preserve">  FORM</t>
  </si>
  <si>
    <t xml:space="preserve"> SESSION</t>
  </si>
  <si>
    <t xml:space="preserve"> STRING Get/Set</t>
    <phoneticPr fontId="4" type="noConversion"/>
  </si>
  <si>
    <t xml:space="preserve"> ID of the Machine running the session</t>
    <phoneticPr fontId="4" type="noConversion"/>
  </si>
  <si>
    <t xml:space="preserve"> Entered  </t>
    <phoneticPr fontId="4" type="noConversion"/>
  </si>
  <si>
    <t xml:space="preserve"> LocationName </t>
    <phoneticPr fontId="4" type="noConversion"/>
  </si>
  <si>
    <t xml:space="preserve"> Name  of  Location  for Session</t>
    <phoneticPr fontId="4" type="noConversion"/>
  </si>
  <si>
    <t xml:space="preserve"> IsRemote </t>
    <phoneticPr fontId="4" type="noConversion"/>
  </si>
  <si>
    <t xml:space="preserve"> IsCurrent  </t>
    <phoneticPr fontId="4" type="noConversion"/>
  </si>
  <si>
    <t xml:space="preserve"> SESSION (STRING)</t>
  </si>
  <si>
    <t xml:space="preserve"> Returns a SESSION object, given a string containing a session's Unique-id.</t>
  </si>
  <si>
    <t xml:space="preserve"> ConfirmID (STRING)</t>
  </si>
  <si>
    <t xml:space="preserve"> Returns TRUE if the password specified by the STRING is correct for the currently logged-in user. (The STRING value must include the leading ‘/’ character).</t>
  </si>
  <si>
    <t xml:space="preserve"> List of Current DBs in the MDB of the SESSION object.</t>
  </si>
  <si>
    <t xml:space="preserve"> Deferred() </t>
  </si>
  <si>
    <t xml:space="preserve"> List Deferred DB’s in the MDB of the SESSION object.</t>
  </si>
  <si>
    <t xml:space="preserve"> Location()</t>
  </si>
  <si>
    <t xml:space="preserve"> Return LOCATION to which the Session applies. In a non-Global project, returns NULL or error.</t>
  </si>
  <si>
    <t xml:space="preserve"> MDB() </t>
  </si>
  <si>
    <t xml:space="preserve"> The current MDB of the SESSION.</t>
  </si>
  <si>
    <t xml:space="preserve"> List of potential access modes as ‘R’ , ‘RW’  or ‘N’ for each of the current DBs.</t>
  </si>
  <si>
    <t xml:space="preserve"> Modified() </t>
  </si>
  <si>
    <t xml:space="preserve"> TRUE if database has been modified.</t>
  </si>
  <si>
    <t xml:space="preserve"> Module() </t>
  </si>
  <si>
    <t xml:space="preserve"> Name of the current module.</t>
  </si>
  <si>
    <t xml:space="preserve"> Status() </t>
  </si>
  <si>
    <t xml:space="preserve"> List of current access modes as ‘R’ , ‘RW’  or ‘N’ for each of the current DBs.</t>
  </si>
  <si>
    <t xml:space="preserve"> User() </t>
  </si>
  <si>
    <t xml:space="preserve"> USER</t>
  </si>
  <si>
    <t xml:space="preserve"> The user of this SESSION object.</t>
  </si>
  <si>
    <t xml:space="preserve"> Intersection(LINE other) </t>
    <phoneticPr fontId="4" type="noConversion"/>
  </si>
  <si>
    <t xml:space="preserve"> POSITION </t>
    <phoneticPr fontId="4" type="noConversion"/>
  </si>
  <si>
    <t xml:space="preserve"> Returns the intersection point of  the  passed POINTVECTOR on the line definition.</t>
    <phoneticPr fontId="4" type="noConversion"/>
  </si>
  <si>
    <t xml:space="preserve"> ARRAY OF POSITIONS</t>
    <phoneticPr fontId="4" type="noConversion"/>
  </si>
  <si>
    <t xml:space="preserve"> Internal ID </t>
    <phoneticPr fontId="4" type="noConversion"/>
  </si>
  <si>
    <t xml:space="preserve"> Login  </t>
    <phoneticPr fontId="4" type="noConversion"/>
  </si>
  <si>
    <t xml:space="preserve"> Host  </t>
    <phoneticPr fontId="4" type="noConversion"/>
  </si>
  <si>
    <t xml:space="preserve"> True for Sessions at Remote locations</t>
    <phoneticPr fontId="4" type="noConversion"/>
  </si>
  <si>
    <t xml:space="preserve"> EndPosition </t>
    <phoneticPr fontId="4" type="noConversion"/>
  </si>
  <si>
    <t xml:space="preserve"> Intersections(ARC arc) </t>
    <phoneticPr fontId="4" type="noConversion"/>
  </si>
  <si>
    <t xml:space="preserve"> Returns the intersection points of arc on the line definition.</t>
    <phoneticPr fontId="4" type="noConversion"/>
  </si>
  <si>
    <t xml:space="preserve"> POSITION   </t>
    <phoneticPr fontId="4" type="noConversion"/>
  </si>
  <si>
    <t xml:space="preserve"> Returns the position at proportion along the “bounded” line from the StartPosition. Values &gt; 1 will give positions off the end of the line. Values &lt; 0 will give positions off the start of the line.</t>
    <phoneticPr fontId="4" type="noConversion"/>
  </si>
  <si>
    <t xml:space="preserve"> STRING Get/Set</t>
    <phoneticPr fontId="4" type="noConversion"/>
  </si>
  <si>
    <t xml:space="preserve"> Pointvector()  </t>
    <phoneticPr fontId="4" type="noConversion"/>
  </si>
  <si>
    <t xml:space="preserve"> STRING Get/Set</t>
    <phoneticPr fontId="4" type="noConversion"/>
  </si>
  <si>
    <t>No Result</t>
    <phoneticPr fontId="4" type="noConversion"/>
  </si>
  <si>
    <t>No Result</t>
    <phoneticPr fontId="4" type="noConversion"/>
  </si>
  <si>
    <t xml:space="preserve"> StartPosition </t>
    <phoneticPr fontId="4" type="noConversion"/>
  </si>
  <si>
    <t xml:space="preserve"> POSITION Get/Set</t>
    <phoneticPr fontId="4" type="noConversion"/>
  </si>
  <si>
    <t xml:space="preserve"> Start position of line.</t>
    <phoneticPr fontId="4" type="noConversion"/>
  </si>
  <si>
    <t xml:space="preserve"> Returns the intersection point of the passed LINE on the line definition</t>
    <phoneticPr fontId="4" type="noConversion"/>
  </si>
  <si>
    <t xml:space="preserve"> POSITION </t>
    <phoneticPr fontId="4" type="noConversion"/>
  </si>
  <si>
    <t xml:space="preserve"> Proportion(REAL proportion)   </t>
    <phoneticPr fontId="4" type="noConversion"/>
  </si>
  <si>
    <t xml:space="preserve"> PLANE </t>
    <phoneticPr fontId="4" type="noConversion"/>
  </si>
  <si>
    <t xml:space="preserve"> Returns a plane object, using the StartPosition and Direction of line object</t>
    <phoneticPr fontId="4" type="noConversion"/>
  </si>
  <si>
    <t xml:space="preserve"> POINTVEC TOR  </t>
    <phoneticPr fontId="4" type="noConversion"/>
  </si>
  <si>
    <t xml:space="preserve"> Returns a POINTVECTOR object, using the StartPosition and Direction of line object</t>
    <phoneticPr fontId="4" type="noConversion"/>
  </si>
  <si>
    <t xml:space="preserve"> Returns a new line object with the same StartPosition and the same relative EndPosition (Length) of the original line, but the direction is from the start position to position.</t>
    <phoneticPr fontId="4" type="noConversion"/>
  </si>
  <si>
    <t xml:space="preserve"> ReverseSense() </t>
    <phoneticPr fontId="4" type="noConversion"/>
  </si>
  <si>
    <t xml:space="preserve"> Returns a line, where the StartPosition  and EndPosition  have  been transposed.</t>
    <phoneticPr fontId="4" type="noConversion"/>
  </si>
  <si>
    <t xml:space="preserve"> UniqueID </t>
    <phoneticPr fontId="4" type="noConversion"/>
  </si>
  <si>
    <t xml:space="preserve"> Name  </t>
    <phoneticPr fontId="4" type="noConversion"/>
  </si>
  <si>
    <t xml:space="preserve"> Session Name</t>
    <phoneticPr fontId="4" type="noConversion"/>
  </si>
  <si>
    <t xml:space="preserve"> User’s login ID</t>
    <phoneticPr fontId="4" type="noConversion"/>
  </si>
  <si>
    <t xml:space="preserve"> Time of entering the session</t>
    <phoneticPr fontId="4" type="noConversion"/>
  </si>
  <si>
    <t xml:space="preserve"> TRUE  for  User’s  own SESSION object</t>
    <phoneticPr fontId="4" type="noConversion"/>
  </si>
  <si>
    <t xml:space="preserve"> NO RESULT</t>
    <phoneticPr fontId="4" type="noConversion"/>
  </si>
  <si>
    <t xml:space="preserve"> NO RESULT</t>
    <phoneticPr fontId="4" type="noConversion"/>
  </si>
  <si>
    <t xml:space="preserve"> STRING</t>
    <phoneticPr fontId="4" type="noConversion"/>
  </si>
  <si>
    <t xml:space="preserve"> Shown()</t>
    <phoneticPr fontId="4" type="noConversion"/>
  </si>
  <si>
    <t xml:space="preserve"> Type()</t>
    <phoneticPr fontId="4" type="noConversion"/>
  </si>
  <si>
    <t xml:space="preserve"> DisplayText( ${1: }) ${2:is  STRING}</t>
    <phoneticPr fontId="4" type="noConversion"/>
  </si>
  <si>
    <t xml:space="preserve"> STRING</t>
    <phoneticPr fontId="4" type="noConversion"/>
  </si>
  <si>
    <t xml:space="preserve"> STRING Get/Set</t>
    <phoneticPr fontId="4" type="noConversion"/>
  </si>
  <si>
    <t xml:space="preserve"> STRING Get/Set</t>
    <phoneticPr fontId="4" type="noConversion"/>
  </si>
  <si>
    <t xml:space="preserve"> Background() </t>
    <phoneticPr fontId="4" type="noConversion"/>
  </si>
  <si>
    <t xml:space="preserve"> BOOLEAN</t>
    <phoneticPr fontId="4" type="noConversion"/>
  </si>
  <si>
    <t xml:space="preserve"> RemovePopup( ${1:MENU menu})</t>
    <phoneticPr fontId="4" type="noConversion"/>
  </si>
  <si>
    <t xml:space="preserve"> Clear( !dtext )</t>
    <phoneticPr fontId="4" type="noConversion"/>
  </si>
  <si>
    <t xml:space="preserve"> Clear( !fieldNumber )</t>
    <phoneticPr fontId="4" type="noConversion"/>
  </si>
  <si>
    <t xml:space="preserve"> LINE</t>
    <phoneticPr fontId="4" type="noConversion"/>
  </si>
  <si>
    <t xml:space="preserve"> LINE</t>
    <phoneticPr fontId="4" type="noConversion"/>
  </si>
  <si>
    <t xml:space="preserve"> LINE</t>
    <phoneticPr fontId="4" type="noConversion"/>
  </si>
  <si>
    <t xml:space="preserve"> LINE</t>
    <phoneticPr fontId="4" type="noConversion"/>
  </si>
  <si>
    <t xml:space="preserve"> Projected(PLANE plane)</t>
    <phoneticPr fontId="4" type="noConversion"/>
  </si>
  <si>
    <t xml:space="preserve"> Projected( ${1:PLANE plane}) ${2:is  LINE}</t>
    <phoneticPr fontId="4" type="noConversion"/>
  </si>
  <si>
    <t xml:space="preserve"> Parallel(POSITION position)</t>
    <phoneticPr fontId="4" type="noConversion"/>
  </si>
  <si>
    <t xml:space="preserve"> Parallel( ${1:POSITION position}) ${2:is  LINE}</t>
    <phoneticPr fontId="4" type="noConversion"/>
  </si>
  <si>
    <t xml:space="preserve"> Offset(DIRECTION direction, REAL offset)</t>
    <phoneticPr fontId="4" type="noConversion"/>
  </si>
  <si>
    <t xml:space="preserve"> Offset( ${1:DIRECTION direction},${2: REAL offset}) ${3:is  LINE}</t>
    <phoneticPr fontId="4" type="noConversion"/>
  </si>
  <si>
    <t xml:space="preserve"> Overlap(LINE other)</t>
    <phoneticPr fontId="4" type="noConversion"/>
  </si>
  <si>
    <t xml:space="preserve"> Overlap( ${1:LINE other}) ${2:is  LINE}</t>
    <phoneticPr fontId="4" type="noConversion"/>
  </si>
  <si>
    <t xml:space="preserve"> Union(LINE other)</t>
    <phoneticPr fontId="4" type="noConversion"/>
  </si>
  <si>
    <t xml:space="preserve"> Union( ${1:LINE other}) ${2:is  LINE}</t>
    <phoneticPr fontId="4" type="noConversion"/>
  </si>
  <si>
    <t xml:space="preserve"> NO RESULT </t>
    <phoneticPr fontId="4" type="noConversion"/>
  </si>
  <si>
    <t xml:space="preserve"> NO RESULT  </t>
    <phoneticPr fontId="4" type="noConversion"/>
  </si>
  <si>
    <t xml:space="preserve"> SetActive(STRING Dtext, BOOLEAN  active) </t>
    <phoneticPr fontId="4" type="noConversion"/>
  </si>
  <si>
    <t xml:space="preserve"> SetActive( ${1:STRING Dtext},${2: BOOLEAN  active})</t>
    <phoneticPr fontId="4" type="noConversion"/>
  </si>
  <si>
    <t xml:space="preserve"> SetFieldProperty(STRING menuField , STRING property,  BOOLEAN value) </t>
    <phoneticPr fontId="4" type="noConversion"/>
  </si>
  <si>
    <t xml:space="preserve"> SetFieldProperty( ${1:STRING menuField },${2: STRING property},${3:  BOOLEAN value})</t>
    <phoneticPr fontId="4" type="noConversion"/>
  </si>
  <si>
    <t xml:space="preserve"> RemovePopup(MENU menu)</t>
    <phoneticPr fontId="4" type="noConversion"/>
  </si>
  <si>
    <t xml:space="preserve"> GetPickedPopup()</t>
    <phoneticPr fontId="4" type="noConversion"/>
  </si>
  <si>
    <t xml:space="preserve"> GetPickedPopup() ${1:is  MENU}</t>
    <phoneticPr fontId="4" type="noConversion"/>
  </si>
  <si>
    <t xml:space="preserve"> MENU</t>
    <phoneticPr fontId="4" type="noConversion"/>
  </si>
  <si>
    <t xml:space="preserve"> Shown() ${1:is  BOOLEAN}</t>
    <phoneticPr fontId="4" type="noConversion"/>
  </si>
  <si>
    <t xml:space="preserve"> Type() ${1:is  STRING}</t>
    <phoneticPr fontId="4" type="noConversion"/>
  </si>
  <si>
    <t xml:space="preserve"> Background() ${1:is  STRING }</t>
    <phoneticPr fontId="4" type="noConversion"/>
  </si>
  <si>
    <t xml:space="preserve"> STRING </t>
    <phoneticPr fontId="4" type="noConversion"/>
  </si>
  <si>
    <t xml:space="preserve"> DisplayText( )</t>
    <phoneticPr fontId="4" type="noConversion"/>
  </si>
  <si>
    <t xml:space="preserve"> SetPopup(  !menu )</t>
    <phoneticPr fontId="4" type="noConversion"/>
  </si>
  <si>
    <t xml:space="preserve"> SetPopup( ${1:  !menu })</t>
    <phoneticPr fontId="4" type="noConversion"/>
  </si>
  <si>
    <t xml:space="preserve"> NO RESULT</t>
    <phoneticPr fontId="4" type="noConversion"/>
  </si>
  <si>
    <t xml:space="preserve"> Clear( ${1: !dtext })</t>
    <phoneticPr fontId="4" type="noConversion"/>
  </si>
  <si>
    <t xml:space="preserve"> Clear( ${1: !fieldNumber })</t>
    <phoneticPr fontId="4" type="noConversion"/>
  </si>
  <si>
    <t xml:space="preserve"> NO RESULT</t>
    <phoneticPr fontId="4" type="noConversion"/>
  </si>
  <si>
    <t>PARAGRAPH Gadget</t>
    <phoneticPr fontId="4" type="noConversion"/>
  </si>
  <si>
    <t xml:space="preserve"> UniqueID </t>
    <phoneticPr fontId="4" type="noConversion"/>
  </si>
  <si>
    <t xml:space="preserve"> Name  </t>
    <phoneticPr fontId="4" type="noConversion"/>
  </si>
  <si>
    <t xml:space="preserve"> STRING Get/Set</t>
    <phoneticPr fontId="4" type="noConversion"/>
  </si>
  <si>
    <t xml:space="preserve"> Login  </t>
    <phoneticPr fontId="4" type="noConversion"/>
  </si>
  <si>
    <t xml:space="preserve"> Login  </t>
    <phoneticPr fontId="4" type="noConversion"/>
  </si>
  <si>
    <t xml:space="preserve"> Host  </t>
    <phoneticPr fontId="4" type="noConversion"/>
  </si>
  <si>
    <t xml:space="preserve"> Host  </t>
    <phoneticPr fontId="4" type="noConversion"/>
  </si>
  <si>
    <t xml:space="preserve"> Entered  </t>
    <phoneticPr fontId="4" type="noConversion"/>
  </si>
  <si>
    <t xml:space="preserve"> LocationName </t>
    <phoneticPr fontId="4" type="noConversion"/>
  </si>
  <si>
    <t xml:space="preserve"> LocationName </t>
    <phoneticPr fontId="4" type="noConversion"/>
  </si>
  <si>
    <t xml:space="preserve"> STRING Get/Set</t>
    <phoneticPr fontId="4" type="noConversion"/>
  </si>
  <si>
    <t xml:space="preserve"> IsRemote </t>
    <phoneticPr fontId="4" type="noConversion"/>
  </si>
  <si>
    <t xml:space="preserve"> IsCurrent  </t>
    <phoneticPr fontId="4" type="noConversion"/>
  </si>
  <si>
    <t xml:space="preserve"> IsCurrent  </t>
    <phoneticPr fontId="4" type="noConversion"/>
  </si>
  <si>
    <t xml:space="preserve"> BOOLEAN Get/Set</t>
    <phoneticPr fontId="4" type="noConversion"/>
  </si>
  <si>
    <t xml:space="preserve"> SESSION (STRING)</t>
    <phoneticPr fontId="4" type="noConversion"/>
  </si>
  <si>
    <t xml:space="preserve"> SESSION ( ${1:STRING}) ${2:is  SESSION}</t>
    <phoneticPr fontId="4" type="noConversion"/>
  </si>
  <si>
    <t xml:space="preserve"> SESSION</t>
    <phoneticPr fontId="4" type="noConversion"/>
  </si>
  <si>
    <t xml:space="preserve"> ConfirmID (STRING)</t>
    <phoneticPr fontId="4" type="noConversion"/>
  </si>
  <si>
    <t xml:space="preserve"> ConfirmID ( ${1:STRING}) ${2:is  BOOLEAN}</t>
    <phoneticPr fontId="4" type="noConversion"/>
  </si>
  <si>
    <t xml:space="preserve"> BOOLEAN</t>
    <phoneticPr fontId="4" type="noConversion"/>
  </si>
  <si>
    <t xml:space="preserve"> Current() </t>
    <phoneticPr fontId="4" type="noConversion"/>
  </si>
  <si>
    <t xml:space="preserve"> Current() ${1:is  ARRAY OF DB}</t>
    <phoneticPr fontId="4" type="noConversion"/>
  </si>
  <si>
    <t xml:space="preserve"> ARRAY OF DB</t>
    <phoneticPr fontId="4" type="noConversion"/>
  </si>
  <si>
    <t xml:space="preserve"> Deferred() </t>
    <phoneticPr fontId="4" type="noConversion"/>
  </si>
  <si>
    <t xml:space="preserve"> Deferred() ${1:is  ARRAY OF DB}</t>
    <phoneticPr fontId="4" type="noConversion"/>
  </si>
  <si>
    <t xml:space="preserve"> Location()</t>
    <phoneticPr fontId="4" type="noConversion"/>
  </si>
  <si>
    <t xml:space="preserve"> Location() ${1:is  LOCATION}</t>
    <phoneticPr fontId="4" type="noConversion"/>
  </si>
  <si>
    <t xml:space="preserve"> LOCATION</t>
    <phoneticPr fontId="4" type="noConversion"/>
  </si>
  <si>
    <t xml:space="preserve"> MDB() </t>
    <phoneticPr fontId="4" type="noConversion"/>
  </si>
  <si>
    <t xml:space="preserve"> MDB() ${1:is  MDB}</t>
    <phoneticPr fontId="4" type="noConversion"/>
  </si>
  <si>
    <t xml:space="preserve"> MDB</t>
    <phoneticPr fontId="4" type="noConversion"/>
  </si>
  <si>
    <t xml:space="preserve"> Mode() </t>
    <phoneticPr fontId="4" type="noConversion"/>
  </si>
  <si>
    <t xml:space="preserve"> Mode() ${1:is  ARRAY OF STRING}</t>
    <phoneticPr fontId="4" type="noConversion"/>
  </si>
  <si>
    <t xml:space="preserve"> ARRAY OF STRING</t>
    <phoneticPr fontId="4" type="noConversion"/>
  </si>
  <si>
    <t xml:space="preserve"> Modified() </t>
    <phoneticPr fontId="4" type="noConversion"/>
  </si>
  <si>
    <t xml:space="preserve"> Modified() ${1:is  BOOLEAN}</t>
    <phoneticPr fontId="4" type="noConversion"/>
  </si>
  <si>
    <t xml:space="preserve"> BOOLEAN</t>
    <phoneticPr fontId="4" type="noConversion"/>
  </si>
  <si>
    <t xml:space="preserve"> Module() </t>
    <phoneticPr fontId="4" type="noConversion"/>
  </si>
  <si>
    <t xml:space="preserve"> Module() ${1:is  STRING}</t>
    <phoneticPr fontId="4" type="noConversion"/>
  </si>
  <si>
    <t xml:space="preserve"> Status() </t>
    <phoneticPr fontId="4" type="noConversion"/>
  </si>
  <si>
    <t xml:space="preserve"> Status() ${1:is  ARRAY OF STRINGS}</t>
    <phoneticPr fontId="4" type="noConversion"/>
  </si>
  <si>
    <t xml:space="preserve"> ARRAY OF STRINGS</t>
    <phoneticPr fontId="4" type="noConversion"/>
  </si>
  <si>
    <t xml:space="preserve"> User() </t>
    <phoneticPr fontId="4" type="noConversion"/>
  </si>
  <si>
    <t xml:space="preserve"> User() ${1:is  USER}</t>
    <phoneticPr fontId="4" type="noConversion"/>
  </si>
  <si>
    <t xml:space="preserve"> USER</t>
    <phoneticPr fontId="4" type="noConversion"/>
  </si>
  <si>
    <t xml:space="preserve">.featureHighlight(BOOLEAN) </t>
    <phoneticPr fontId="4" type="noConversion"/>
  </si>
  <si>
    <t>Graphical Selection</t>
    <phoneticPr fontId="4" type="noConversion"/>
  </si>
  <si>
    <t>LOCATION Object</t>
    <phoneticPr fontId="4" type="noConversion"/>
  </si>
  <si>
    <t xml:space="preserve">  Confirm( Message is STRING, X is  REAL, Y is REAL ) </t>
  </si>
  <si>
    <t xml:space="preserve">  STRING ‘YES’  OR ‘NO’</t>
  </si>
  <si>
    <t xml:space="preserve">  Show a blocking CONFIRM ALERT and retrieve the response. X and Y are optional screen positions.</t>
  </si>
  <si>
    <t xml:space="preserve">  Error(Message is STRING, X is  REAL, Y is REAL )</t>
  </si>
  <si>
    <t xml:space="preserve">  STRING  ‘YES’ </t>
  </si>
  <si>
    <t xml:space="preserve">  Show a blocking ERROR ALERT and retrieve the response. X and Y are optional screen positions.</t>
  </si>
  <si>
    <t xml:space="preserve">  Message(Message is STRING, X is  REAL, Y is REAL)</t>
  </si>
  <si>
    <t xml:space="preserve">  Show a blocking MESSAGE ALERT and retrieve the response and retrieve the response. X and Y are optional screen positions.</t>
  </si>
  <si>
    <t xml:space="preserve">  Question(Message is STRING, X is  REAL, Y is REAL )  </t>
  </si>
  <si>
    <t xml:space="preserve">  STRING ‘YES’, ‘NO’ OR ‘CANCEL’</t>
  </si>
  <si>
    <t xml:space="preserve">  Show a blocking QUESTION ALERT and retrieve the response. X and Y are optional screen positions.</t>
  </si>
  <si>
    <t xml:space="preserve">  Warning(Message is STRING, X is  REAL, Y is REAL)</t>
  </si>
  <si>
    <t xml:space="preserve">  Show a blocking WARNING ALERT and retrieve the response and retrieve the response. X and Y are optional screen positions.</t>
  </si>
  <si>
    <t xml:space="preserve"> Input( ! prompt is  STRING, !default is STRING) is STRING</t>
  </si>
  <si>
    <t xml:space="preserve">  STRING </t>
  </si>
  <si>
    <t xml:space="preserve">  Show a blocking INPUT ALERT. !prompt is the prompt displayed to the user, and !default is the default value in the text box.</t>
  </si>
  <si>
    <t xml:space="preserve"> Input( !prompt is STRING, !default is STRING, xPos is REAL, yPos is REAL) is STRING</t>
  </si>
  <si>
    <t xml:space="preserve">  STRING</t>
  </si>
  <si>
    <t xml:space="preserve">  Show a blocking INPUT ALERT. !prompt is the prompt displayed to the user, and !default is the default value in the text box. xPos and yPos are the coordinates of the top lefthand corner of the alert box.</t>
  </si>
  <si>
    <t xml:space="preserve">  Orientation  </t>
  </si>
  <si>
    <t xml:space="preserve">  ORIENTATI ON Get/Set</t>
  </si>
  <si>
    <t xml:space="preserve">  Orientation of the arc.</t>
  </si>
  <si>
    <t xml:space="preserve">  Position </t>
  </si>
  <si>
    <t xml:space="preserve">  POSITION Get/Set</t>
  </si>
  <si>
    <t xml:space="preserve">  Origin/Centre of the arc.</t>
  </si>
  <si>
    <t xml:space="preserve">  Radius </t>
  </si>
  <si>
    <t xml:space="preserve">  REAL Get/Set</t>
  </si>
  <si>
    <t xml:space="preserve">  Radius of the arc</t>
  </si>
  <si>
    <t xml:space="preserve">  StartAngle </t>
  </si>
  <si>
    <t xml:space="preserve">  Angle from X axes to start of the arc.</t>
  </si>
  <si>
    <t xml:space="preserve">  EndAngle </t>
  </si>
  <si>
    <t xml:space="preserve">  Angle from X axes to end of the arc.</t>
  </si>
  <si>
    <t xml:space="preserve">  Sense  </t>
  </si>
  <si>
    <t xml:space="preserve">  BOOLEAN Get/Set </t>
  </si>
  <si>
    <t xml:space="preserve">  Arc sense: ·0 for clockwise ·1 for anti-clockwise</t>
  </si>
  <si>
    <t xml:space="preserve">  Arc( POSITION, ORIENTATION,  REAL, REAL, REAL,BOOLEAN)</t>
  </si>
  <si>
    <t xml:space="preserve">  ARC </t>
  </si>
  <si>
    <t xml:space="preserve">  Creates an arc with the given Position, Orientation, Start Angle, End Angle, Radius. If the last argument is TRUE, the arc is clockwise. </t>
  </si>
  <si>
    <t xml:space="preserve">  String()</t>
  </si>
  <si>
    <t xml:space="preserve">  Returns the arc as a string</t>
  </si>
  <si>
    <t xml:space="preserve">  StartPosition(POSITION)</t>
  </si>
  <si>
    <t xml:space="preserve">  ARC</t>
  </si>
  <si>
    <t xml:space="preserve">  Returns a new arc, based on the original, where the start angle, if defined as the angle from the centre of the arc through the passed position mapped onto the arc plane, forms the X axis.</t>
  </si>
  <si>
    <t xml:space="preserve">  EndPosition(POSITION)</t>
  </si>
  <si>
    <t xml:space="preserve">  As StartPosition, but for the EndAngle.</t>
  </si>
  <si>
    <t xml:space="preserve">  Through(POSITION)</t>
  </si>
  <si>
    <t xml:space="preserve">  Returns a new arc, where the radius (of the full circle) passes through the passed position when mapped onto the arc plane.</t>
  </si>
  <si>
    <t xml:space="preserve">  ChordHeight(REAL)  </t>
  </si>
  <si>
    <t xml:space="preserve">  ARC  </t>
  </si>
  <si>
    <t xml:space="preserve">  Returns a new arc, based on the  original,  where  the EndAngle is in such a position  to  produce  the passed chord height. Chord height &gt; Radius or Chord height &lt; 0 return unset objects. New arc should not produce subtended angle &gt; 180.</t>
  </si>
  <si>
    <t xml:space="preserve">  Chord(REAL)   </t>
  </si>
  <si>
    <t xml:space="preserve">  ARC   </t>
  </si>
  <si>
    <t xml:space="preserve">  Returns a new arc, maintaining the original StartAngle,  so  the EndAngle is at the specified distance from the Start Chord length &gt; Radius * 2 or &lt; 0 return an unset object.</t>
  </si>
  <si>
    <t xml:space="preserve">  Circle()</t>
  </si>
  <si>
    <t xml:space="preserve">  Returns a full circle definition of the arc.</t>
  </si>
  <si>
    <t xml:space="preserve">  Circle(BOOLEAN)</t>
  </si>
  <si>
    <t xml:space="preserve">  Returns a full circle definition of the arc. If True, the arc is anti-clock-wise</t>
  </si>
  <si>
    <t xml:space="preserve">  Complement()</t>
  </si>
  <si>
    <t xml:space="preserve">  Returns the complementary arc of the arc definition (the remainder of the circle)</t>
  </si>
  <si>
    <t xml:space="preserve">  AnglePosition(REAL)</t>
  </si>
  <si>
    <t xml:space="preserve">  POSITION</t>
  </si>
  <si>
    <t xml:space="preserve">  Returns the position at the specified angle on the arc.</t>
  </si>
  <si>
    <t xml:space="preserve">  AngleDirection(REAL)</t>
  </si>
  <si>
    <t xml:space="preserve">  DIRECTION</t>
  </si>
  <si>
    <t xml:space="preserve">  Returns the direction from the centre of the arc through a point at the given angle from the X axis</t>
  </si>
  <si>
    <t xml:space="preserve">  StartTangent()</t>
  </si>
  <si>
    <t xml:space="preserve">  Returns the direction out of the arc, tangential to the start angle line. The “sense” of the arc is used.</t>
  </si>
  <si>
    <t xml:space="preserve">  EndTangent()</t>
  </si>
  <si>
    <t xml:space="preserve">  Returns the direction out of the arc, tangential to the end angle line. The “sense” of the arc is used.</t>
  </si>
  <si>
    <t xml:space="preserve">  AngleTangent(REAL)</t>
  </si>
  <si>
    <t xml:space="preserve">  Returns the direction, tangential to the angle passed.</t>
  </si>
  <si>
    <t xml:space="preserve">  XYOffset(POSITION)</t>
  </si>
  <si>
    <t xml:space="preserve">  XYPOSITI ON </t>
  </si>
  <si>
    <t xml:space="preserve">  Returns the position, mapped onto the arc plane, in term of an XY offset from the arc plane origin</t>
  </si>
  <si>
    <t xml:space="preserve">  Proportion(REAL) </t>
  </si>
  <si>
    <t xml:space="preserve">  REAL </t>
  </si>
  <si>
    <t xml:space="preserve">  Returns the position, in terms of an angle from the X axis, at the proportion from the start angle of the arc: Angle = (EndAngle StartAngle) * &lt;real&gt; + StartAngle</t>
  </si>
  <si>
    <t xml:space="preserve">  Angle()</t>
  </si>
  <si>
    <t xml:space="preserve">  REAL</t>
  </si>
  <si>
    <t xml:space="preserve">  Returns the subtended angle of the arc </t>
  </si>
  <si>
    <t xml:space="preserve">  Near(POSITION)</t>
  </si>
  <si>
    <t xml:space="preserve">  Returns the position, in terms of an angle from the X axis, to the position on the arc plane of the passed position </t>
  </si>
  <si>
    <t xml:space="preserve">  Chord()</t>
  </si>
  <si>
    <t xml:space="preserve">  Returns the chord length between the start and end of the arc definition</t>
  </si>
  <si>
    <t xml:space="preserve">  Length()</t>
  </si>
  <si>
    <t xml:space="preserve">  Returns the true length of the arc line</t>
  </si>
  <si>
    <t xml:space="preserve">  ChordHeight()</t>
  </si>
  <si>
    <t xml:space="preserve">  Returns the chord height of the arc line</t>
  </si>
  <si>
    <t xml:space="preserve">  Intersections(LINE)</t>
  </si>
  <si>
    <t xml:space="preserve">  REAL ARRAY</t>
  </si>
  <si>
    <t xml:space="preserve">  Returns the intersection points, in terms of angles from the X axis, of the passed line (mapped onto arc plane) with the circle defined by the arc</t>
  </si>
  <si>
    <t xml:space="preserve">  Intersections(PLANE)</t>
  </si>
  <si>
    <t xml:space="preserve">  Returns the intersection points, in terms of angles from the X axis, of the passed plane with the circle defined by the arc</t>
  </si>
  <si>
    <t xml:space="preserve">  Intersections(ARC)  </t>
  </si>
  <si>
    <t xml:space="preserve">  REAL ARRAY  </t>
  </si>
  <si>
    <t xml:space="preserve">  Returns the intersection points, in terms of angles from the X axis, of the circle implied by the passed arc with the circle defined by the arc The Arcs must be in the same plane, i.e. the angle between Z components of the direction must be 0 or 180</t>
  </si>
  <si>
    <t xml:space="preserve">  Tangents(POSITION)</t>
  </si>
  <si>
    <t xml:space="preserve">  Returns the points of tangency on the arc circle from the passed position, in terms of angles from the X axis,</t>
  </si>
  <si>
    <t xml:space="preserve">  Tangents(ARC)</t>
  </si>
  <si>
    <t xml:space="preserve">  Returns the points of tangency on the arc circle for the passed arc circle, in terms of angles from the X axis</t>
  </si>
  <si>
    <t xml:space="preserve">  Split()</t>
  </si>
  <si>
    <t xml:space="preserve">  Splits the arc into a non-zero number of segments</t>
  </si>
  <si>
    <t xml:space="preserve">  Pole()</t>
  </si>
  <si>
    <t xml:space="preserve">  Returns the pole position of the arc</t>
  </si>
  <si>
    <t xml:space="preserve">  On(POSITION)</t>
  </si>
  <si>
    <t xml:space="preserve">  BOOLEAN</t>
  </si>
  <si>
    <t xml:space="preserve">  Returns true if the passed position lies on the arc line</t>
  </si>
  <si>
    <t xml:space="preserve">  OnProjected(POSITION)</t>
  </si>
  <si>
    <t xml:space="preserve">  Returns true if the passed position, when projected onto the arc line, lies within it</t>
  </si>
  <si>
    <t xml:space="preserve">  OnExtended(POSITION) </t>
  </si>
  <si>
    <t xml:space="preserve">  BOOLEAN </t>
  </si>
  <si>
    <t xml:space="preserve">  Returns true if the passed position, when mapped onto the arc line, lies outside it </t>
  </si>
  <si>
    <t xml:space="preserve">  Append(ANY value)</t>
  </si>
  <si>
    <t xml:space="preserve">  NO RESULT</t>
  </si>
  <si>
    <t xml:space="preserve">  Append value as a new element at the end of array.</t>
  </si>
  <si>
    <t xml:space="preserve">  AppendArray(ARRAY values)</t>
  </si>
  <si>
    <t xml:space="preserve">  Append array values as new elements at the end of array.</t>
  </si>
  <si>
    <t xml:space="preserve">  Clear()</t>
  </si>
  <si>
    <t xml:space="preserve">  Remove all elements.</t>
  </si>
  <si>
    <t xml:space="preserve">  Compress()</t>
  </si>
  <si>
    <t xml:space="preserve">  Removed all undefined elements and re-index remaining elements.</t>
  </si>
  <si>
    <t xml:space="preserve">  DeleteFrom( REAL index, REAL n) </t>
  </si>
  <si>
    <t xml:space="preserve">  ARRAY </t>
  </si>
  <si>
    <t xml:space="preserve">  Make undefined n elements starting at index. Remaining elements are not re-indexed  Returns an array of the deleted elements (which need not be assigned if not wanted).</t>
  </si>
  <si>
    <t xml:space="preserve">  DeleteFrom( REAL index)  </t>
  </si>
  <si>
    <t xml:space="preserve">  ARRAY  </t>
  </si>
  <si>
    <t xml:space="preserve">  Make undefined elements from index to end of array.  Returns an array of the deleted elements. Remaining elements not reindexed.</t>
  </si>
  <si>
    <t xml:space="preserve">  DeleteTo(REAL index, REAL n)</t>
  </si>
  <si>
    <t xml:space="preserve">  ARRAY</t>
  </si>
  <si>
    <t xml:space="preserve">  Make undefined n elements up to index Returns an array of the deleted elements Remaining elements not reindexed.</t>
  </si>
  <si>
    <t xml:space="preserve">  DeleteTo(REAL index)</t>
  </si>
  <si>
    <t xml:space="preserve">  Make undefined elements from start to index Returns an array of the deleted elements Remaining elements not re-indexed.</t>
  </si>
  <si>
    <t xml:space="preserve">  Difference(ARRAY two)</t>
  </si>
  <si>
    <t xml:space="preserve">  Return an array of those elements in the original array not present in array two. Duplicates will appear only once</t>
  </si>
  <si>
    <t xml:space="preserve">  Empty()</t>
  </si>
  <si>
    <t xml:space="preserve">  TRUE if array is empty</t>
  </si>
  <si>
    <t xml:space="preserve">  Evaluate(BLOCK command)</t>
  </si>
  <si>
    <t xml:space="preserve">  NEW ARRAY</t>
  </si>
  <si>
    <t xml:space="preserve">  Evaluate code in command at each element.</t>
  </si>
  <si>
    <t xml:space="preserve">  Find(ANY value)</t>
  </si>
  <si>
    <t xml:space="preserve">  Search original array for value and return an array of index positions at which it was found.</t>
  </si>
  <si>
    <t xml:space="preserve">  FindFirst(ANY value)</t>
  </si>
  <si>
    <t xml:space="preserve">  Return index of first occurrence of value. Returns UNSET if not found.</t>
  </si>
  <si>
    <t xml:space="preserve">  First()</t>
  </si>
  <si>
    <t xml:space="preserve">  ANY</t>
  </si>
  <si>
    <t xml:space="preserve">  Return value of first defined element </t>
  </si>
  <si>
    <t xml:space="preserve">  From(REAL index, REAL n)</t>
  </si>
  <si>
    <t xml:space="preserve">  Copy sub array of n elements starting at index.</t>
  </si>
  <si>
    <t xml:space="preserve">  From(REAL index)</t>
  </si>
  <si>
    <t xml:space="preserve">  Copy sub array starting at index to end of array.</t>
  </si>
  <si>
    <t xml:space="preserve">  GetIndexed(REAL index) </t>
  </si>
  <si>
    <t xml:space="preserve">  ANY </t>
  </si>
  <si>
    <t xml:space="preserve">  Implements  ARRAY[index] (this is an internal method).</t>
  </si>
  <si>
    <t xml:space="preserve">  Indices()</t>
  </si>
  <si>
    <t xml:space="preserve">  Returns an array containing the indices of the target array that have a value.</t>
  </si>
  <si>
    <t xml:space="preserve">  Insert(REAL index, ANY value) </t>
  </si>
  <si>
    <t xml:space="preserve">  NO RESULT </t>
  </si>
  <si>
    <t xml:space="preserve">  Insert value as  a new element at index. Later  elements  are  reindexed</t>
  </si>
  <si>
    <t xml:space="preserve">  InsertArray(REAL index, ARRAY  ANY values)</t>
  </si>
  <si>
    <t xml:space="preserve">  Insert values as new elements with the first at index. Later  elements  are  reindexed</t>
  </si>
  <si>
    <t xml:space="preserve">  Intersect(ARRAY two)</t>
  </si>
  <si>
    <t xml:space="preserve">  Return array of elements present in both arrays. Duplicates will appear only once.</t>
  </si>
  <si>
    <t xml:space="preserve">  Invert()</t>
  </si>
  <si>
    <t xml:space="preserve">  Returns an inverted copy of the array.</t>
  </si>
  <si>
    <t xml:space="preserve">  Last()</t>
  </si>
  <si>
    <t xml:space="preserve">  Return last element value.</t>
  </si>
  <si>
    <t xml:space="preserve">  MaxIndex()</t>
  </si>
  <si>
    <t xml:space="preserve">  Subscript of last defined (non-empty) element.</t>
  </si>
  <si>
    <t xml:space="preserve">  MinIndex()</t>
  </si>
  <si>
    <t xml:space="preserve">  Subscript of first defined (non-empty) element.</t>
  </si>
  <si>
    <t xml:space="preserve">  Overlay(REAL index, ARRAY two)</t>
  </si>
  <si>
    <t xml:space="preserve">  Replace array elements at index with elements from the array two. Returns an array of the elements which were overwritten (which need not be assigned if not required).</t>
  </si>
  <si>
    <t xml:space="preserve">  ReIndex(REAL ARRAY indices) </t>
  </si>
  <si>
    <t xml:space="preserve">  Apply  result  of SORTEDINDICES to reorder array elements into positions specified by indices.</t>
  </si>
  <si>
    <t xml:space="preserve">  Remove(REAL nth) </t>
  </si>
  <si>
    <t xml:space="preserve">  Remove and Return nth element (which need not be assigned if not required). Remaining elements are reindexed.</t>
  </si>
  <si>
    <t xml:space="preserve">  RemoveFirst() </t>
  </si>
  <si>
    <t xml:space="preserve">  Remove and Return first element (which need not be assigned if not required). Remaining elements are reindexed.</t>
  </si>
  <si>
    <t xml:space="preserve">  RemoveFrom(REAL index, REAL n) </t>
  </si>
  <si>
    <t xml:space="preserve">  NEW ARRAY </t>
  </si>
  <si>
    <t xml:space="preserve">  Remove and Return new array of n elements starting with index (which need not be assigned if not required). Remaining elements are reindexed.</t>
  </si>
  <si>
    <t xml:space="preserve">  RemoveFrom(REAL index) </t>
  </si>
  <si>
    <t xml:space="preserve">  Remove and Return new array of elements from index to end of array (which need not be assigned if not required). Remaining elements are reindexed.</t>
  </si>
  <si>
    <t xml:space="preserve">  RemoveLast() </t>
  </si>
  <si>
    <t xml:space="preserve">  Remove and Return last element (which need not be assigned if not required). Remaining elements are reindexed.</t>
  </si>
  <si>
    <t xml:space="preserve">  RemoveTo(REAL index, REAL n) </t>
  </si>
  <si>
    <t xml:space="preserve">  Remove and Return n elements from start to index (which need not be assigned if not required). Remaining elements are reindexed.</t>
  </si>
  <si>
    <t xml:space="preserve">  RemoveTo(REAL index) </t>
  </si>
  <si>
    <t xml:space="preserve">  Remove and return elements from start to index (which need not be assigned if not required). Remaining elements are reindexed.</t>
  </si>
  <si>
    <t xml:space="preserve">  Size()</t>
  </si>
  <si>
    <t xml:space="preserve">  Returns the number of defined elements.</t>
  </si>
  <si>
    <t xml:space="preserve">  Sort()</t>
  </si>
  <si>
    <t xml:space="preserve">  Sort array into ascending order.</t>
  </si>
  <si>
    <t xml:space="preserve">  SortUnique() </t>
  </si>
  <si>
    <t xml:space="preserve">  Returns a sorted copy of the array  with  duplicates removed.</t>
  </si>
  <si>
    <t xml:space="preserve">  SortedIndices() </t>
  </si>
  <si>
    <t xml:space="preserve">  NEW REAL ARRAY </t>
  </si>
  <si>
    <t xml:space="preserve">  Return new array of indices representing the sorted order of elements in array. The array itself is not sorted.</t>
  </si>
  <si>
    <t xml:space="preserve">  To(REAL index, REAL n)</t>
  </si>
  <si>
    <t xml:space="preserve">  Copy sub array of n elements from start to index.</t>
  </si>
  <si>
    <t xml:space="preserve">  To(REAL index)</t>
  </si>
  <si>
    <t xml:space="preserve">  Copy sub array from start of array to index.</t>
  </si>
  <si>
    <t xml:space="preserve">  Union(ARRAY two)</t>
  </si>
  <si>
    <t xml:space="preserve">  Return array of elements present in either array (duplicates will appear only once).</t>
  </si>
  <si>
    <t xml:space="preserve">  Unique()</t>
  </si>
  <si>
    <t xml:space="preserve">  Discard duplicates and reindex remaining elements.</t>
  </si>
  <si>
    <t xml:space="preserve">  Width()</t>
  </si>
  <si>
    <t xml:space="preserve">  Return the maximum width of string elements (other element types are ignored).</t>
  </si>
  <si>
    <t xml:space="preserve">  Company</t>
  </si>
  <si>
    <t xml:space="preserve">  Company name, up to 120 characters.</t>
  </si>
  <si>
    <t xml:space="preserve">  Copyright</t>
  </si>
  <si>
    <t xml:space="preserve">  AVEVA copyright, up to 80 characters.</t>
  </si>
  <si>
    <t xml:space="preserve">  Libraries</t>
  </si>
  <si>
    <t xml:space="preserve">  ARRAY OF STRINGS</t>
  </si>
  <si>
    <t xml:space="preserve">  Library names</t>
  </si>
  <si>
    <t xml:space="preserve">  Name</t>
  </si>
  <si>
    <t xml:space="preserve">  Title for main windows, up to 13 characters</t>
  </si>
  <si>
    <t xml:space="preserve">  Short</t>
  </si>
  <si>
    <t xml:space="preserve">  Short form of company name</t>
  </si>
  <si>
    <t xml:space="preserve">  Status</t>
  </si>
  <si>
    <t xml:space="preserve">  PDMS release status</t>
  </si>
  <si>
    <t xml:space="preserve">  Add(STRING dText, STRING enu) </t>
  </si>
  <si>
    <t xml:space="preserve">  Appends a barmenu field, which can show the specified menu as a pulldown menu.  The name of the pulldown menu is given in menu; the DTEXT of the field is given by dText.</t>
  </si>
  <si>
    <t xml:space="preserve">  Removes all barmenu fields. Using this method is deprecated.</t>
  </si>
  <si>
    <t xml:space="preserve">  Clear(STRING  dText) </t>
  </si>
  <si>
    <t xml:space="preserve">  Removes all barmenu fields after and including the one with DTEXT dText.  Using  this  method  is deprecated.</t>
  </si>
  <si>
    <t xml:space="preserve">  FieldProperty(STRING field,  STRING property)</t>
  </si>
  <si>
    <t xml:space="preserve">  Get the value of the property named in property for the menu field named in field. The allowed values for the property are ‘ACTIVE’ or ‘VISIBLE’.</t>
  </si>
  <si>
    <t xml:space="preserve">  FullName()</t>
  </si>
  <si>
    <t xml:space="preserve">  Get the full name of the gadget, e.g.'!!Form.bar'.</t>
  </si>
  <si>
    <t xml:space="preserve">  InsertAfter(STRING field, STRING dText, STRING menu) </t>
  </si>
  <si>
    <t xml:space="preserve">  Inserts a new barmenu field immediately after the one identified by field. The name of the menu is given in menu; the DTEXT of the new field is given by dText.</t>
  </si>
  <si>
    <t xml:space="preserve">  InsertBefore(STRING field,  STRING dText, STRING menu)</t>
  </si>
  <si>
    <t xml:space="preserve">  Inserts a new barmenu field immediately before the one identified by field. The name of the menu is given in menu; the DTEXT of the menu is given by dText.</t>
  </si>
  <si>
    <t xml:space="preserve">  Name() </t>
  </si>
  <si>
    <t xml:space="preserve">  Get the gadget's name, i.e. 'bar'</t>
  </si>
  <si>
    <t xml:space="preserve">  Owner()</t>
  </si>
  <si>
    <t xml:space="preserve">  Get the owning form.</t>
  </si>
  <si>
    <t xml:space="preserve">  Result</t>
  </si>
  <si>
    <t xml:space="preserve">  Purpose</t>
  </si>
  <si>
    <t xml:space="preserve">  SetActive( STRING dText, BOOLEAN state) </t>
  </si>
  <si>
    <t xml:space="preserve">  Deactivate/Activate  the menu field whose DTEXT is dText.  Using  this  method  is deprecated.</t>
  </si>
  <si>
    <t xml:space="preserve">  SetFieldProperty(STRING menu,  STRING property, BOOLEAN state)</t>
  </si>
  <si>
    <t xml:space="preserve">  Set the value of the property named in property with the value of state, for the menu named in menu. The allowed values for the property are ‘ACTIVE’ or ‘VISIBLE’.</t>
  </si>
  <si>
    <t xml:space="preserve">  Shown()</t>
  </si>
  <si>
    <t xml:space="preserve">  Get shown status.</t>
  </si>
  <si>
    <t xml:space="preserve">  Type()</t>
  </si>
  <si>
    <t xml:space="preserve">  Get the GADGET type as a STRING.</t>
  </si>
  <si>
    <t xml:space="preserve">  Block( STRING expression)</t>
  </si>
  <si>
    <t xml:space="preserve">  BLOCK</t>
  </si>
  <si>
    <t xml:space="preserve">  Creates a block expression.</t>
  </si>
  <si>
    <t xml:space="preserve">  Evaluate()</t>
  </si>
  <si>
    <t xml:space="preserve">  Evaluate block expression on object: check result is of TYPE type.</t>
  </si>
  <si>
    <t xml:space="preserve">  Evaluate the expression and return the result</t>
  </si>
  <si>
    <t xml:space="preserve">  Evaluate(STRING type)</t>
  </si>
  <si>
    <t xml:space="preserve">  Evaluate expression and return an error if the result is not of TYPE type. Otherwise returns the result.</t>
  </si>
  <si>
    <t xml:space="preserve">  BOOLEAN(REAL value)</t>
  </si>
  <si>
    <t xml:space="preserve">  Constructor that creates a boolean Object set to a nonzero value if boolean is TRUE; 0 if boolean is FALSE</t>
  </si>
  <si>
    <t xml:space="preserve">  BOOLEAN(STRING value)  </t>
  </si>
  <si>
    <t xml:space="preserve">  BOOLEAN  </t>
  </si>
  <si>
    <t xml:space="preserve">  Constructor that creates a boolean Object set to: 'TRUE’ if boolean is T, TR, TRU, TRUE, Y, YE YES; ‘FALSE’ if boolean is F, FA, FAL, FALS, FALSE, N, NO.</t>
  </si>
  <si>
    <t xml:space="preserve">  BOOLEAN( STRING value, FORMAT format)</t>
  </si>
  <si>
    <t xml:space="preserve">  As above. FORMAT argument required for consistency by Forms and Menus.</t>
  </si>
  <si>
    <t xml:space="preserve">  AND()</t>
  </si>
  <si>
    <t xml:space="preserve">  TRUE if both values are TRUE</t>
  </si>
  <si>
    <t xml:space="preserve">  NOT()</t>
  </si>
  <si>
    <t xml:space="preserve">  TRUE if FALSE; FALSE if TRUE</t>
  </si>
  <si>
    <t xml:space="preserve">  OR(BOOLEAN value)</t>
  </si>
  <si>
    <t xml:space="preserve">  TRUE if either value is TRUE</t>
  </si>
  <si>
    <t xml:space="preserve">  Real()</t>
  </si>
  <si>
    <t xml:space="preserve">  1 if boolean is TRUE; 0 if boolean is FALSE</t>
  </si>
  <si>
    <t xml:space="preserve">  String() </t>
  </si>
  <si>
    <t xml:space="preserve">  ‘TRUE’ if boolean is TRUE. ‘FALSE’ if boolean is FALSE.</t>
  </si>
  <si>
    <t xml:space="preserve">  Size  </t>
  </si>
  <si>
    <t xml:space="preserve">  REAL  Get/Set</t>
  </si>
  <si>
    <t xml:space="preserve">  The BORE size</t>
  </si>
  <si>
    <t xml:space="preserve">  BORE(REAL value)</t>
  </si>
  <si>
    <t xml:space="preserve">  Constructor that creates a BORE object with the given value.</t>
  </si>
  <si>
    <t xml:space="preserve">  BORE(STRING value)</t>
  </si>
  <si>
    <t xml:space="preserve">  BORE(STRING value, FORMAT format)</t>
  </si>
  <si>
    <t xml:space="preserve">  Constructor that creates a BORE object with the given value, and in the format specified by format.</t>
  </si>
  <si>
    <t xml:space="preserve">  EQ(REAL value)</t>
  </si>
  <si>
    <t xml:space="preserve">  Comparison with the argument value dependent on current BORE units.</t>
  </si>
  <si>
    <t xml:space="preserve">  GEQ(BORE bore)</t>
  </si>
  <si>
    <t xml:space="preserve">  TRUE if this object is greater than or equal to the argument bore.</t>
  </si>
  <si>
    <t xml:space="preserve">  GEQ(REAL value)</t>
  </si>
  <si>
    <t xml:space="preserve">  GT(BORE bore) </t>
  </si>
  <si>
    <t xml:space="preserve">  TRUE if BORE greater than BORE</t>
  </si>
  <si>
    <t xml:space="preserve">  GT(REAL value)</t>
  </si>
  <si>
    <t xml:space="preserve">  Comparison with the argument value dependent on current BORE units</t>
  </si>
  <si>
    <t xml:space="preserve">  LEQ(BORE bore)</t>
  </si>
  <si>
    <t xml:space="preserve">  TRUE if this object is less than or equal to the argument bore.</t>
  </si>
  <si>
    <t xml:space="preserve">  LEQ(REAL value)</t>
  </si>
  <si>
    <t xml:space="preserve">  LT(BORE bore)</t>
  </si>
  <si>
    <t xml:space="preserve">  TRUE if this object is less than bore.</t>
  </si>
  <si>
    <t xml:space="preserve">  LT(REAL value)</t>
  </si>
  <si>
    <t xml:space="preserve">  Convert BORE to a REAL value</t>
  </si>
  <si>
    <t xml:space="preserve">  String(FORMAT format)</t>
  </si>
  <si>
    <t xml:space="preserve">  Convert BORE to a STRING using the settings in the global format object.</t>
  </si>
  <si>
    <t xml:space="preserve">  Background </t>
  </si>
  <si>
    <t xml:space="preserve">  REAL Set/Get</t>
  </si>
  <si>
    <t xml:space="preserve">  Set  or  get  Background Colour Number</t>
  </si>
  <si>
    <t xml:space="preserve">  STRING Set Only</t>
  </si>
  <si>
    <t xml:space="preserve">  Set  Background  Colour Name</t>
  </si>
  <si>
    <t xml:space="preserve">  Val  </t>
  </si>
  <si>
    <t xml:space="preserve">  TRUE when the button is pressed FALSE when it is not</t>
  </si>
  <si>
    <t xml:space="preserve">  AddPixmap(STRING file1, STRING file2, STRING file3 ) AddPixmap(STRING file1, STRING file2) AddPixmap(STRING file )</t>
  </si>
  <si>
    <t xml:space="preserve">  NO RESULT  </t>
  </si>
  <si>
    <t xml:space="preserve">  Adds pixmaps to be used for the unselected, selected and inactive states. The last two are optional.</t>
  </si>
  <si>
    <t xml:space="preserve">  Get the full gadget name, e.g.'!!Form.gadget'.</t>
  </si>
  <si>
    <t xml:space="preserve">  Name()</t>
  </si>
  <si>
    <t xml:space="preserve">  Get the gadget's name, e.g. 'gadget'.</t>
  </si>
  <si>
    <t xml:space="preserve">  Get owning form.</t>
  </si>
  <si>
    <t xml:space="preserve">  SetPopup(MENU menu)</t>
  </si>
  <si>
    <t xml:space="preserve">  Links the given menu with the gadget as a popup.</t>
  </si>
  <si>
    <t xml:space="preserve">  RemovePopup(MENU menu)</t>
  </si>
  <si>
    <t xml:space="preserve">  Removes the given popup menu from the gadget.</t>
  </si>
  <si>
    <t xml:space="preserve">  GetPickedPopup()</t>
  </si>
  <si>
    <t xml:space="preserve">  MENU</t>
  </si>
  <si>
    <t xml:space="preserve">  Returns the name of the menu picked from a popup.</t>
  </si>
  <si>
    <t xml:space="preserve">  SetFocus()</t>
  </si>
  <si>
    <t xml:space="preserve">  Move keyboard focus to this gadget.</t>
  </si>
  <si>
    <t xml:space="preserve">  Refresh()</t>
  </si>
  <si>
    <t xml:space="preserve">  Refresh display of gadget.</t>
  </si>
  <si>
    <t xml:space="preserve">  Background() </t>
  </si>
  <si>
    <t xml:space="preserve">  Get  Background  Colour Name. Some gadgets do not support this property in all circumstances, e.g. gadgets which are showing a pixmap. Gadgets whose colour has not been set explicitly, may not have a colour with a known colourname. In this case an error is raised..</t>
  </si>
  <si>
    <t xml:space="preserve">  SetToolTip(STRING)</t>
  </si>
  <si>
    <t xml:space="preserve">  Sets the text of the Tooltip.</t>
  </si>
  <si>
    <t xml:space="preserve">  Get the gadget-type as a STRING.</t>
  </si>
  <si>
    <t xml:space="preserve">  Collection() Scope (COLLECTION) Scope (DBREF) AddScope Scope (DBREF ARRAY) AppendScope (DBREF ARRAY) ClearScope() Filter (EXPRESSION) ClearFilter () Type (STRING)</t>
  </si>
  <si>
    <t xml:space="preserve">           </t>
  </si>
  <si>
    <t xml:space="preserve">  Constructor (initialises all the object settings). Empties the current scope list and makes the passed COLLECTION the current scope. Empties the current scope list and makes the passed DBREF the current scope. Adds the passed DBREF to the current scope list. Replaces the current scope list with the passed list of DBREFs. Appends the passed list of DBREFs to the scope list. Empties the current scope list. Sets the filter to be applied to the collection. Empties the filter to be applied to the collection. Empties the current scope type list and adds the passed element type.</t>
  </si>
  <si>
    <t xml:space="preserve">  Name AddType(STRING) ClearTypes() Types (ARRAY elements) AppendTypes (ARRAY types) Initialise()</t>
  </si>
  <si>
    <t xml:space="preserve">  Result     </t>
  </si>
  <si>
    <t xml:space="preserve">  Purpose Adds the passed element type to the scope type list. Empties the types to be applied to the collection. Replaces the scope element type list with the passed list, elements. Appends the passed list, types, to the scope type list. Initialises an evaluate list, so all query actions re-evaluate the collection rules. Sets index position to 1.</t>
  </si>
  <si>
    <t xml:space="preserve">  Filter() </t>
  </si>
  <si>
    <t xml:space="preserve">  EXPRESSI ON</t>
  </si>
  <si>
    <t xml:space="preserve">  Returns the expression used to filter database elements.</t>
  </si>
  <si>
    <t xml:space="preserve">  Scope() </t>
  </si>
  <si>
    <t xml:space="preserve">  DBREF ARRAY</t>
  </si>
  <si>
    <t xml:space="preserve">  Returns the list of database elements to scan.</t>
  </si>
  <si>
    <t xml:space="preserve">  Types()</t>
  </si>
  <si>
    <t xml:space="preserve">  STRING ARRAY</t>
  </si>
  <si>
    <t xml:space="preserve">  Returns the list of database element types to be collected.</t>
  </si>
  <si>
    <t xml:space="preserve">  Results() </t>
  </si>
  <si>
    <t xml:space="preserve">  Returns the whole collection.</t>
  </si>
  <si>
    <t xml:space="preserve">  Next(REAL n) </t>
  </si>
  <si>
    <t xml:space="preserve">  Returns sub array from collection of n elements starting at current index position.</t>
  </si>
  <si>
    <t xml:space="preserve">  Index() </t>
  </si>
  <si>
    <t xml:space="preserve">  Returns the current index of the count being used by Next().</t>
  </si>
  <si>
    <t xml:space="preserve">  Size ()</t>
  </si>
  <si>
    <t xml:space="preserve">  Returns the number of elements in the collection.</t>
  </si>
  <si>
    <t xml:space="preserve">  Column() Column(EXPRESSION, BOOLEAN,  BOOLEAN, STRING)  Key (STRING) Expression (EXPRESSION) Sort() NoSort() Ascending()  Descending() </t>
  </si>
  <si>
    <t xml:space="preserve">             </t>
  </si>
  <si>
    <t xml:space="preserve">  Constructor (initialises all the object settings) Constructor  setting Expression, Sort, Ascending, Key Sets key and forces it to be uppercase Defines the expression used to populate the column Switches on column sort Switches off column sort, this is the default setting Sets  column  sort  to ascending order Sets  column  sort  to descending order</t>
  </si>
  <si>
    <t xml:space="preserve">  Key()</t>
  </si>
  <si>
    <t xml:space="preserve">  Returns the key word for use when reporting</t>
  </si>
  <si>
    <t xml:space="preserve">  Expression() </t>
  </si>
  <si>
    <t xml:space="preserve">  Returns the expression used to derive the content of the column</t>
  </si>
  <si>
    <t xml:space="preserve">  IsSorted()</t>
  </si>
  <si>
    <t xml:space="preserve">  Returns TRUE if the column is sorted</t>
  </si>
  <si>
    <t xml:space="preserve">  SortType() </t>
  </si>
  <si>
    <t xml:space="preserve">  Returns the column sort setting, ascending, descending or off</t>
  </si>
  <si>
    <t xml:space="preserve">  ColumnFormat() Format(FORMAT) Format(DATEFORMAT) FORMAT('STRING') Width (REAL) Widest() Indent(REAL, REAL)</t>
  </si>
  <si>
    <t xml:space="preserve">        </t>
  </si>
  <si>
    <t xml:space="preserve">  Constructor (initialises all the object settings) Sets the format of the column to the passed format Sets the format of the column to the passed date format Unsets the format of the column, i.e. the column Sets the column width Sets the maximum column width flag, setting a specific width value automatically sets the flag to FALSE.  Note that this is the least efficient method for Width because a complete scan has to be done to determine the widest. Sets left and right indents (i.e. spaces) in the column</t>
  </si>
  <si>
    <t xml:space="preserve">  Format()</t>
  </si>
  <si>
    <t xml:space="preserve">  FORMAT</t>
  </si>
  <si>
    <t xml:space="preserve">  Returns the format for numeric values in a column</t>
  </si>
  <si>
    <t xml:space="preserve">  Returns the column width, strings greater than the column width are wrapped on to the next line, numeric values greater than the column width are output as a column of hashes.</t>
  </si>
  <si>
    <t xml:space="preserve">  GetWidest()</t>
  </si>
  <si>
    <t xml:space="preserve">  Returns TRUE if “widest” is set</t>
  </si>
  <si>
    <t xml:space="preserve">  Justification() </t>
  </si>
  <si>
    <t xml:space="preserve">  Returns  the  column justification</t>
  </si>
  <si>
    <t xml:space="preserve">  LeftIndent()</t>
  </si>
  <si>
    <t xml:space="preserve">  Returns the left indent setting</t>
  </si>
  <si>
    <t xml:space="preserve">  RightIndent() </t>
  </si>
  <si>
    <t xml:space="preserve">  Returns  the  right  indent setting</t>
  </si>
  <si>
    <t xml:space="preserve">  REAL  Get/ Set </t>
  </si>
  <si>
    <t xml:space="preserve">  Selected option number.</t>
  </si>
  <si>
    <t xml:space="preserve">  DText  </t>
  </si>
  <si>
    <t xml:space="preserve">  ARRAY OF STRING Get/Set</t>
  </si>
  <si>
    <t xml:space="preserve">  Set or get the entire list of display texts.</t>
  </si>
  <si>
    <t xml:space="preserve">  DText[n]</t>
  </si>
  <si>
    <t xml:space="preserve">  STRING Get Only</t>
  </si>
  <si>
    <t xml:space="preserve">  Get the display text of the n'th option.</t>
  </si>
  <si>
    <t xml:space="preserve">  RText  </t>
  </si>
  <si>
    <t xml:space="preserve">  Set or get the list of replacement texts.</t>
  </si>
  <si>
    <t xml:space="preserve">  RText[n] </t>
  </si>
  <si>
    <t xml:space="preserve">  STRING Get Only </t>
  </si>
  <si>
    <t xml:space="preserve">  Get the replacement text of the n'th option.</t>
  </si>
  <si>
    <t xml:space="preserve">  Editable </t>
  </si>
  <si>
    <t xml:space="preserve">  BOOLEAN Get/Set</t>
  </si>
  <si>
    <t xml:space="preserve">  Controls editable status of the text display field (ComboBox only)</t>
  </si>
  <si>
    <t xml:space="preserve">  Scroll </t>
  </si>
  <si>
    <t xml:space="preserve">  INTEGER Get/Set</t>
  </si>
  <si>
    <t xml:space="preserve">  Controls the maximum length of a text string which can be held and scrolled in the display text field (ComboBox only)</t>
  </si>
  <si>
    <t xml:space="preserve">  Count </t>
  </si>
  <si>
    <t xml:space="preserve">  REAL Get only</t>
  </si>
  <si>
    <t xml:space="preserve">  Get count of number of fields in the list.</t>
  </si>
  <si>
    <t xml:space="preserve">  Val </t>
  </si>
  <si>
    <t xml:space="preserve">  Selected field as integer. Zero implies no selection. Setting val to zero will cause an error if ZeroSel is not specified.</t>
  </si>
  <si>
    <t xml:space="preserve">  Add(STRING Dtext)</t>
  </si>
  <si>
    <t xml:space="preserve">  Append an entry to the drop down list, where Dtext is the text to display in the option list.</t>
  </si>
  <si>
    <t xml:space="preserve">  Add(STRING Dtext, STRING Rtext))</t>
  </si>
  <si>
    <t xml:space="preserve">  Append and entry to the drop down list, where Dtext is the text to display in the option list, and Rtext is the replacement text for the new field. If Rtext isn’t specified, it will be set to Dtext by default.</t>
  </si>
  <si>
    <t xml:space="preserve">  Clear gadget’s contents.</t>
  </si>
  <si>
    <t xml:space="preserve">  ClearSelection()</t>
  </si>
  <si>
    <t xml:space="preserve">  Clears selection and returns to default of first in list.</t>
  </si>
  <si>
    <t xml:space="preserve">  Get the full gadget name, e.g.'!!Form.gadget'</t>
  </si>
  <si>
    <t xml:space="preserve">  Get the gadget's name, e.g. 'gadget'</t>
  </si>
  <si>
    <t xml:space="preserve">  Select(STRING text, STRING value  )</t>
  </si>
  <si>
    <t xml:space="preserve">  Select specified item in a list: text must be ‘Rtext’ or ‘Dtext’, and value is the item to be selected.</t>
  </si>
  <si>
    <t xml:space="preserve">  Selection()</t>
  </si>
  <si>
    <t xml:space="preserve">  Get  current  selection’s RTEXT.</t>
  </si>
  <si>
    <t xml:space="preserve">  Selection(STRING text )</t>
  </si>
  <si>
    <t xml:space="preserve">  Get RTEXT or DTEXT  of current selection; text must be ‘Rtext’ or ‘Dtext’. </t>
  </si>
  <si>
    <t xml:space="preserve">  SetDisplayText( STRING text )</t>
  </si>
  <si>
    <t xml:space="preserve">  Set the display text field value, if the gadget is editable.</t>
  </si>
  <si>
    <t xml:space="preserve">  Links menu with the gadget as a popup.</t>
  </si>
  <si>
    <t xml:space="preserve">  Refresh() </t>
  </si>
  <si>
    <t xml:space="preserve">  NOT RESULT</t>
  </si>
  <si>
    <t xml:space="preserve">  Refreshes the display of the gadget.</t>
  </si>
  <si>
    <t xml:space="preserve">  Removes (popup) menu from the gadget.</t>
  </si>
  <si>
    <t xml:space="preserve">  Returns the last picked popup menu for the gadget.</t>
  </si>
  <si>
    <t xml:space="preserve">  Get ‘shown’ status.</t>
  </si>
  <si>
    <t xml:space="preserve">  Get the gadget type as a string.</t>
  </si>
  <si>
    <t xml:space="preserve">  DisplayText( )</t>
  </si>
  <si>
    <t xml:space="preserve">  Gets the text string currently displayed in the Option gadget's display field.</t>
  </si>
  <si>
    <t xml:space="preserve">  SetPopup(  !menu )</t>
  </si>
  <si>
    <t xml:space="preserve">  Assigns a menu object as the gadget's current popup.</t>
  </si>
  <si>
    <t xml:space="preserve">  Clear( !dtext )</t>
  </si>
  <si>
    <t xml:space="preserve">  Delete the field with the given DTEXT string.</t>
  </si>
  <si>
    <t xml:space="preserve">  Clear( !fieldNumber )</t>
  </si>
  <si>
    <t xml:space="preserve">  Delete the specified field number.</t>
  </si>
  <si>
    <t xml:space="preserve">  type</t>
  </si>
  <si>
    <t xml:space="preserve">  STRING Get/Set</t>
  </si>
  <si>
    <t xml:space="preserve">  Gadget type as string 'Container'.</t>
  </si>
  <si>
    <t xml:space="preserve">  control</t>
  </si>
  <si>
    <t xml:space="preserve">  Integer handle of external control.</t>
  </si>
  <si>
    <t xml:space="preserve">  popup</t>
  </si>
  <si>
    <t xml:space="preserve">  MENU Get/Set</t>
  </si>
  <si>
    <t xml:space="preserve">  Popup menu associated with the control.</t>
  </si>
  <si>
    <t xml:space="preserve">  ShowPopup(!x is REAL, !y is REAL )</t>
  </si>
  <si>
    <t xml:space="preserve">  Show the associated popup at the specified position. Position is the integer pixel position within the enclosed control.</t>
  </si>
  <si>
    <t xml:space="preserve">  FullName( )</t>
  </si>
  <si>
    <t xml:space="preserve">  Get the full gadget name, i.e. !!Form.gadget.</t>
  </si>
  <si>
    <t xml:space="preserve">  Name( )</t>
  </si>
  <si>
    <t xml:space="preserve">  Get the gadget's name</t>
  </si>
  <si>
    <t xml:space="preserve">  Owner( )</t>
  </si>
  <si>
    <t xml:space="preserve">  Get owning form</t>
  </si>
  <si>
    <t xml:space="preserve">  GetPickedPopup( )</t>
  </si>
  <si>
    <t xml:space="preserve">  Shown( )</t>
  </si>
  <si>
    <t xml:space="preserve">  Get 'shown' status.</t>
  </si>
  <si>
    <t xml:space="preserve">  DateFormat(STRING format)    DateFormat() Month(STRING) Year(INT)</t>
  </si>
  <si>
    <t xml:space="preserve">  Constructor. Defines a format. The input string, format, is in the form 'T*D*M*Y', where T = time, D = day, M = month, Y = year, and the order of the letters indicate the format required. T and D are optional. H could be used if only hours are required. * is the separator character. Sets default format (‘T M D Y’, month = ‘INTEGER’, year = 2) Sets month format. 'INTEGER', 'BRIEF' or 'FULL' Sets year format. 2 or 4 for number of digits</t>
  </si>
  <si>
    <t xml:space="preserve">  String(DATETIME)</t>
  </si>
  <si>
    <t xml:space="preserve">  Input a date in DATETIME format and convert to the specified format.</t>
  </si>
  <si>
    <t xml:space="preserve">  String(STRING)</t>
  </si>
  <si>
    <t xml:space="preserve">  Input a date in PDMS format and convert to the specified format.</t>
  </si>
  <si>
    <t xml:space="preserve">  DateTime()</t>
  </si>
  <si>
    <t xml:space="preserve">  DATETIME</t>
  </si>
  <si>
    <t xml:space="preserve">  Create a DATETIME object with current date and time in it.</t>
  </si>
  <si>
    <t xml:space="preserve">  DateTime(REAL year, REAL month,  REAL date)</t>
  </si>
  <si>
    <t xml:space="preserve">  DATETIME </t>
  </si>
  <si>
    <t xml:space="preserve">  Create a DATETIME set to the given year, month, date. Time defaults to 00:00:00.</t>
  </si>
  <si>
    <t xml:space="preserve">  DateTime(REAL year,  STRING month.  REAL date)</t>
  </si>
  <si>
    <t xml:space="preserve">  DATETIME  </t>
  </si>
  <si>
    <t xml:space="preserve">  As above, but month is a STRING at least three characters long representing month e.g. ‘Jan’, ‘March’, ‘DECEM’</t>
  </si>
  <si>
    <t xml:space="preserve">  DateTime(REAL year, REAL month,  REAL date,  REAL hour,REAL minute)</t>
  </si>
  <si>
    <t xml:space="preserve">  Create a DATETIME object set to given year, month, date, hour, minute. Seconds default to 0.</t>
  </si>
  <si>
    <t xml:space="preserve">  DateTime(REAL year,  STRING month, REAL date, REAL hour, REAL minute)</t>
  </si>
  <si>
    <t xml:space="preserve">  DateTime(REAL year, REAL month, REAL date, REAL hour, REAL minute, REAL second)</t>
  </si>
  <si>
    <t xml:space="preserve">  Create a DATETIME object set to given year, month, date, hour, minute, second. </t>
  </si>
  <si>
    <t xml:space="preserve">  DateTime(REAL year, STRING month, REAL date, REAL hour,  REAL minute, REAL second)</t>
  </si>
  <si>
    <t xml:space="preserve">  Date()</t>
  </si>
  <si>
    <t xml:space="preserve">  Return day of month for this DATETIME object (1-31).</t>
  </si>
  <si>
    <t xml:space="preserve">  GEQ(DATETIME)</t>
  </si>
  <si>
    <t xml:space="preserve">  Test whether this DATETIME is later than or the same as argument DATETIME.</t>
  </si>
  <si>
    <t xml:space="preserve">  GT(DATETIME)</t>
  </si>
  <si>
    <t xml:space="preserve">  Test whether this date is later than argument DATETIME.</t>
  </si>
  <si>
    <t xml:space="preserve">  HOUR()</t>
  </si>
  <si>
    <t xml:space="preserve">  Return hour as REAL for this DATETIME object (0-23).</t>
  </si>
  <si>
    <t xml:space="preserve">  LEQ(DATETIME)</t>
  </si>
  <si>
    <t xml:space="preserve">  Test whether this DATETIME is earlier or the same as argument DATETIME</t>
  </si>
  <si>
    <t xml:space="preserve">  LT(DATETIME)</t>
  </si>
  <si>
    <t xml:space="preserve">  Test whether this DATETIME is earlier than argument DATETIME.</t>
  </si>
  <si>
    <t xml:space="preserve">  Minute()</t>
  </si>
  <si>
    <t xml:space="preserve">  Return minutes as REAL for this DATETIME object (059).</t>
  </si>
  <si>
    <t xml:space="preserve">  Month()</t>
  </si>
  <si>
    <t xml:space="preserve">  Return month as REAL for this DATETIME object (112).</t>
  </si>
  <si>
    <t xml:space="preserve">  MonthString()</t>
  </si>
  <si>
    <t xml:space="preserve">  Return month as STRING for this DATETIME object (‘January’, ’February’, etc.)</t>
  </si>
  <si>
    <t xml:space="preserve">  Second()</t>
  </si>
  <si>
    <t xml:space="preserve">  Return number of seconds as REAL for this DATETIME object (0-59).</t>
  </si>
  <si>
    <t xml:space="preserve">  Year()</t>
  </si>
  <si>
    <t xml:space="preserve">  Return year as REAL (e.g. 1998)</t>
  </si>
  <si>
    <t xml:space="preserve">  Name </t>
  </si>
  <si>
    <t xml:space="preserve">  The name of the database, up to 32 characters.</t>
  </si>
  <si>
    <t xml:space="preserve">  Description</t>
  </si>
  <si>
    <t xml:space="preserve">  The database description, up to 120 characters.</t>
  </si>
  <si>
    <t xml:space="preserve">  Access  </t>
  </si>
  <si>
    <t xml:space="preserve">  STRING  </t>
  </si>
  <si>
    <t xml:space="preserve">  Access  type  (UPDATE, MULTIWRITE, CONTROLLED).</t>
  </si>
  <si>
    <t xml:space="preserve">  Claim </t>
  </si>
  <si>
    <t xml:space="preserve">  Claim mode for multi-write databases (EXPLICIT, IMPLICIT).</t>
  </si>
  <si>
    <t xml:space="preserve">  File</t>
  </si>
  <si>
    <t xml:space="preserve">  Database filename, up to 17 characters.</t>
  </si>
  <si>
    <t xml:space="preserve">  Foreign</t>
  </si>
  <si>
    <t xml:space="preserve">  FOREIGN or LOCAL</t>
  </si>
  <si>
    <t xml:space="preserve">  Number</t>
  </si>
  <si>
    <t xml:space="preserve">  Database number</t>
  </si>
  <si>
    <t xml:space="preserve">  Team</t>
  </si>
  <si>
    <t xml:space="preserve">  TEAM</t>
  </si>
  <si>
    <t xml:space="preserve">  Owning Team</t>
  </si>
  <si>
    <t xml:space="preserve">  Type</t>
  </si>
  <si>
    <t xml:space="preserve">  Database type, e.g. DESI</t>
  </si>
  <si>
    <t xml:space="preserve">  Refno</t>
  </si>
  <si>
    <t xml:space="preserve">  String containing Database reference number</t>
  </si>
  <si>
    <t xml:space="preserve">  Primary </t>
  </si>
  <si>
    <t xml:space="preserve">  Identifies whether a database is PRIMARY or SECONDARY at the current location in a global project </t>
  </si>
  <si>
    <t xml:space="preserve">  MDBList()</t>
  </si>
  <si>
    <t xml:space="preserve">  List of MDBS which contain this DB.</t>
  </si>
  <si>
    <t xml:space="preserve">  File size in pages.</t>
  </si>
  <si>
    <t xml:space="preserve">  Sessions()</t>
  </si>
  <si>
    <t xml:space="preserve">  ARRAY OF DBSESS </t>
  </si>
  <si>
    <t xml:space="preserve">  All sessions of the current database.</t>
  </si>
  <si>
    <t xml:space="preserve">  Lastsession()</t>
  </si>
  <si>
    <t xml:space="preserve">  DBSESS</t>
  </si>
  <si>
    <t xml:space="preserve">  Last session information for database.</t>
  </si>
  <si>
    <t xml:space="preserve">  DB(DBREF)</t>
  </si>
  <si>
    <t xml:space="preserve">  DB</t>
  </si>
  <si>
    <t xml:space="preserve">  Returns a DB object, given a DBREF.</t>
  </si>
  <si>
    <t xml:space="preserve">  DB(STRING)</t>
  </si>
  <si>
    <t xml:space="preserve">  Returns a DB object, given a name or reference number.</t>
  </si>
  <si>
    <t xml:space="preserve">  Dbref( STRING )</t>
  </si>
  <si>
    <t xml:space="preserve">  DBREF</t>
  </si>
  <si>
    <t xml:space="preserve">  Creates a DBREF object with value set to the given STRING.</t>
  </si>
  <si>
    <t xml:space="preserve">  Dbref( STRING, FORMAT )</t>
  </si>
  <si>
    <t xml:space="preserve">  Attribute(STRING Name)</t>
  </si>
  <si>
    <t xml:space="preserve">  Return the value of the named Attribute</t>
  </si>
  <si>
    <t xml:space="preserve">  Attributes()</t>
  </si>
  <si>
    <t xml:space="preserve">  ARRAY OF STRING</t>
  </si>
  <si>
    <t xml:space="preserve">  A DBREF appears to have the attributes of whatever DB elements it is pointing to </t>
  </si>
  <si>
    <t xml:space="preserve">  BadRef()</t>
  </si>
  <si>
    <t xml:space="preserve">  TRUE if DBREF is not valid (cannot navigate to it)</t>
  </si>
  <si>
    <t xml:space="preserve">  Delete() </t>
  </si>
  <si>
    <t xml:space="preserve">  Deletes the PML DBREF (not the database element it is pointing to)</t>
  </si>
  <si>
    <t xml:space="preserve">  MCount()</t>
  </si>
  <si>
    <t xml:space="preserve">  Count of number of members of element referenced</t>
  </si>
  <si>
    <t xml:space="preserve">  MCount(STRING type)</t>
  </si>
  <si>
    <t xml:space="preserve">  Count of number of members of element referenced of type specified</t>
  </si>
  <si>
    <t xml:space="preserve">  String(FORMAT)</t>
  </si>
  <si>
    <t xml:space="preserve">  Convert to STRING using settings in global FORMAT object</t>
  </si>
  <si>
    <t xml:space="preserve">  Line([CUT/UNCUT]) </t>
  </si>
  <si>
    <t xml:space="preserve">  LINE </t>
  </si>
  <si>
    <t xml:space="preserve">  Returns the cut/uncut pline of a SCTN/GENSEC element as a bounded line</t>
  </si>
  <si>
    <t xml:space="preserve">  PPosition(REAL)</t>
  </si>
  <si>
    <t xml:space="preserve">  Returns the position of the specified Ppoint of a database element. </t>
  </si>
  <si>
    <t xml:space="preserve">  PDirection(REAL)</t>
  </si>
  <si>
    <t xml:space="preserve">  Returns the direction of the specified Ppoint of a database element. </t>
  </si>
  <si>
    <t xml:space="preserve">  Session number</t>
  </si>
  <si>
    <t xml:space="preserve">  Date</t>
  </si>
  <si>
    <t xml:space="preserve">  Date when session started</t>
  </si>
  <si>
    <t xml:space="preserve">  Author</t>
  </si>
  <si>
    <t xml:space="preserve">  Creator of session</t>
  </si>
  <si>
    <t xml:space="preserve">  Comment</t>
  </si>
  <si>
    <t xml:space="preserve">  Session comment</t>
  </si>
  <si>
    <t xml:space="preserve">  East  </t>
  </si>
  <si>
    <t xml:space="preserve">  REAL Get/Set </t>
  </si>
  <si>
    <t xml:space="preserve">  EAST or X component direction vector in frame of reference of the Origin element</t>
  </si>
  <si>
    <t xml:space="preserve">  North  </t>
  </si>
  <si>
    <t xml:space="preserve">  NORTH or Y component direction vector in frame of reference of the Origin element</t>
  </si>
  <si>
    <t xml:space="preserve">  Up  </t>
  </si>
  <si>
    <t xml:space="preserve">  UP or Z component direction vector in frame of reference of the Origin element</t>
  </si>
  <si>
    <t xml:space="preserve">  Origin  </t>
  </si>
  <si>
    <t xml:space="preserve">  DBREF Get/Set </t>
  </si>
  <si>
    <t xml:space="preserve">  DB element that is the origin and which defines the frame of reference DIRECTION</t>
  </si>
  <si>
    <t xml:space="preserve">  Direction( STRING )</t>
  </si>
  <si>
    <t xml:space="preserve">  Creates a DIRECTION with the value given by STRING.</t>
  </si>
  <si>
    <t xml:space="preserve">  Direction( STRING, FORMAT )</t>
  </si>
  <si>
    <t xml:space="preserve">  Creates a DIRECTION with the value given by STRING, in the format specified.</t>
  </si>
  <si>
    <t xml:space="preserve">  EQ(DIRECTION) </t>
  </si>
  <si>
    <t xml:space="preserve">  TRUE if two directions are the same</t>
  </si>
  <si>
    <t xml:space="preserve">  LT(DIRECTION) </t>
  </si>
  <si>
    <t xml:space="preserve">  TRUE if direction is less than argument</t>
  </si>
  <si>
    <t xml:space="preserve">  String(FORMAT) </t>
  </si>
  <si>
    <t xml:space="preserve">  Convert to STRING</t>
  </si>
  <si>
    <t xml:space="preserve">  WRT(DBREF) </t>
  </si>
  <si>
    <t xml:space="preserve">  Convert to a new DIRECTION with respect to a given element.</t>
  </si>
  <si>
    <t xml:space="preserve">  Angle(DIRECTION)</t>
  </si>
  <si>
    <t xml:space="preserve">  Returns the angle between the two directions</t>
  </si>
  <si>
    <t xml:space="preserve">  Bisect(DIRECTION)</t>
  </si>
  <si>
    <t xml:space="preserve">  Returns the direction which is half way between the two directions</t>
  </si>
  <si>
    <t xml:space="preserve">  Cross(DIRECTION)</t>
  </si>
  <si>
    <t xml:space="preserve">  Returns the cross product of the two directions</t>
  </si>
  <si>
    <t xml:space="preserve">  Dot(DIRECTION)</t>
  </si>
  <si>
    <t xml:space="preserve">  Returns the dot product of the two directions</t>
  </si>
  <si>
    <t xml:space="preserve">  IsParallel(DIRECTION)</t>
  </si>
  <si>
    <t xml:space="preserve">  Returns true if the supplied directions are parallel, false otherwise.</t>
  </si>
  <si>
    <t xml:space="preserve">  IsParallel(DIRECTION, REAL)</t>
  </si>
  <si>
    <t xml:space="preserve">  Returns true if the supplied directions are parallel according to tolerance supplied, false otherwise.</t>
  </si>
  <si>
    <t xml:space="preserve">  Opposite() </t>
  </si>
  <si>
    <t xml:space="preserve">  DIRECTION </t>
  </si>
  <si>
    <t xml:space="preserve">  Returns  the  opposite direction</t>
  </si>
  <si>
    <t xml:space="preserve">  Orthogonal(DIRECTION)</t>
  </si>
  <si>
    <t xml:space="preserve">  Returns the direction orthogonal between the two directions</t>
  </si>
  <si>
    <t xml:space="preserve">  Projected(PLANE)</t>
  </si>
  <si>
    <t xml:space="preserve">  Returns a direction projected onto the passed plane.</t>
  </si>
  <si>
    <t xml:space="preserve">  IsPerpendicular(DIRECTION)</t>
  </si>
  <si>
    <t xml:space="preserve">  Returns true if the supplied directions are perpendicular, false otherwise.</t>
  </si>
  <si>
    <t xml:space="preserve">  IsPerpendicular(DIRECTION, REAL)</t>
  </si>
  <si>
    <t xml:space="preserve">  Returns true if the supplied directions are perpendicular according to tolerance supplied, false otherwise.</t>
  </si>
  <si>
    <t xml:space="preserve">  Expression Expression (STRING) AttributeExpression (STRING) </t>
  </si>
  <si>
    <t xml:space="preserve">     </t>
  </si>
  <si>
    <t xml:space="preserve">  Constructor (initialises all the object’s settings). Constructs and defines the expression. ('ATTRIBUTE---') should be used for attributes for speed and efficiency.  Other examples are ('PURP eq IPIPINGI') or ('XLEN + STRING(XLEN)'). Makes the passed attribute an expression. AttributeExpression ('LENGTH') is the same as Expression ('ATTRIBUTE LENGTH').</t>
  </si>
  <si>
    <t xml:space="preserve">  Returns the current expression as a string.</t>
  </si>
  <si>
    <t xml:space="preserve">  Evaluate(DBREF)</t>
  </si>
  <si>
    <t xml:space="preserve">  Evaluates the current expression against the passed object</t>
  </si>
  <si>
    <t xml:space="preserve">  File(STRING)</t>
  </si>
  <si>
    <t xml:space="preserve">  FILE</t>
  </si>
  <si>
    <t xml:space="preserve">  Create a FILE object on a file whose name is given in STRING.</t>
  </si>
  <si>
    <t xml:space="preserve">  AccessMode()</t>
  </si>
  <si>
    <t xml:space="preserve">  Return access mode for the file {‘CLOSED’, ‘READ’, ‘WRITE’, ‘OVERWRITE’, ‘APPEND}.</t>
  </si>
  <si>
    <t xml:space="preserve">  Close()</t>
  </si>
  <si>
    <t xml:space="preserve">  Close file if open.</t>
  </si>
  <si>
    <t xml:space="preserve">  Copy(STRING)</t>
  </si>
  <si>
    <t xml:space="preserve">  Copies the file whose pathname is given in STRING. Returns FILE object for copied file.</t>
  </si>
  <si>
    <t xml:space="preserve">  Copy(FILE)</t>
  </si>
  <si>
    <t xml:space="preserve">  Copies the file represented by the FILE object. Returns FILE object for copied file.</t>
  </si>
  <si>
    <t xml:space="preserve">  DeleteFile()</t>
  </si>
  <si>
    <t xml:space="preserve">  Delete the file represented by the file object if it exists.</t>
  </si>
  <si>
    <t xml:space="preserve">  Directory()</t>
  </si>
  <si>
    <t xml:space="preserve">  Returns a FILE object corresponding to owning directory.</t>
  </si>
  <si>
    <t xml:space="preserve">  DTM()</t>
  </si>
  <si>
    <t xml:space="preserve">  Returns a DATETIME object holding the date and time that this file was last modified.</t>
  </si>
  <si>
    <t xml:space="preserve">  Entry()</t>
  </si>
  <si>
    <t xml:space="preserve">  Returns file name as string.</t>
  </si>
  <si>
    <t xml:space="preserve">  Exists() </t>
  </si>
  <si>
    <t xml:space="preserve">  Returns BOOLEAN indicating whether file exists or not.</t>
  </si>
  <si>
    <t xml:space="preserve">  Files() </t>
  </si>
  <si>
    <t xml:space="preserve">  ARRAY OF FILES</t>
  </si>
  <si>
    <t xml:space="preserve">  Returns an ARRAY of FILE objects corresponding to files owned by this directory.</t>
  </si>
  <si>
    <t xml:space="preserve">  Returns the name including path for this FILE object as a STRING.</t>
  </si>
  <si>
    <t xml:space="preserve">  IsOpen()</t>
  </si>
  <si>
    <t xml:space="preserve">  Return BOOLEAN indicating whether file is open or not.</t>
  </si>
  <si>
    <t xml:space="preserve">  LineNumber()</t>
  </si>
  <si>
    <t xml:space="preserve">  Return line number of line about to be written.</t>
  </si>
  <si>
    <t xml:space="preserve">  Move(STRING) </t>
  </si>
  <si>
    <t xml:space="preserve">  FILE </t>
  </si>
  <si>
    <t xml:space="preserve">  Move this file to location given in STRING. Return FILE object for moved file.</t>
  </si>
  <si>
    <t xml:space="preserve">  Move(FILE)</t>
  </si>
  <si>
    <t xml:space="preserve">  Move this file to location represented by FILE object.</t>
  </si>
  <si>
    <t xml:space="preserve">  Return name of this FILE object as STRING.</t>
  </si>
  <si>
    <t xml:space="preserve">  Open(STRING)  </t>
  </si>
  <si>
    <t xml:space="preserve">  Opens this file in the mode given by STRING {‘READ’,’WRITE’,’OVERWRI TE’, ‘APPEND’}</t>
  </si>
  <si>
    <t xml:space="preserve">  Returns the ID of this FILES owner a STRING.</t>
  </si>
  <si>
    <t xml:space="preserve">  Path() </t>
  </si>
  <si>
    <t xml:space="preserve">  Returns an ARRAY of FILEs corresponding to the owning directories of this FILE object.</t>
  </si>
  <si>
    <t xml:space="preserve">  PathName()</t>
  </si>
  <si>
    <t xml:space="preserve">  Returns owning path as a STRING.</t>
  </si>
  <si>
    <t xml:space="preserve">  ReadFile()</t>
  </si>
  <si>
    <t xml:space="preserve">  Open, read contents and close file. Data returned as an ARRAY of STRINGs corresponding to the lines in the file.</t>
  </si>
  <si>
    <t xml:space="preserve">  ReadFile(REAL)</t>
  </si>
  <si>
    <t xml:space="preserve">  As above, but ensures that file is no longer than number of lines given in REAL.</t>
  </si>
  <si>
    <t xml:space="preserve">  ReadRecord()</t>
  </si>
  <si>
    <t xml:space="preserve">  Reads a line from an open file and returns it in a STRING. Returns an UNSET STRING if end of file is detected.</t>
  </si>
  <si>
    <t xml:space="preserve">  Set()</t>
  </si>
  <si>
    <t xml:space="preserve">  Returns a BOOLEAN indicating whether this FILE object has a name set or not.</t>
  </si>
  <si>
    <t xml:space="preserve">  Returns size of file in bytes.</t>
  </si>
  <si>
    <t xml:space="preserve">  SubDirs() </t>
  </si>
  <si>
    <t xml:space="preserve">  ARRAY OF FILE</t>
  </si>
  <si>
    <t xml:space="preserve">  Returns an ARRAY of FILE objects corresponding to directories owned by this directory.</t>
  </si>
  <si>
    <t xml:space="preserve">  Returns a STRING indicating whether  this  object represents a ‘FILE’ or a ‘DIRECTORY’.</t>
  </si>
  <si>
    <t xml:space="preserve">  WriteFile(STRING, ARRAY OF  STRING)</t>
  </si>
  <si>
    <t xml:space="preserve">  Opens file in mode given in string {‘WRITE’, ’OVERWRITE’, ’APPEND’}, writes STRINGs in ARRAY and closes file.</t>
  </si>
  <si>
    <t xml:space="preserve">  WriteRecord(STRING)</t>
  </si>
  <si>
    <t xml:space="preserve">  Writes STRING to this FILE which must already be open.</t>
  </si>
  <si>
    <t xml:space="preserve">  Checkrefs </t>
  </si>
  <si>
    <t xml:space="preserve">  By default, all references in a Form definition are checked when a form is displayed. Checking can be switched off, which may be recommended if performance problems are experienced.</t>
  </si>
  <si>
    <t xml:space="preserve">  CurrentDocument()</t>
  </si>
  <si>
    <t xml:space="preserve">  This method returns the current Document of the application framework as a FORM object.  If there is no current document then the returned form has value Unset. </t>
  </si>
  <si>
    <t xml:space="preserve">  DefaultFormat()  </t>
  </si>
  <si>
    <t xml:space="preserve">  FORMAT  </t>
  </si>
  <si>
    <t xml:space="preserve">  Query the system default format object for use by typed text gadgets. If none defined then returns an Unset local variable. The returned format object is a copy, so changing it will not affect the system default format. However the user can apply it to variables e.g !text=!myVar.String(!!fmsys.d efaultFormat())</t>
  </si>
  <si>
    <t xml:space="preserve">  DefaultFormLayout( )</t>
  </si>
  <si>
    <t xml:space="preserve">  query the current default form layout mode</t>
  </si>
  <si>
    <t xml:space="preserve">  DocsAtMaxScreen(BOOLEAN)</t>
  </si>
  <si>
    <t xml:space="preserve">  Sets default placement position for document forms to be towards the maximum (rightmost) of the screen. Useful for wide screen ad twin screen devices.</t>
  </si>
  <si>
    <t xml:space="preserve">  FMINFO()</t>
  </si>
  <si>
    <t xml:space="preserve">  Returns array of all FMINFO strings.</t>
  </si>
  <si>
    <t xml:space="preserve">  HelpFileAlias()</t>
  </si>
  <si>
    <t xml:space="preserve">  returns the current help file’s alias.</t>
  </si>
  <si>
    <t xml:space="preserve">  Interrupt()</t>
  </si>
  <si>
    <t xml:space="preserve">  Set to TRUE if the interrupt gadget has been selected.</t>
  </si>
  <si>
    <t xml:space="preserve">  LoadForm(STRING formname) </t>
  </si>
  <si>
    <t xml:space="preserve">  FORM </t>
  </si>
  <si>
    <t xml:space="preserve">  Allows force loading of a form definition and/or the ability to get a reference to a form object by name. If the form exists then a reference to the form object is returned. If it doesn’t exist, then an attempt is made to force load its definition. If this fails then an unset form reference is returned.</t>
  </si>
  <si>
    <t xml:space="preserve">  Main()</t>
  </si>
  <si>
    <t xml:space="preserve">  Query the current main form</t>
  </si>
  <si>
    <t xml:space="preserve">  OKCurfnView(!viewtype is STRING)</t>
  </si>
  <si>
    <t xml:space="preserve">  Queries whether graphical views of the specified view type are displayed. Graphical view types supported are: ‘G2D’; ‘G3D’; ‘ANY’ and any view subtype is implied.</t>
  </si>
  <si>
    <t xml:space="preserve">  OKCurfnView(!viewtype is STRING, subtype is STRING )    </t>
  </si>
  <si>
    <t xml:space="preserve">  BOOLEAN    </t>
  </si>
  <si>
    <t xml:space="preserve">  Queries whether graphical views of the specified view type and subtype are displayed. Graphical view types supported are: ‘G2D’; ‘G3D’; ‘ANY’. View subtypes supported are: ‘ANY’ and for G2D: ‘NORMAL’ (Draft); ‘PLOT’; ‘ISOSPOOL’ G3D: ‘NORMAL’ (Design)</t>
  </si>
  <si>
    <t xml:space="preserve">  Progress( ) </t>
  </si>
  <si>
    <t xml:space="preserve">  Get the current Integer value in percent shown by the progress bar, in the range 0 to 100. Zero means the bars is invisible</t>
  </si>
  <si>
    <t xml:space="preserve">  Refresh all VIEW gadgets</t>
  </si>
  <si>
    <t xml:space="preserve">  SetDefaultFormat(!!fmt is  FORMAT)</t>
  </si>
  <si>
    <t xml:space="preserve">  Provide a default global format object to be used if no specific format is defined for any typed text field. Once only call, users cannot change it. !!fmt must be a global variable.</t>
  </si>
  <si>
    <t xml:space="preserve">  SetDefaultFormLayout ( STRING  )</t>
  </si>
  <si>
    <t xml:space="preserve">  NONE </t>
  </si>
  <si>
    <t xml:space="preserve">  Set the default form layout mode to 'VARCHARS' or 'FIXCHARS'.</t>
  </si>
  <si>
    <t xml:space="preserve">  SetHelpFileAlias (alias is string)</t>
  </si>
  <si>
    <t xml:space="preserve">  NONE</t>
  </si>
  <si>
    <t xml:space="preserve">  establishes the application help file from its alias.</t>
  </si>
  <si>
    <t xml:space="preserve">  SetInterrupt(GADGET)</t>
  </si>
  <si>
    <t xml:space="preserve">  Sets the Gadget which will interrupt macro or function processing.</t>
  </si>
  <si>
    <t xml:space="preserve">  SetMain(FORM)</t>
  </si>
  <si>
    <t xml:space="preserve">  Sets the main form for an Application.</t>
  </si>
  <si>
    <t xml:space="preserve">  SetProgress( !percent)</t>
  </si>
  <si>
    <t xml:space="preserve">  Set the Integer value in percent to be displayed in the progress bar. Values will be forced into the  range 0 to 100. Resultant value of 0 will cause the bar to become invisible.</t>
  </si>
  <si>
    <t xml:space="preserve">  Splashscreen(BOOLEAN)</t>
  </si>
  <si>
    <t xml:space="preserve">  Removes the display of a splash screen after an abnormal exit.</t>
  </si>
  <si>
    <t xml:space="preserve">  FormRevision</t>
  </si>
  <si>
    <t xml:space="preserve"> no result</t>
  </si>
  <si>
    <t xml:space="preserve">  Form Revision text.</t>
  </si>
  <si>
    <t xml:space="preserve">  FormTitle</t>
  </si>
  <si>
    <t xml:space="preserve">  Form title.</t>
  </si>
  <si>
    <t xml:space="preserve">  IconTitle</t>
  </si>
  <si>
    <t xml:space="preserve">  Icon title.</t>
  </si>
  <si>
    <t xml:space="preserve">  Initcall</t>
  </si>
  <si>
    <t xml:space="preserve">  Callback executed when form is initialised.</t>
  </si>
  <si>
    <t xml:space="preserve">  Autocall</t>
  </si>
  <si>
    <t xml:space="preserve">  Callback executed when any of the specified application attributes have changed.</t>
  </si>
  <si>
    <t xml:space="preserve">  Okcall</t>
  </si>
  <si>
    <t xml:space="preserve">  Callback executed when OK button is pressed.</t>
  </si>
  <si>
    <t xml:space="preserve">  Cancelcall</t>
  </si>
  <si>
    <t xml:space="preserve">  Callback executed when CANCEL button is pressed.</t>
  </si>
  <si>
    <t xml:space="preserve">  KeyboardFocus  </t>
  </si>
  <si>
    <t xml:space="preserve">  Gadget to have initial keyboard focus on display of the form. One of TEXTFIELD, TEXTPANE, BUTTON, TOGGLE or ALPHA VIEW.</t>
  </si>
  <si>
    <t xml:space="preserve">  AutoScroll </t>
  </si>
  <si>
    <t xml:space="preserve">  If AutoScroll is selected the form will automatically gain horizontal or vertical scrollbars if the forms size becomes too small to display its defined contents. This member does not apply to form types Main Window and Document.</t>
  </si>
  <si>
    <t xml:space="preserve">  Quitcall    </t>
  </si>
  <si>
    <t xml:space="preserve">  Callback executed whenever the user presses the Quit/ Close icon (X) on the title bar of forms and the main application window.  For forms of type MAIN, the QUITCALL callback is executed, if present. This permits the user to terminate the application, and so the associated PML callback should prompt the user for confirmation. For all other form types, the QUITCALL callback is executed, if present, and then the form and its children are hidden unless the PML callback returns an error. When the form nest is hidden the CANCELCALL callback for each form of the nest is executed (in reverse display order).</t>
  </si>
  <si>
    <t xml:space="preserve">  Maximised </t>
  </si>
  <si>
    <t xml:space="preserve">  Get/set form’s maximised status (on screen).</t>
  </si>
  <si>
    <t xml:space="preserve">  Active </t>
  </si>
  <si>
    <t xml:space="preserve">  BOOLEAN Get Only</t>
  </si>
  <si>
    <t xml:space="preserve">  Gives form's active/inactive status.</t>
  </si>
  <si>
    <t xml:space="preserve">  Popup </t>
  </si>
  <si>
    <t xml:space="preserve">  MENU  Get/Set</t>
  </si>
  <si>
    <t xml:space="preserve">  Get/set form’s current popup menu.</t>
  </si>
  <si>
    <t xml:space="preserve">  HelpContextID  </t>
  </si>
  <si>
    <t xml:space="preserve">  Read/Write STRING Property:!!myform.HelpConte xtID = STRING - sets the context Id within the help file for this form. STRING=!!myform.HelpCont extID - gets the current context Id for this form.</t>
  </si>
  <si>
    <t xml:space="preserve">  Killingcall </t>
  </si>
  <si>
    <t xml:space="preserve">  Notify the form that it is being destroyed and allow the assigned callback method to destroy any associated resources, e.g. global PML objects which would otherwise not be destroyed (see Killing callback).</t>
  </si>
  <si>
    <t xml:space="preserve">  FirstShowncall </t>
  </si>
  <si>
    <t xml:space="preserve">  Allow the user to carry out any form actions which can only be completed when the form is actually displayed for the first time (see FirstShown callback).</t>
  </si>
  <si>
    <t xml:space="preserve">  Get name.</t>
  </si>
  <si>
    <t xml:space="preserve">  FullName() </t>
  </si>
  <si>
    <t xml:space="preserve">  Get the full form name (Including !!).</t>
  </si>
  <si>
    <t xml:space="preserve">  NewMenu(STRING menuname) </t>
  </si>
  <si>
    <t xml:space="preserve">  Adds a new named menu to the form. </t>
  </si>
  <si>
    <t xml:space="preserve">  NewMenu(STRING menuname, STRING type) </t>
  </si>
  <si>
    <t xml:space="preserve">  Adds a new named and typed menu to the form. The first argument is the name of the new menu; the second argument is the type of the menu, and must be either ‘POPUP’ or ‘MAIN’.</t>
  </si>
  <si>
    <t xml:space="preserve">  SetActive(BOOLEAN) </t>
  </si>
  <si>
    <t xml:space="preserve">  SetActive(FALSE) greysout all gadgets on the form, but doesn’t set their Active status, so that SetActive(TRUE) restores the form to the precise state it was in before greying out, i.e. any inactive gadgets will still be inactive.</t>
  </si>
  <si>
    <t xml:space="preserve">  SetGadgetsActive(BOOLEAN)  </t>
  </si>
  <si>
    <t xml:space="preserve">  SetGadgetsActive(FALS E) greys out all gadgets on the form and sets their Active status to ‘inactive’, i.e. their previous active state is lost. Similarly SetGadgetsActive(TRUE) greys-in all gadgets and sets their Active status to ‘active’.</t>
  </si>
  <si>
    <t xml:space="preserve">  SetPopup(MENU)</t>
  </si>
  <si>
    <t xml:space="preserve">  Specifies the pop-up to be displayed when the righthand mouse button is released over the form background.</t>
  </si>
  <si>
    <t xml:space="preserve">  RemovePopup(MENU)</t>
  </si>
  <si>
    <t xml:space="preserve">  Removes a pop-up associated with a form.</t>
  </si>
  <si>
    <t xml:space="preserve">  Returns the last picked popup menu for the form.</t>
  </si>
  <si>
    <t xml:space="preserve">  Show('FREE')</t>
  </si>
  <si>
    <t xml:space="preserve">  Show the form on the screen as a FREE form.</t>
  </si>
  <si>
    <t xml:space="preserve">  Show('AT', REAL X, REAL Y)</t>
  </si>
  <si>
    <t xml:space="preserve">  Show the form as a FREE form with the origin at the X,Y relative screen position.</t>
  </si>
  <si>
    <t xml:space="preserve">  Show('CEN', REAL X, REAL Y)</t>
  </si>
  <si>
    <t xml:space="preserve">  Show the form as a FREE form with its centre at the X,Y relative screen position.</t>
  </si>
  <si>
    <t xml:space="preserve">  Get 'shown' status</t>
  </si>
  <si>
    <t xml:space="preserve">  Hide()</t>
  </si>
  <si>
    <t xml:space="preserve">  Hides the form (removes it from the screen)</t>
  </si>
  <si>
    <t xml:space="preserve">  Returns the form's parent form, or unset variable if the form is free-standing</t>
  </si>
  <si>
    <t xml:space="preserve">  SetOpacity( REAL PERCENT )</t>
  </si>
  <si>
    <t xml:space="preserve">  Set the percentage opaqueness of the form as an integer in the range 10 (nearly transparent) to 100 (opaque - default). This is only valid for non-docking Dialog and BlockingDialog form types.</t>
  </si>
  <si>
    <t xml:space="preserve">  Subtype( )     </t>
  </si>
  <si>
    <t xml:space="preserve">  Gets the form's subtype, one of 'DIALOG', 'BLOCKINGDIALOG', 'MAIN', 'DOCUMENT' </t>
  </si>
  <si>
    <t xml:space="preserve"> SetUndoable( )</t>
  </si>
  <si>
    <t xml:space="preserve"> -</t>
  </si>
  <si>
    <t xml:space="preserve"> Undoable( )</t>
  </si>
  <si>
    <t xml:space="preserve">  CompSeparator </t>
  </si>
  <si>
    <t xml:space="preserve">  STRING | |</t>
  </si>
  <si>
    <t xml:space="preserve">  Separator used for multicomponent data types such as POSITIONS (Default SPACE).</t>
  </si>
  <si>
    <t xml:space="preserve">  Denominator </t>
  </si>
  <si>
    <t xml:space="preserve">  REAL 32 </t>
  </si>
  <si>
    <t xml:space="preserve">  Largest denominator for Imperial fractions  (Default 32)</t>
  </si>
  <si>
    <t xml:space="preserve">  Dimension      </t>
  </si>
  <si>
    <t xml:space="preserve">  STRING ‘NONE’ L L2 L3 </t>
  </si>
  <si>
    <t xml:space="preserve">  Number  is  un-dimensioned (Default) Number is a LENGTH Number is an AREA Number is a VOLUME The TYPE string can be any existing values (L L2 L3 NONE) or any standard dimension (i.e. Measure), or any standard unit (which indirectly defines a dimension) either in full name (e.g. metre), or description or shortname (unitqualifier), or compound unit qualifier (e.g. lb/ m4) form. No validation is actually performed until the format is used.</t>
  </si>
  <si>
    <t xml:space="preserve">  DP </t>
  </si>
  <si>
    <t xml:space="preserve">  REAL 2 </t>
  </si>
  <si>
    <t xml:space="preserve">  Number of decimal places for decimal fractions (Default 2)</t>
  </si>
  <si>
    <t xml:space="preserve">  ENU   </t>
  </si>
  <si>
    <t xml:space="preserve">  BOOLEAN True False</t>
  </si>
  <si>
    <t xml:space="preserve">  Use ENU format when outputting POSITIONS (Default) Use XYZ format when outputting POSITIONS</t>
  </si>
  <si>
    <t xml:space="preserve">  Fraction   </t>
  </si>
  <si>
    <t xml:space="preserve">  BOOLEAN False True</t>
  </si>
  <si>
    <t xml:space="preserve">  Fractional part output as decimal (Default) Fractional part output as fraction </t>
  </si>
  <si>
    <t xml:space="preserve">  FtLabel   </t>
  </si>
  <si>
    <t xml:space="preserve">  STRING |’|  </t>
  </si>
  <si>
    <t xml:space="preserve">  Label used for feet  e.g. '  or FT or ft  or feet (Default ‘ )</t>
  </si>
  <si>
    <t xml:space="preserve">  InchSeparator </t>
  </si>
  <si>
    <t xml:space="preserve">  STRING |.|</t>
  </si>
  <si>
    <t xml:space="preserve">  Separator between inches and fractions (Default . )</t>
  </si>
  <si>
    <t xml:space="preserve">  Label     </t>
  </si>
  <si>
    <t xml:space="preserve">  STRING |mm|    </t>
  </si>
  <si>
    <t xml:space="preserve">  General distance label  e.g. mm   or m   or "   or IN (Default is no label) The label (and similarly the foot label and the inch separator can be any string (within normal and reasonable unit limitations!). They are primarily supplied to allow physical values to be formatted in any reasonable way on reports, in files and in text fields etc. However it is often necessary for such values to be re-interpreted by the system (especially as they are validated after entry in the text field. In these case, if normal value and unit parsing fails to interpret the values then the string is reinterpreted with the Label, ftlabel and inch separators substituted by normal standard unit qualifiers and separators enabling the values and units to be successfully interpreted when correct and consistent with the format object. If the label is set to UNITS then the standard unit qualifier will be output by the system, consistent with the dimension of the format.</t>
  </si>
  <si>
    <t xml:space="preserve">  PadFractions   </t>
  </si>
  <si>
    <t xml:space="preserve">  Do not pad Fractions (Default) Pad Fractions with trailing spaces</t>
  </si>
  <si>
    <t xml:space="preserve">  TrailZeros </t>
  </si>
  <si>
    <t xml:space="preserve">  Trailing zeros are included up the required number of decimal places (as set by the DP member) if TrailZeros is unset, or if it is TRUE.   If TrailZeros is FALSE trailing zeros will be removed up to and including a trailing decimal point </t>
  </si>
  <si>
    <t xml:space="preserve">  Units     </t>
  </si>
  <si>
    <t xml:space="preserve">  STRING MM M FINCH INCH</t>
  </si>
  <si>
    <t xml:space="preserve">  Output number in millimetres (Default) Output number in metres. Output number in feet and inches Output number in inches The TYPE string can be any standard form of unit, or a compound unit. If dimension is unset the unit often defines what the unit is when the format is used. No validation is performed on this string until the format is used when the values will be converted to units specified.</t>
  </si>
  <si>
    <t xml:space="preserve">  OriginExp    </t>
  </si>
  <si>
    <t xml:space="preserve">  BLOCK || |/*| |CE|</t>
  </si>
  <si>
    <t xml:space="preserve">  With respect to World (Default) With respect to World With respect to Current Element</t>
  </si>
  <si>
    <t xml:space="preserve">  Zeros   </t>
  </si>
  <si>
    <t xml:space="preserve">  Leading zeroes are displayed for Imperial units (Default). Leading zeroes are not displayed for Imperial units</t>
  </si>
  <si>
    <t xml:space="preserve">  Tag </t>
  </si>
  <si>
    <t xml:space="preserve">  Text to appear as title on the frame.</t>
  </si>
  <si>
    <t xml:space="preserve">  REAL  Get/ Set</t>
  </si>
  <si>
    <t xml:space="preserve">  Selected radio button index as integer.</t>
  </si>
  <si>
    <t xml:space="preserve">  RGroupCount </t>
  </si>
  <si>
    <t xml:space="preserve">  REAL  Get only</t>
  </si>
  <si>
    <t xml:space="preserve">  Count of radio buttons (RTOGGLES) within the FRAME’s radio group. Returns zero if the FRAME is not a radio group. </t>
  </si>
  <si>
    <t xml:space="preserve">  Callback </t>
  </si>
  <si>
    <t xml:space="preserve">  Radio group select callback string.</t>
  </si>
  <si>
    <t xml:space="preserve">  Expanded </t>
  </si>
  <si>
    <t xml:space="preserve">  FoldUpPanel’s  expanded status</t>
  </si>
  <si>
    <t xml:space="preserve">  Rtoggle( !index is REAL )</t>
  </si>
  <si>
    <t xml:space="preserve">  GADGET</t>
  </si>
  <si>
    <t xml:space="preserve">  Returns the RTOGGLE gadget with index !index.</t>
  </si>
  <si>
    <t xml:space="preserve">  .selection()</t>
  </si>
  <si>
    <t xml:space="preserve">  No Result</t>
  </si>
  <si>
    <t xml:space="preserve">  Creates an empty selection object .</t>
  </si>
  <si>
    <t xml:space="preserve">  .scope(DBREF)  </t>
  </si>
  <si>
    <t xml:space="preserve">  Defines the scope of the selection, i.e. defines the top element that the selected elements must exist beneath. Default is WORLD.</t>
  </si>
  <si>
    <t xml:space="preserve">  add(DBREF)</t>
  </si>
  <si>
    <t xml:space="preserve">  Adds the highest significant parent of passed element to selection</t>
  </si>
  <si>
    <t xml:space="preserve">  addConnected(DBREF) </t>
  </si>
  <si>
    <t xml:space="preserve">  Simulates "Select connected" for piping components: Adds the given component and the connected network relative to the component</t>
  </si>
  <si>
    <t xml:space="preserve">  addBranchLeg(DBREF) </t>
  </si>
  <si>
    <t xml:space="preserve">  Simulates "Select leg" for piping components: Adds the given component and adjacent components within the branch which are in the same leg as the passed component</t>
  </si>
  <si>
    <t xml:space="preserve">  addAttached(DBREF)  </t>
  </si>
  <si>
    <t xml:space="preserve">  Simulates "Select attached" for sections: Adds the given section and all sections attached into the selection</t>
  </si>
  <si>
    <t xml:space="preserve">  addOffspring(DBREF)</t>
  </si>
  <si>
    <t xml:space="preserve">  Adds the highest significant subelements of given element to selection.  This action as if DBREF were ancestor for select</t>
  </si>
  <si>
    <t xml:space="preserve">  .remove(DBREF)</t>
  </si>
  <si>
    <t xml:space="preserve">  Remove highest significant parent of passed element from selection</t>
  </si>
  <si>
    <t xml:space="preserve">  .clear()</t>
  </si>
  <si>
    <t xml:space="preserve">   Empty the selection</t>
  </si>
  <si>
    <t xml:space="preserve">  .getCurrent()</t>
  </si>
  <si>
    <t xml:space="preserve">  Set the contents of the selection to the contents of the current graphical selection set</t>
  </si>
  <si>
    <t xml:space="preserve">  .getAll()</t>
  </si>
  <si>
    <t xml:space="preserve">  Set the selection set to contain the entire drawlist </t>
  </si>
  <si>
    <t xml:space="preserve">  .setCurrent() Query Methods</t>
  </si>
  <si>
    <t xml:space="preserve">  No Result </t>
  </si>
  <si>
    <t xml:space="preserve">  Set the current graphical selection set to be the same as the contents of the selection set</t>
  </si>
  <si>
    <t xml:space="preserve">  .isValid()</t>
  </si>
  <si>
    <t xml:space="preserve">  Is the selection valid.  (This is a standard method, and should not normally need to be called)</t>
  </si>
  <si>
    <t xml:space="preserve">  selected(DBREF)</t>
  </si>
  <si>
    <t xml:space="preserve">  Returns highest significant parent of given element, i.e. the element which will be included in the selection</t>
  </si>
  <si>
    <t xml:space="preserve">  .isSelectable(DBREF)</t>
  </si>
  <si>
    <t xml:space="preserve">  Returns true if the given element is in itself selectable within the scope of the</t>
  </si>
  <si>
    <t xml:space="preserve">  .isModifiable(DBREF)</t>
  </si>
  <si>
    <t xml:space="preserve">  Returns true if the highest significant parent of the given element is modifiable</t>
  </si>
  <si>
    <t xml:space="preserve">  .inSelection(DBREF)</t>
  </si>
  <si>
    <t xml:space="preserve">  Returns true if the given element exists in the selection</t>
  </si>
  <si>
    <t xml:space="preserve">   ancestors(DBREF)</t>
  </si>
  <si>
    <t xml:space="preserve">  ARRAY DBREFs</t>
  </si>
  <si>
    <t xml:space="preserve">  Returns list of permissible ancestors for given element, within the current scope</t>
  </si>
  <si>
    <t xml:space="preserve">   getSelection()</t>
  </si>
  <si>
    <t xml:space="preserve">  Returns all elements in the selection</t>
  </si>
  <si>
    <t xml:space="preserve">  .idlist(DBREF)</t>
  </si>
  <si>
    <t xml:space="preserve">  Creates an PML IDlist object from the given DBREF of an IDLIST. Searches up the ownership hierarchy until a significant element is found, and adds this to the Idlist.</t>
  </si>
  <si>
    <t xml:space="preserve">  .add (DBREF)</t>
  </si>
  <si>
    <t xml:space="preserve">  Adds a ADDE to the IDLIST. If there is already an ADDE of either the same element or one of its ancestors (without an intervening REME) then nothing will be done. If there is an intervening identical REME, then the REME is removed.</t>
  </si>
  <si>
    <t xml:space="preserve">  .add (SELECTION)</t>
  </si>
  <si>
    <t xml:space="preserve">  Adds ADDEs for the entire selection set to the IDList at this point, in the same way as for individual DBREFs.</t>
  </si>
  <si>
    <t xml:space="preserve">  .remove (DBREF)</t>
  </si>
  <si>
    <t xml:space="preserve">  If there exists an ADDE for this element in the list, then it is removed. If there exists an ADDE for an ancestor for this element, then a REME is inserted. </t>
  </si>
  <si>
    <t xml:space="preserve">  .remove (SELECTION)</t>
  </si>
  <si>
    <t xml:space="preserve">  Removes all ADDEs defined in the selection set, using the same rules as in removing a single element.</t>
  </si>
  <si>
    <t xml:space="preserve">  .copy(IDLIST other)</t>
  </si>
  <si>
    <t xml:space="preserve">  Clears the idlist, and adds all the entries from idlist other. Returns TRUE if copy successful.</t>
  </si>
  <si>
    <t xml:space="preserve">  Remove all elements from idlist</t>
  </si>
  <si>
    <t xml:space="preserve">  query()    </t>
  </si>
  <si>
    <t xml:space="preserve">  ARRAY  of STRINGS   </t>
  </si>
  <si>
    <t xml:space="preserve">  Returns an array of strings of the form:  ADDE element or  REME element itemising all the elements in the idlist.</t>
  </si>
  <si>
    <t xml:space="preserve">  Origin of the grid</t>
  </si>
  <si>
    <t xml:space="preserve">  Orientation</t>
  </si>
  <si>
    <t xml:space="preserve">  Orientation of the grid</t>
  </si>
  <si>
    <t xml:space="preserve">  XSpacing</t>
  </si>
  <si>
    <t xml:space="preserve">  Spacing in the X direction</t>
  </si>
  <si>
    <t xml:space="preserve">  YSpacing </t>
  </si>
  <si>
    <t xml:space="preserve">  Spacing in the Y direction</t>
  </si>
  <si>
    <t xml:space="preserve">  Lineargrid( POSITION,  ORIENTATION, REAL, REAL)</t>
  </si>
  <si>
    <t xml:space="preserve">  LINEARGRID </t>
  </si>
  <si>
    <t xml:space="preserve">  Creates a grid with the given POSITION, ORIENTATION, and X and Y spacing.</t>
  </si>
  <si>
    <t xml:space="preserve">  Returns the grid as a string</t>
  </si>
  <si>
    <t xml:space="preserve">  GridPoint(REAL, REAL)</t>
  </si>
  <si>
    <t xml:space="preserve">  Returns the position at the intersection of the passed X and Y lines from the origin of the grid. Values can be +ve or -ve depending on the side of the origin </t>
  </si>
  <si>
    <t xml:space="preserve">  Snap(POSITION)</t>
  </si>
  <si>
    <t xml:space="preserve">  Returns the nearest intersection point to the passed position, when mapped onto the grid plane</t>
  </si>
  <si>
    <t xml:space="preserve">  Snap(LINE)</t>
  </si>
  <si>
    <t xml:space="preserve">  Returns the nearest intersection point to the intersection of the passed line and the grid plane</t>
  </si>
  <si>
    <t xml:space="preserve">  Snap(POINTVECTOR)</t>
  </si>
  <si>
    <t xml:space="preserve">  Returns the nearest intersection point to the intersection of the passed point vector and the grid plane</t>
  </si>
  <si>
    <t xml:space="preserve">  SnaptoCentre(POSITION)</t>
  </si>
  <si>
    <t xml:space="preserve">  Returns the nearest mesh cell centre point to the passed position, when mapped onto the grid plane</t>
  </si>
  <si>
    <t xml:space="preserve">  SnaptoCentre(LINE)</t>
  </si>
  <si>
    <t xml:space="preserve">  Returns the nearest mesh cell centre point to the intersection of the passed line and the grid plane</t>
  </si>
  <si>
    <t xml:space="preserve">  SnaptoCentre(POINTVECTOR)</t>
  </si>
  <si>
    <t xml:space="preserve">  Returns the nearest mesh cell centre point to the intersection of the passed point vector and the grid plane</t>
  </si>
  <si>
    <t xml:space="preserve">  Plane()</t>
  </si>
  <si>
    <t xml:space="preserve">  PLANE</t>
  </si>
  <si>
    <t xml:space="preserve">  Returns the grid as plane object</t>
  </si>
  <si>
    <t xml:space="preserve">  XYOffset(POSITION) </t>
  </si>
  <si>
    <t xml:space="preserve">  XYPOSITION </t>
  </si>
  <si>
    <t xml:space="preserve">  Returns the position, mapped onto the grid plane, in terms of an XY offset from the grid plane origin</t>
  </si>
  <si>
    <t xml:space="preserve">  Selected field-number of a single-choice list.</t>
  </si>
  <si>
    <t xml:space="preserve">  REAL  ARRAY Get/Set</t>
  </si>
  <si>
    <t xml:space="preserve">  Selected field numbers of a multiple-choice list.</t>
  </si>
  <si>
    <t xml:space="preserve">  DText </t>
  </si>
  <si>
    <t xml:space="preserve">  STRING ARRAY Get/Set</t>
  </si>
  <si>
    <t xml:space="preserve">  DText[n] </t>
  </si>
  <si>
    <t xml:space="preserve">  STRING  Get Only</t>
  </si>
  <si>
    <t xml:space="preserve">  Get the display text of the n'th field.</t>
  </si>
  <si>
    <t xml:space="preserve">  PickedField</t>
  </si>
  <si>
    <t xml:space="preserve">  REAL Get Only</t>
  </si>
  <si>
    <t xml:space="preserve">  Last picked list field number.</t>
  </si>
  <si>
    <t xml:space="preserve">  RText </t>
  </si>
  <si>
    <t xml:space="preserve">  STRING  et Only</t>
  </si>
  <si>
    <t xml:space="preserve">  Get the replacement text of the n'th field.</t>
  </si>
  <si>
    <t xml:space="preserve">  Get count of number of fields in the list</t>
  </si>
  <si>
    <t xml:space="preserve">  val</t>
  </si>
  <si>
    <t xml:space="preserve">  Selected field as integer. Zero implies no selection. Setting val to zero will cause an error for mandatory selection lists.</t>
  </si>
  <si>
    <t xml:space="preserve">  Append an entry to the list, where Dtext is the text to display in the option list.</t>
  </si>
  <si>
    <t xml:space="preserve">  Add(STRING Dtext, STRING  Rtext))</t>
  </si>
  <si>
    <t xml:space="preserve">  Append and entry to the list, where Dtext is the text to display in the option list, and Rtext is the replacement text for the new field. If Rtext isn’t specified, it will be set to Dtext by default.</t>
  </si>
  <si>
    <t xml:space="preserve">  Get the full name of the gadget, e.g..'!!Form.gadget'</t>
  </si>
  <si>
    <t xml:space="preserve">  Select(STRING text, STRING  value)</t>
  </si>
  <si>
    <t xml:space="preserve">  Select specified item in a list. text must be ‘Rtext’ or ‘Dtext’. value is the RTEXT or DTEXT of the item to be selected.</t>
  </si>
  <si>
    <t xml:space="preserve">  Select(STRING text, ARRAY of STRING values)</t>
  </si>
  <si>
    <t xml:space="preserve">  Select multiple choice list items. text must be 'Rtext' or 'Dtext'. values contains the RTEXT or DTEXT values to be selected.</t>
  </si>
  <si>
    <t xml:space="preserve">  Selection( ) </t>
  </si>
  <si>
    <t xml:space="preserve">  STRING ARRAY OF STRING </t>
  </si>
  <si>
    <t xml:space="preserve">  Get selected RTEXT  Array of RTEXT for multi-choice list.</t>
  </si>
  <si>
    <t xml:space="preserve">  Selection(STRING text) </t>
  </si>
  <si>
    <t xml:space="preserve">  Get selected RTEXT or DTEXT Array of texts for multi-choice list. text must be 'Rtext' or 'Dtext'.</t>
  </si>
  <si>
    <t xml:space="preserve">  Clear  list  contents  and selections.</t>
  </si>
  <si>
    <t xml:space="preserve">  Clear list selections. </t>
  </si>
  <si>
    <t xml:space="preserve">  SetPopup(MENU  menu)</t>
  </si>
  <si>
    <t xml:space="preserve">  Removes popup menu from the gadget.</t>
  </si>
  <si>
    <t xml:space="preserve">  Get the gadget type as a STRING.</t>
  </si>
  <si>
    <t xml:space="preserve">  Allows a TOOLTIP to be edited.</t>
  </si>
  <si>
    <t xml:space="preserve">  SetHeadings(!Dtexts is  STRING)</t>
  </si>
  <si>
    <t xml:space="preserve">  Specifies the number of columns and sets the list's column headings. Dtexts contains a set of TAB separated sub-strings.</t>
  </si>
  <si>
    <t xml:space="preserve">  SetHeadings(!Dtexts is  ARRAY)</t>
  </si>
  <si>
    <t xml:space="preserve">  Specifies the number of columns and sets the list's column headings. Dtexts is an array of strings.</t>
  </si>
  <si>
    <t xml:space="preserve">  Delete  the  specified  field number.</t>
  </si>
  <si>
    <t xml:space="preserve">  SetRows(Array of (Array of  STRING))</t>
  </si>
  <si>
    <t xml:space="preserve">  This sets the display text for all the data fields of the list gadget by row. If the list gadget is already populated then it replaces all the current rows by the new ones. Array is an array of ‘row arrays’, and its size determines the number of rows in the list. Each entry is a row array of strings, which supplies the displayed text for each column of the row. The size of each row array must be less than or equal to the number of columns of the list. The columns are filled sequentially until the array is exhausted.</t>
  </si>
  <si>
    <t xml:space="preserve">  SetColumns(Array of (Array of STRING))</t>
  </si>
  <si>
    <t xml:space="preserve">  This sets the display text for all the data fields of the list gadget by column. If the list gadget is already populated then it replaces all the current rows by the new ones. Array is an array of ‘column arrays’, and its size must match the number of columns of the list. The size of each all column arrays must be the same and determines the no of rows in the list.</t>
  </si>
  <si>
    <t xml:space="preserve">  Select(REAL column, STRING dtext)</t>
  </si>
  <si>
    <t xml:space="preserve">  This selects the first list row whose column column has the display text dtext. If the field is not found then the list selection is unaltered. If the list is a multichoice list then repeated use of this method will add selections to the list.</t>
  </si>
  <si>
    <t xml:space="preserve">  Get Background Colour Name. Some gadgets do not support this property in all circumstances, e.g. gadgets which are showing a pixmap. Gadgets whose colour has not been set explicitly, may not have a colour with a known colourname. In this case an error is raised..</t>
  </si>
  <si>
    <t xml:space="preserve">  Location name.</t>
  </si>
  <si>
    <t xml:space="preserve">  Description, up to 120 characters.</t>
  </si>
  <si>
    <t xml:space="preserve">  Locid</t>
  </si>
  <si>
    <t xml:space="preserve">  Location identifier.</t>
  </si>
  <si>
    <t xml:space="preserve">  STRING containing Database reference no.</t>
  </si>
  <si>
    <t xml:space="preserve">  IsCurrent</t>
  </si>
  <si>
    <t xml:space="preserve">  True for the current Location.</t>
  </si>
  <si>
    <t xml:space="preserve">  LOCATION(DBREF)</t>
  </si>
  <si>
    <t xml:space="preserve">  LOCATION</t>
  </si>
  <si>
    <t xml:space="preserve">  Returns a LOCATION object, given a DBREF.</t>
  </si>
  <si>
    <t xml:space="preserve">  LOCATION(STRING)</t>
  </si>
  <si>
    <t xml:space="preserve">  Returns a LOCATION object, given a name or reference number (Global projects only).</t>
  </si>
  <si>
    <t xml:space="preserve">  Dblist()</t>
  </si>
  <si>
    <t xml:space="preserve">  ARRAY OF DB</t>
  </si>
  <si>
    <t xml:space="preserve">  Array of DB objects for Allocated DBs. This method does not modify the original object.</t>
  </si>
  <si>
    <t xml:space="preserve">  Sessions() </t>
  </si>
  <si>
    <t xml:space="preserve">  ARRAY  OF SESSIONS</t>
  </si>
  <si>
    <t xml:space="preserve">  Return array of all Sessions extracted from COMMs db at the Location. This method does not modify the original object.</t>
  </si>
  <si>
    <t xml:space="preserve">  STRING containing Location name. This method does not modify the original object.</t>
  </si>
  <si>
    <t xml:space="preserve">  Filename </t>
  </si>
  <si>
    <t xml:space="preserve">  Inter-DB macro filename (up to 17 characters).</t>
  </si>
  <si>
    <t xml:space="preserve">  From</t>
  </si>
  <si>
    <t xml:space="preserve">  Source DB of inter-DB connection macro.</t>
  </si>
  <si>
    <t xml:space="preserve">  Inter-DB macro number.</t>
  </si>
  <si>
    <t xml:space="preserve">  To</t>
  </si>
  <si>
    <t xml:space="preserve">  Target DB of inter-DB connection macro.</t>
  </si>
  <si>
    <t xml:space="preserve">  Name of the MDB, up to 32 characters</t>
  </si>
  <si>
    <t xml:space="preserve">  MDB description, up to 120 characters</t>
  </si>
  <si>
    <t xml:space="preserve">  MDB(DBREF)</t>
  </si>
  <si>
    <t xml:space="preserve">  MDB</t>
  </si>
  <si>
    <t xml:space="preserve">  Returns an MDB object, given a DBREF.</t>
  </si>
  <si>
    <t xml:space="preserve">  MDB(STRING)</t>
  </si>
  <si>
    <t xml:space="preserve">  Returns an MDB object, given a name or reference number.</t>
  </si>
  <si>
    <t xml:space="preserve">  Current()  </t>
  </si>
  <si>
    <t xml:space="preserve">  ARRAY OF DBS </t>
  </si>
  <si>
    <t xml:space="preserve">  Current databases as an array of DB objects</t>
  </si>
  <si>
    <t xml:space="preserve">  Deferred()</t>
  </si>
  <si>
    <t xml:space="preserve">  ARRAY OF DBS</t>
  </si>
  <si>
    <t xml:space="preserve">  Deferred databases as an array of DB objects</t>
  </si>
  <si>
    <t xml:space="preserve">  Mode()</t>
  </si>
  <si>
    <t xml:space="preserve">  Returns ‘NR’ or ‘RW’ for each current DB of the MDB</t>
  </si>
  <si>
    <t xml:space="preserve">  Measure ()</t>
  </si>
  <si>
    <t xml:space="preserve">  MEASURE</t>
  </si>
  <si>
    <t xml:space="preserve">  Creates  an  invalid/unset dimension (INVALID).</t>
  </si>
  <si>
    <t xml:space="preserve">  Measure(STRING)</t>
  </si>
  <si>
    <t xml:space="preserve">  Creates a MEASURE of which string is a 'reasonable' match to any of description, name, hashcode, format code (L, L2 etc) or any other recognisable name or abbreviation of a unit of the measure.</t>
  </si>
  <si>
    <t xml:space="preserve">  Measure(REAL)</t>
  </si>
  <si>
    <t xml:space="preserve">  Creates a MEASURE of which the value of REAL is a (valid) enum value, or is a negative (non standard) dimension..</t>
  </si>
  <si>
    <t xml:space="preserve">  Description() String()</t>
  </si>
  <si>
    <t xml:space="preserve">  Long  description  of dimension.</t>
  </si>
  <si>
    <t xml:space="preserve">  Unique name used  for format statements and commands</t>
  </si>
  <si>
    <t xml:space="preserve">  Hashcode() Ptype()</t>
  </si>
  <si>
    <t xml:space="preserve">  Hash code of dimension. Returns 'GENERIC' if generic dimension - i.e. non standard.</t>
  </si>
  <si>
    <t xml:space="preserve">  currentunits()</t>
  </si>
  <si>
    <t xml:space="preserve">  UNIT</t>
  </si>
  <si>
    <t xml:space="preserve">  Returns current unit of this dimension.</t>
  </si>
  <si>
    <t xml:space="preserve">  UnitQualifier()</t>
  </si>
  <si>
    <t xml:space="preserve">  Unit qualifier of current units.</t>
  </si>
  <si>
    <t xml:space="preserve">  UnitFactor()</t>
  </si>
  <si>
    <t xml:space="preserve">  Conversion factor to database units from current units.</t>
  </si>
  <si>
    <t xml:space="preserve">  SetUnits(unit)</t>
  </si>
  <si>
    <t xml:space="preserve">  Returns true if successfully set current unit of the dimension to unit.</t>
  </si>
  <si>
    <t xml:space="preserve">  Numeric()  </t>
  </si>
  <si>
    <t xml:space="preserve">  Sets current units of dimension to be Numeric (i.e. no unit conversion in place). NUMERIC units have Hashcode NUMB and null names, unitqualifiers, and descriptions. Returns true if successful.</t>
  </si>
  <si>
    <t xml:space="preserve">  Default() </t>
  </si>
  <si>
    <t xml:space="preserve">  Sets current units of all dimensions to those defined by catalogue BUNI/DUNI. Returns true if successful.</t>
  </si>
  <si>
    <t xml:space="preserve">  Suspend() </t>
  </si>
  <si>
    <t xml:space="preserve">  Suspends current units of all physical quantities and operates exclusively in database units.  Pushes up one level of suspension. Returns true if successful.</t>
  </si>
  <si>
    <t xml:space="preserve">  SuspendLevel() </t>
  </si>
  <si>
    <t xml:space="preserve">  Returns number of levels of suspension of current units. If 0 no suspension in force.</t>
  </si>
  <si>
    <t xml:space="preserve">  Reinstate() </t>
  </si>
  <si>
    <t xml:space="preserve">  Reinstates currently defined current working units for all quantities. Clears suspension stack. Returns true if successful.</t>
  </si>
  <si>
    <t xml:space="preserve">  Unsuspend() </t>
  </si>
  <si>
    <t xml:space="preserve">  Pops one level of suspension stack of current units.  If level now one working in defined current units. Returns true if successful.</t>
  </si>
  <si>
    <t xml:space="preserve">  IsNull()</t>
  </si>
  <si>
    <t xml:space="preserve">  TRUE if dimension is  NONE.</t>
  </si>
  <si>
    <t xml:space="preserve">  IsStandard() </t>
  </si>
  <si>
    <t xml:space="preserve">  TRUE if dimension is a named (standard) dimension. FALSE if specified from powers of its base components (i.e. Generic).</t>
  </si>
  <si>
    <t xml:space="preserve">  DBUnits() DBUnit()</t>
  </si>
  <si>
    <t xml:space="preserve">  UNIT </t>
  </si>
  <si>
    <t xml:space="preserve">  Database  unit  for  this dimension.</t>
  </si>
  <si>
    <t xml:space="preserve">  UnitsOf() </t>
  </si>
  <si>
    <t xml:space="preserve">  ARRAY  of UNITs</t>
  </si>
  <si>
    <t xml:space="preserve">  Set of standard units of this dimension.</t>
  </si>
  <si>
    <t xml:space="preserve">  AllDimensions()</t>
  </si>
  <si>
    <t xml:space="preserve">  ARRAY  of MEASUREs</t>
  </si>
  <si>
    <t xml:space="preserve">  Set  of  all  standard dimensions.</t>
  </si>
  <si>
    <t xml:space="preserve">  AllUnits() </t>
  </si>
  <si>
    <t xml:space="preserve">  Set of all named Units</t>
  </si>
  <si>
    <t xml:space="preserve">  Enum()  </t>
  </si>
  <si>
    <t xml:space="preserve">  REAL  </t>
  </si>
  <si>
    <t xml:space="preserve">  Unique integer ID for this Dimension. Positive if standard dimension (packed Hash Value) Negative if generic dimension coded from component base dimensions.</t>
  </si>
  <si>
    <t xml:space="preserve">  Sets/gets the callback on the menu.</t>
  </si>
  <si>
    <t xml:space="preserve">  PickedField  </t>
  </si>
  <si>
    <t xml:space="preserve">  Returns the DTEXT of the last picked menu field. Using this member is now deprecated. Use the PickedFieldName property instead.</t>
  </si>
  <si>
    <t xml:space="preserve">  PickedFieldName </t>
  </si>
  <si>
    <t xml:space="preserve">  Returns the field name of the last-picked TOGGLE or CALLBACK field.</t>
  </si>
  <si>
    <t xml:space="preserve">  Add('SEPARATOR', {STRING fieldName})</t>
  </si>
  <si>
    <t xml:space="preserve">  Append a SEPARATOR field, with an optional STRING argument, fieldName, that if present denotes the unique field-name in the menu.</t>
  </si>
  <si>
    <t xml:space="preserve">  Add('CALLBACK', STRING Dtext, STRING callback, {STRING fieldName})  </t>
  </si>
  <si>
    <t xml:space="preserve">  Append a CALLBACK field with Dtext, which may contain multi-byte characters, but which cannot be NULL or blank. The argument callback gives the callback command. There is also an optional fieldName argument that, if present, denotes the unique field name in the menu.</t>
  </si>
  <si>
    <t xml:space="preserve">  Add('FORM', STRING Dtext, STRING formName, {STRING fieldName})  </t>
  </si>
  <si>
    <t xml:space="preserve">  Append a FORM display field with Dtext, which may contain multi-byte characters, but which cannot be NULL or blank. The argument formName, gives the name of the form to be displayed, which may be NULL but may not be blank. There is also an optional fieldName argument that, if present, denotes the unique field name in the menu</t>
  </si>
  <si>
    <t xml:space="preserve">  Add('MENU', STRING DText, STRING menuName, {STRING fieldName})  </t>
  </si>
  <si>
    <t xml:space="preserve">  Append a MENU (pullright) field with Dtext, which may contain multi-byte characters, but which cannot be NULL or blank. menuName gives the pullright menu name, which may be NULL but may not be blank. There is also an optional fieldName argument that, if present, denotes the unique field name in the menu.</t>
  </si>
  <si>
    <t xml:space="preserve">  Add('TOGGLE', STRING Dtext, STRING callback, {STRING fieldName})  </t>
  </si>
  <si>
    <t xml:space="preserve">  Append a TOGGLE field with Dtext, which may contain multi-byte characters, but which cannot be NULL or blank. The argument callback gives the callback command, which must be an open PML function. There is also an optional fieldName argument that, if present, denotes the unique field name in the menu.</t>
  </si>
  <si>
    <t xml:space="preserve">  Clear() </t>
  </si>
  <si>
    <t xml:space="preserve">  Removes all menu fields from the menu. Using  this  method  is deprecated.</t>
  </si>
  <si>
    <t xml:space="preserve">  Clear(STRING  Dtext) </t>
  </si>
  <si>
    <t xml:space="preserve">  Removes menu fields starting with the one that matches Dtext onwards. Using  this  method  is deprecated</t>
  </si>
  <si>
    <t xml:space="preserve">  FieldProperty(STRING menuField,  STRING property)</t>
  </si>
  <si>
    <t xml:space="preserve">  Get the value of the property named in property for the menu field named in menuField. The allowed values for property are ‘ACTIVE’, ‘VISIBLE’, or ‘SELECTED’.</t>
  </si>
  <si>
    <t xml:space="preserve">  Returns menu object's full name, for example: ‘!!Form.Menu’.</t>
  </si>
  <si>
    <t xml:space="preserve">  InsertAfter(STRING menuField, ‘CALLBACK’, STRING Dtext, STRING callback, {STRING fieldName})  </t>
  </si>
  <si>
    <t xml:space="preserve">  Insert a CALLBACK field with Dtext, which may contain multi-byte characters, but which cannot be NULL or blank, immediately after the menu field identified by menuField. The argument callback gives the callback command. There is also an optional fieldName argument that, if present, denotes the unique field name in the menu.</t>
  </si>
  <si>
    <t xml:space="preserve">  InsertAfter(STRING menuField, ‘FORM’, STRING Dtext, STRING formName, {STRING fieldName})  </t>
  </si>
  <si>
    <t xml:space="preserve">  Insert a FORM display field with Dtext, which may contain multi-byte characters, but which cannot be NULL or blank, immediately after the menu field identified by menuField. The argument formName gives the name of the form. There is also an optional fieldName argument that, if present, denotes the unique field name in the menu.</t>
  </si>
  <si>
    <t xml:space="preserve">  InsertAfter(STRING menuField, ‘MENU’, STRING Dtext, STRING menuName, {STRING fieldName})  </t>
  </si>
  <si>
    <t xml:space="preserve">  Insert a MENU (pullright) field with Dtext, which may contain multi-byte characters, but which cannot be NULL or blank, immediately after the menu field identified by menuField. The argument menuName gives the name of the form. There is also an optional fieldName argument that, if present, denotes the unique field name in the menu.</t>
  </si>
  <si>
    <t xml:space="preserve">  InsertAfter(STRING menuField, ‘TOGGLE’, STRING Dtext, STRING menuName, {STRING fieldName})  </t>
  </si>
  <si>
    <t xml:space="preserve">  Append TOGGLE field with Dtext, which may contain multi-byte characters, but which cannot be NULL or blank, immediately after the menu field identified by menuField. The argument callback gives the callback command, which must be an open PML function. There is also an optional fieldName argument that, if present, denotes the unique field name in the menu.</t>
  </si>
  <si>
    <t xml:space="preserve">  InsertAfter(STRING menuField,  ‘SEPARATOR’, {STRING fieldName})</t>
  </si>
  <si>
    <t xml:space="preserve">  Append a SEPARATOR field immediately after the menu field identified by menuField. There is also an optional fieldName argument that, if present, denotes the unique field name in the menu.</t>
  </si>
  <si>
    <t xml:space="preserve">  InsertBefore(STRING menuField, ‘CALLBACK’, STRING Dtext, STRING callback, {STRING fieldName})  </t>
  </si>
  <si>
    <t xml:space="preserve">  Insert a CALLBACK field with Dtext, which may contain multi-byte characters, but which cannot be NULL or blank, immediately before the menu field identified by menuField. The argument callback gives the callback command. There is also an optional fieldName argument that, if present, denotes the unique field name in the menu.</t>
  </si>
  <si>
    <t xml:space="preserve">  InsertBefore(STRING menuField, ‘FORM’, STRING Dtext, STRING formName, {STRING fieldName})  </t>
  </si>
  <si>
    <t xml:space="preserve">  Insert a FORM display field with Dtext, which may contain multi-byte characters, but which cannot be NULL or blank, immediately before the menu field identified by menuField. The argument formName gives the name of the form. There is also an optional fieldName argument that, if present, denotes the unique field name in the menu.</t>
  </si>
  <si>
    <t xml:space="preserve">  InsertBefore(STRING menuField, ‘MENU’, STRING Dtext, STRING menuName, {STRING fieldName})  </t>
  </si>
  <si>
    <t xml:space="preserve">  Insert a MENU (pullright) field with Dtext, which may contain multi-byte characters, but which cannot be NULL or blank, immediately before the menu field identified by menuField. The argument menuName gives the name of the form. There is also an optional fieldName argument that, if present, denotes the unique field name in the menu.</t>
  </si>
  <si>
    <t xml:space="preserve">  InsertBefore(STRING menuField, ‘TOGGLE’, STRING Dtext, STRING menuName, {STRING fieldName})  </t>
  </si>
  <si>
    <t xml:space="preserve">  Append TOGGLE field with Dtext, which may contain multi-byte characters, but which cannot be NULL or blank, immediately before the menu field identified by menuField. The argument callback gives the callback command, which must be an open PML function. There is also an optional fieldName argument that, if present, denotes the unique field name in the menu.</t>
  </si>
  <si>
    <t xml:space="preserve">  InsertBefore(STRING menField,  ‘SEPARATOR’, {STRING fieldName})</t>
  </si>
  <si>
    <t xml:space="preserve">  Append a SEPARATOR field immediately before the menu field identified by menuField. There is also an optional fieldName argument that, if present, denotes the unique field name in the menu.</t>
  </si>
  <si>
    <t xml:space="preserve">  Returns menu object's simple name, for example: 'Menu'.</t>
  </si>
  <si>
    <t xml:space="preserve">   FORM</t>
  </si>
  <si>
    <t xml:space="preserve">  Returns reference to owning form.</t>
  </si>
  <si>
    <t xml:space="preserve">  PopupGadget()</t>
  </si>
  <si>
    <t xml:space="preserve">  Returns the name of the gadget that popped up the menu. The value is unset if the menu was not popped up by a gadget.</t>
  </si>
  <si>
    <t xml:space="preserve">  Select(STRING Dtext, BOOLEAN  status) </t>
  </si>
  <si>
    <t xml:space="preserve">  Set the selected status of TOGGLE field identified by Dtext to the value of status. Using  this  method  is deprecated.</t>
  </si>
  <si>
    <t xml:space="preserve">  Selected( STRING Dtext ) </t>
  </si>
  <si>
    <t xml:space="preserve">  Get selected status of the TOGGLE field identified by Dtext. Using  this  method  is deprecated.</t>
  </si>
  <si>
    <t xml:space="preserve">  SetActive(STRING Dtext, BOOLEAN  active) </t>
  </si>
  <si>
    <t xml:space="preserve">  Set the active status of the menu field identified by Dtext. Using  this  method  is deprecated.</t>
  </si>
  <si>
    <t xml:space="preserve">  SetFieldProperty(STRING menuField , STRING property,  BOOLEAN value) </t>
  </si>
  <si>
    <t xml:space="preserve">  Set the value of property with value, for the menu field identified by menuField. The allowed values for property are ‘ACTIVE’, ‘VISIBLE’, or ‘SELECTED’. But see the note below for special cases when you use a SEPARATOR field.</t>
  </si>
  <si>
    <t xml:space="preserve">  GetPathName()</t>
  </si>
  <si>
    <t xml:space="preserve">  Extracts the pathname for a file in the PMLLIB searchpath.</t>
  </si>
  <si>
    <t xml:space="preserve">  RText[n]</t>
  </si>
  <si>
    <t xml:space="preserve">  Alpha </t>
  </si>
  <si>
    <t xml:space="preserve">  The Alpha component.</t>
  </si>
  <si>
    <t xml:space="preserve">  Beta </t>
  </si>
  <si>
    <t xml:space="preserve">  The Beta component.</t>
  </si>
  <si>
    <t xml:space="preserve">  Gamma </t>
  </si>
  <si>
    <t xml:space="preserve">  The Gamma component.</t>
  </si>
  <si>
    <t xml:space="preserve">  DBREF  Get/Set</t>
  </si>
  <si>
    <t xml:space="preserve">  The DB element which is the origin.</t>
  </si>
  <si>
    <t xml:space="preserve">  Orientation( STRING)</t>
  </si>
  <si>
    <t xml:space="preserve">  ORIENTATION</t>
  </si>
  <si>
    <t xml:space="preserve">  Creates an ORIENTATION from the values given.</t>
  </si>
  <si>
    <t xml:space="preserve">  Orientation( STRING, FORMAT ) </t>
  </si>
  <si>
    <t xml:space="preserve">  Creates an ORIENTATION from the values given, in the specified FORMAT.</t>
  </si>
  <si>
    <t xml:space="preserve">  EQ(ORIENTATION)</t>
  </si>
  <si>
    <t xml:space="preserve">  TRUE if ORIENTATIONS are equal.</t>
  </si>
  <si>
    <t xml:space="preserve">  LT(ORIENTATION) </t>
  </si>
  <si>
    <t xml:space="preserve">  TRUE if ORIENTATION is less than argument.</t>
  </si>
  <si>
    <t xml:space="preserve">  Convert ORIENTATION to a STRING.</t>
  </si>
  <si>
    <t xml:space="preserve">  WRT(DBREF)  </t>
  </si>
  <si>
    <t xml:space="preserve">  Convert to a new ORIENTATION with respect to given DB element.</t>
  </si>
  <si>
    <t xml:space="preserve">  XDir()  </t>
  </si>
  <si>
    <t xml:space="preserve">  Return X axis direction of the ORIENTATION as a DIRECTION.</t>
  </si>
  <si>
    <t xml:space="preserve">  YDir()  </t>
  </si>
  <si>
    <t xml:space="preserve">  Return Y axis direction of the ORIENTATION as a DIRECTION.</t>
  </si>
  <si>
    <t xml:space="preserve">  ZDir()   </t>
  </si>
  <si>
    <t xml:space="preserve">  DIRECTION  </t>
  </si>
  <si>
    <t xml:space="preserve">  Return Z axis direction of the ORIENTATION  as  a DIRECTION </t>
  </si>
  <si>
    <t xml:space="preserve">  The paragraph's textual content as a string. If it has a pixmap then the value will be the pathname of the pixmap file as a string.</t>
  </si>
  <si>
    <t xml:space="preserve">  Background</t>
  </si>
  <si>
    <t xml:space="preserve">  Set or get Background Colour Number.</t>
  </si>
  <si>
    <t xml:space="preserve">  Set  Background  Colour Name.</t>
  </si>
  <si>
    <t xml:space="preserve">  AddPixmap(STRING) AddPixmap(STRING, STRING) AddPixmap(STRING, STRING,  STRING)</t>
  </si>
  <si>
    <t xml:space="preserve">  NO RESULT   </t>
  </si>
  <si>
    <t xml:space="preserve">  Adds pixmaps to be used for the unselected, selected and inactive states. </t>
  </si>
  <si>
    <t xml:space="preserve">  SetPopup (MENU)</t>
  </si>
  <si>
    <t xml:space="preserve">  Get the GADGET type as a string.</t>
  </si>
  <si>
    <t xml:space="preserve">  Orientation of plane.</t>
  </si>
  <si>
    <t xml:space="preserve">  Origin of plane.</t>
  </si>
  <si>
    <t xml:space="preserve">  Plane(POSITION, ORIENTATION)</t>
  </si>
  <si>
    <t xml:space="preserve">  Creates a PLANE with the given POSITION and ORIENTATION.</t>
  </si>
  <si>
    <t xml:space="preserve">  Returns the plane as a string.</t>
  </si>
  <si>
    <t xml:space="preserve">  Direction(DIRECTION)</t>
  </si>
  <si>
    <t xml:space="preserve">  Z component of the orientation uses standard PDMS method of maintaining X and Y components of the orientation.</t>
  </si>
  <si>
    <t xml:space="preserve">  Towards(POSITION)</t>
  </si>
  <si>
    <t xml:space="preserve">  Modifies the direction (Z component of the orientation) member of the plane so it is directed to the position.</t>
  </si>
  <si>
    <t xml:space="preserve">  Intersection(LINE)</t>
  </si>
  <si>
    <t xml:space="preserve">  Returns the intersection point of the passed infinite line on the plane definition.</t>
  </si>
  <si>
    <t xml:space="preserve">  Intersection(POINT VECTOR)</t>
  </si>
  <si>
    <t xml:space="preserve">  POSITION </t>
  </si>
  <si>
    <t xml:space="preserve">  Returns the intersection point of the passed point vector on the plane definition.</t>
  </si>
  <si>
    <t xml:space="preserve">  Intersections(ARC) </t>
  </si>
  <si>
    <t xml:space="preserve">  ARRAY OF POSITIONS</t>
  </si>
  <si>
    <t xml:space="preserve">  Returns the intersection point of the passed arc on the plane definition.</t>
  </si>
  <si>
    <t xml:space="preserve">  Intersection(PLANE, PLANE)</t>
  </si>
  <si>
    <t xml:space="preserve">  Returns intersection position of the three planes.</t>
  </si>
  <si>
    <t xml:space="preserve">  PointVector() </t>
  </si>
  <si>
    <t xml:space="preserve">  POINT- VECTOR</t>
  </si>
  <si>
    <t xml:space="preserve">  Returns a point vector at the origin of the plane with a direction equal to the normal of the plane.</t>
  </si>
  <si>
    <t xml:space="preserve">  ThreeDPosition(XYPOSITION)</t>
  </si>
  <si>
    <t xml:space="preserve">  Returns 3D position of the XYPOSITION offset from the plane origin.</t>
  </si>
  <si>
    <t xml:space="preserve">  Returns the nearest position on the plane definition of the passed position.</t>
  </si>
  <si>
    <t xml:space="preserve">  Line(REAL)</t>
  </si>
  <si>
    <t xml:space="preserve">  LINE</t>
  </si>
  <si>
    <t xml:space="preserve">  Returns a line of the given length in the direction of the plane normal.</t>
  </si>
  <si>
    <t xml:space="preserve">  Intersection(PLANE)</t>
  </si>
  <si>
    <t xml:space="preserve">  Returns the intersection line of the passed plane on the plane definition. The start position of the line is the origin of the plane definition projected onto the passed plane. The direction of the line is from the start to the position of the passed plane projected onto the reference plane. If the start and end points are coincident, a line of length 1000mm is returned with the start position being defined as described above.</t>
  </si>
  <si>
    <t xml:space="preserve">  XYOffset(Position) </t>
  </si>
  <si>
    <t xml:space="preserve">  XYPOSITIO N</t>
  </si>
  <si>
    <t xml:space="preserve">  Returns  the  position, mapped onto the plane, in term of an XY offset from the plane origin.</t>
  </si>
  <si>
    <t xml:space="preserve">  Origin of the grid.</t>
  </si>
  <si>
    <t xml:space="preserve">  Orientation </t>
  </si>
  <si>
    <t xml:space="preserve">  ORIENTATION Get/Set</t>
  </si>
  <si>
    <t xml:space="preserve">  Orientation of the grid.</t>
  </si>
  <si>
    <t xml:space="preserve">  XSpacings </t>
  </si>
  <si>
    <t xml:space="preserve">  REAL ARRAY Get/Set</t>
  </si>
  <si>
    <t xml:space="preserve">  Array of spaces in the X direction, each space is relative to the previous.</t>
  </si>
  <si>
    <t xml:space="preserve">  YSpacings </t>
  </si>
  <si>
    <t xml:space="preserve">  Array of spaces in the Y direction, each space is relative to the previous.</t>
  </si>
  <si>
    <t xml:space="preserve">  Plantgrid(POSITION,  ORIENTATION, ARRAY, ARRAY ) </t>
  </si>
  <si>
    <t xml:space="preserve">  PLANTGRID  </t>
  </si>
  <si>
    <t xml:space="preserve">  Creates a grid with the given POSITION  and ORIENTATION, and the X and Y spacings specified in the arrays.</t>
  </si>
  <si>
    <t xml:space="preserve">  Xsize()</t>
  </si>
  <si>
    <t xml:space="preserve">  Maximum size in the X direction.</t>
  </si>
  <si>
    <t xml:space="preserve">  Ysize()</t>
  </si>
  <si>
    <t xml:space="preserve">  Maximum size in the Y direction.</t>
  </si>
  <si>
    <t xml:space="preserve">  OutofBounds(POSITION)</t>
  </si>
  <si>
    <t xml:space="preserve">  Returns whether point lies within the grid boundaries.</t>
  </si>
  <si>
    <t xml:space="preserve">  ASSIGN(PLATFORMGRID) </t>
  </si>
  <si>
    <t xml:space="preserve">  Copies content of a PLATFORMGRID object into current instance</t>
  </si>
  <si>
    <t xml:space="preserve">  GRIDANGLE()</t>
  </si>
  <si>
    <t xml:space="preserve">  Returns  the  used  grid angle value</t>
  </si>
  <si>
    <t xml:space="preserve">  GRIDANGLE(REAL)</t>
  </si>
  <si>
    <t xml:space="preserve">  Sets grid angle value</t>
  </si>
  <si>
    <t xml:space="preserve">  GRIDPOINT(REAL1, REAL2) </t>
  </si>
  <si>
    <t xml:space="preserve">  Returns position of the intersection of gridlines: X (identified by given index REAL1) and Y (identified by given index  -REAL2) </t>
  </si>
  <si>
    <t xml:space="preserve">  GRIDPOSITION()</t>
  </si>
  <si>
    <t xml:space="preserve">  Returns the grid's origin</t>
  </si>
  <si>
    <t xml:space="preserve">  GRIDXSPACINGS()</t>
  </si>
  <si>
    <t xml:space="preserve">  Returns the grid's spacing pattern along X axe</t>
  </si>
  <si>
    <t xml:space="preserve">  GRIDXSPACINGS(ARRAY)</t>
  </si>
  <si>
    <t xml:space="preserve">  Sets the grid's spacing pattern along X axe</t>
  </si>
  <si>
    <t xml:space="preserve">  GRIDXYPOSITION()</t>
  </si>
  <si>
    <t xml:space="preserve">  XYPOSITION</t>
  </si>
  <si>
    <t xml:space="preserve">  Returns position of grid's origin</t>
  </si>
  <si>
    <t xml:space="preserve">  GRIDXYPOSITION(XYPOSITION)</t>
  </si>
  <si>
    <t xml:space="preserve">  Sets the position of grid</t>
  </si>
  <si>
    <t xml:space="preserve">  GRIDXYSIZE()</t>
  </si>
  <si>
    <t xml:space="preserve">  Returns the size of rectangle which contains the grid</t>
  </si>
  <si>
    <t xml:space="preserve">  GRIDYSPACINGS()</t>
  </si>
  <si>
    <t xml:space="preserve">  Returns the grid's spacing pattern along Y axe</t>
  </si>
  <si>
    <t xml:space="preserve">  GRIDYSPACINGS(ARRAY)</t>
  </si>
  <si>
    <t xml:space="preserve">  Sets the grid's spacing pattern along Y axe</t>
  </si>
  <si>
    <t xml:space="preserve">  GROSSAREA()</t>
  </si>
  <si>
    <t xml:space="preserve">  Returns the gross area of the grid</t>
  </si>
  <si>
    <t xml:space="preserve">  NETAREA()</t>
  </si>
  <si>
    <t xml:space="preserve">  Returns the net area of the grid</t>
  </si>
  <si>
    <t xml:space="preserve">  ORIENTATION() </t>
  </si>
  <si>
    <t xml:space="preserve">  ORIENTATION </t>
  </si>
  <si>
    <t xml:space="preserve">  Returns  the  platform's orientation</t>
  </si>
  <si>
    <t xml:space="preserve">  ORIENTATION(ORIENTATION) </t>
  </si>
  <si>
    <t xml:space="preserve">  Sets  the  platform's orientation for given value</t>
  </si>
  <si>
    <t xml:space="preserve">  PLANE() </t>
  </si>
  <si>
    <t xml:space="preserve">  PLANE </t>
  </si>
  <si>
    <t xml:space="preserve">  Return the plane definition of platform grid. This is equivalent of PLANE method on PROFILE object</t>
  </si>
  <si>
    <t xml:space="preserve">  PLATFORMGRID()</t>
  </si>
  <si>
    <t xml:space="preserve">  PLATFORMGRID</t>
  </si>
  <si>
    <t xml:space="preserve">  Create  a  platformgrid object.</t>
  </si>
  <si>
    <t xml:space="preserve">  PLATFORMGRID(DBREF) </t>
  </si>
  <si>
    <t xml:space="preserve">  PLATFORMGRID </t>
  </si>
  <si>
    <t xml:space="preserve">  Creates a platformgrid from DBREF. DBREF must be PLTGRD or INTFRM element. The outer boundary is created from owning PLTFRM routing path (RPATH). Inner boundaries are created from PLOPEN elements</t>
  </si>
  <si>
    <t xml:space="preserve">  POSITION()</t>
  </si>
  <si>
    <t xml:space="preserve">  Returns position of the platform</t>
  </si>
  <si>
    <t xml:space="preserve">  POSITION(POSITION)</t>
  </si>
  <si>
    <t xml:space="preserve">  Sets the grid's position</t>
  </si>
  <si>
    <t xml:space="preserve">  XYSIZE()</t>
  </si>
  <si>
    <t xml:space="preserve">  Returns the size of rectangle (limits) which contains the grid in platform coordinate system</t>
  </si>
  <si>
    <t xml:space="preserve">  ADDINNERBOUNDARY(PROFILE)</t>
  </si>
  <si>
    <t xml:space="preserve">  Adds new inner boundary to the grid </t>
  </si>
  <si>
    <t xml:space="preserve">  CLEARINNERBOUNDARY()</t>
  </si>
  <si>
    <t xml:space="preserve">  Deletes all inner boundaries</t>
  </si>
  <si>
    <t xml:space="preserve">  INNERBOUNDARIES() </t>
  </si>
  <si>
    <t xml:space="preserve">  PROFILE ARRAY </t>
  </si>
  <si>
    <t xml:space="preserve">  Returns  array  of  inner boundaries profiles</t>
  </si>
  <si>
    <t xml:space="preserve">  INNERBOUNDARIES(ARRAY)</t>
  </si>
  <si>
    <t xml:space="preserve">  Replaces  the  inner boundaries</t>
  </si>
  <si>
    <t xml:space="preserve">  INNERBOUNDARY(REAL)</t>
  </si>
  <si>
    <t xml:space="preserve">  PROFILE</t>
  </si>
  <si>
    <t xml:space="preserve">  Returns the profile of the inner boundary</t>
  </si>
  <si>
    <t xml:space="preserve">  NUMBEROFINNERBOUNDARIES() </t>
  </si>
  <si>
    <t xml:space="preserve">  Returns the number of grid's inner boundaries</t>
  </si>
  <si>
    <t xml:space="preserve">  OUTERBOUNDARY() </t>
  </si>
  <si>
    <t xml:space="preserve">  PROFILE </t>
  </si>
  <si>
    <t xml:space="preserve">  Returns the outer boundary profile </t>
  </si>
  <si>
    <t xml:space="preserve">  CELLORIENTATION(REAL1,  REAL2)</t>
  </si>
  <si>
    <t xml:space="preserve">  Returns an orientation of cell identified by given index.</t>
  </si>
  <si>
    <t xml:space="preserve">  CELLPOSITION(REAL1, REAL2)</t>
  </si>
  <si>
    <t xml:space="preserve">  Returns a position of cell identified by given index</t>
  </si>
  <si>
    <t xml:space="preserve">  CELLPROFILE(REAL1, REAL2)</t>
  </si>
  <si>
    <t xml:space="preserve">  Returns a profile of cell identified by given index</t>
  </si>
  <si>
    <t xml:space="preserve">  CELLSIZE(REAL1, REAL2)</t>
  </si>
  <si>
    <t xml:space="preserve">  Returns the size of cell identified by given index (before trimming)</t>
  </si>
  <si>
    <t xml:space="preserve">  CELLXYPOSITION(REAL1,  REAL2)</t>
  </si>
  <si>
    <t xml:space="preserve">  Returns position of the cell identified by given index</t>
  </si>
  <si>
    <t xml:space="preserve">  ISCELLTRIMMED(REAL1,  REAL2)</t>
  </si>
  <si>
    <t xml:space="preserve">  BOOL </t>
  </si>
  <si>
    <t xml:space="preserve">  Returns true if cell is trimmed</t>
  </si>
  <si>
    <t xml:space="preserve">  ISCELLUNTRIMMED(REAL1,  REAL2)</t>
  </si>
  <si>
    <t xml:space="preserve">  Returns true if cell is untrimmed</t>
  </si>
  <si>
    <t xml:space="preserve">  ISCELLWITHIN(REAL1, REAL2)</t>
  </si>
  <si>
    <t xml:space="preserve">  BOOL</t>
  </si>
  <si>
    <t xml:space="preserve">  Returns true if cell is within grid</t>
  </si>
  <si>
    <t xml:space="preserve">  LISTOFTRIMMEDCELLS()</t>
  </si>
  <si>
    <t xml:space="preserve">  Returns indices of all trimmed cells</t>
  </si>
  <si>
    <t xml:space="preserve">  LISTOFTRIMMEDCELLS(REAL)</t>
  </si>
  <si>
    <t xml:space="preserve">  Returns indices of all trimmed cells which area is greater than given REAL value</t>
  </si>
  <si>
    <t xml:space="preserve">  LISTOFUNTRIMMEDCELLS()</t>
  </si>
  <si>
    <t xml:space="preserve">  Returns indices of all untrimmed cells</t>
  </si>
  <si>
    <t xml:space="preserve">  TOTALNUMBEROFCELLS()</t>
  </si>
  <si>
    <t xml:space="preserve">  Returns a number of cells inside grid</t>
  </si>
  <si>
    <t xml:space="preserve">  TRIMMEDCELLSIZE(REAL1,  REAL2)</t>
  </si>
  <si>
    <t xml:space="preserve">  Returns the size of rectangle which contains the cell identified by given index</t>
  </si>
  <si>
    <t xml:space="preserve">  XGRIDLINES()</t>
  </si>
  <si>
    <t xml:space="preserve">  Returns array of grid's x-lines</t>
  </si>
  <si>
    <t xml:space="preserve">  XGRIDLINES(REAL)</t>
  </si>
  <si>
    <t xml:space="preserve">  Returns array of grid's x-lines of given index</t>
  </si>
  <si>
    <t xml:space="preserve">  YGRIDLINES()</t>
  </si>
  <si>
    <t xml:space="preserve">  Returns array of grid's y-lines</t>
  </si>
  <si>
    <t xml:space="preserve">  YGRIDLINES(REAL)</t>
  </si>
  <si>
    <t xml:space="preserve">  Returns array of grid's y-lines of given index</t>
  </si>
  <si>
    <t xml:space="preserve">  AddParameters(ARRAY argNames, ARRAY argValues)</t>
  </si>
  <si>
    <t xml:space="preserve">  Adds parameters to report as 2 arrays of argument names and values, which will be used to generate a parameterised report.</t>
  </si>
  <si>
    <t xml:space="preserve">  AddScope(STRING ancestorElements, STRING elements)</t>
  </si>
  <si>
    <t xml:space="preserve">  Specify scope value to filter the data given by comma separated list of ancestor elements and comma separated list of elements.</t>
  </si>
  <si>
    <t xml:space="preserve">  AddScope(STRING ancestorElements, STRING  elements,  BOOLEAN fully,  REAL minX,  REAL minY,  REAL minZ,  REAL maxX,  REAL maxY,  REAL maxZ)</t>
  </si>
  <si>
    <t xml:space="preserve">  No result        </t>
  </si>
  <si>
    <t xml:space="preserve">  Specify scope value to filter the data given by comma separated list of ancestor elements, comma separated list of elements, if limit box is specified then whether it should be considered fully or partially, to construct limit box minX, minY, minZ, maxX, maxY, maxZ.</t>
  </si>
  <si>
    <t xml:space="preserve">  ExportAsCsv(STRING reportFileName, STRING destinationFilename)</t>
  </si>
  <si>
    <t xml:space="preserve">  Export report to csv file</t>
  </si>
  <si>
    <t xml:space="preserve">  ExportAsPdf(STRING reportFileName, STRING destinationFilename)</t>
  </si>
  <si>
    <t xml:space="preserve">  Export report to pdf file</t>
  </si>
  <si>
    <t xml:space="preserve">  ExportAsXlsx(STRING reportFileName, STRING destinationFilename)</t>
  </si>
  <si>
    <t xml:space="preserve">  Export report to Xlsx file</t>
  </si>
  <si>
    <t xml:space="preserve">  ExportAsXls(STRING reportFileName, STRING destinationFilename)</t>
  </si>
  <si>
    <t xml:space="preserve">  Export report to Xls file</t>
  </si>
  <si>
    <t xml:space="preserve">  InitializePrinterSetting ()</t>
  </si>
  <si>
    <t xml:space="preserve">  Initialise the printer settings</t>
  </si>
  <si>
    <t xml:space="preserve">  OpenReportManager</t>
  </si>
  <si>
    <t xml:space="preserve">  No result</t>
  </si>
  <si>
    <t xml:space="preserve">  Opens report manager</t>
  </si>
  <si>
    <t xml:space="preserve">  Print(STRING reportFileName) </t>
  </si>
  <si>
    <t xml:space="preserve">  No result </t>
  </si>
  <si>
    <t xml:space="preserve">  Print report with system defined printer settings passing name of report definition file</t>
  </si>
  <si>
    <t xml:space="preserve">  PrintDirect(STRING reportFileName)</t>
  </si>
  <si>
    <t xml:space="preserve">  Print report with user defined printer settings</t>
  </si>
  <si>
    <t xml:space="preserve">  PublishToAVEVANET(STRING reportFileName, STRING pdfFilename) </t>
  </si>
  <si>
    <t xml:space="preserve">  Publishes report to AVEVA NET in form of pdf file</t>
  </si>
  <si>
    <t xml:space="preserve">  RemoveParameters()</t>
  </si>
  <si>
    <t xml:space="preserve">  Removes the parameters applied to report</t>
  </si>
  <si>
    <t xml:space="preserve">  RemoveScope()</t>
  </si>
  <si>
    <t xml:space="preserve">  Removes the scope applied to report</t>
  </si>
  <si>
    <t xml:space="preserve">  PMLSecureLogin( )</t>
  </si>
  <si>
    <t xml:space="preserve">  PMLSECUR ELOGIN</t>
  </si>
  <si>
    <t xml:space="preserve">  Construct an instance of this object</t>
  </si>
  <si>
    <t xml:space="preserve">  EmbedMacro(BOOLEAN)</t>
  </si>
  <si>
    <t xml:space="preserve">  Embed the specified macro</t>
  </si>
  <si>
    <t xml:space="preserve">  HasLicenceToEmbedMacro(  )</t>
  </si>
  <si>
    <t xml:space="preserve">  Returns TRUE if EmbedMacro functionality is available.</t>
  </si>
  <si>
    <t xml:space="preserve">  Macro(STRING) </t>
  </si>
  <si>
    <t xml:space="preserve">  Set the macro to run where STRING specifies the full path of the macro</t>
  </si>
  <si>
    <t xml:space="preserve">  Sets the login MDB</t>
  </si>
  <si>
    <t xml:space="preserve">  Password(STRING)</t>
  </si>
  <si>
    <t xml:space="preserve">  Sets the login password</t>
  </si>
  <si>
    <t xml:space="preserve">  Project(STRING)</t>
  </si>
  <si>
    <t xml:space="preserve">  Sets the login project</t>
  </si>
  <si>
    <t xml:space="preserve">  SaveToFile(STRING)</t>
  </si>
  <si>
    <t xml:space="preserve">  Encrypt and save to specified path</t>
  </si>
  <si>
    <t xml:space="preserve">  User(STRING)</t>
  </si>
  <si>
    <t xml:space="preserve">  Sets the login user</t>
  </si>
  <si>
    <t xml:space="preserve">  VerifyAfter(DATETIME)</t>
  </si>
  <si>
    <t xml:space="preserve">  Verify after specified date</t>
  </si>
  <si>
    <t xml:space="preserve">  VerifyBefore(DATETIME)</t>
  </si>
  <si>
    <t xml:space="preserve">  Verify before specified date</t>
  </si>
  <si>
    <t xml:space="preserve">  VerifyHostnames(ARRAY) </t>
  </si>
  <si>
    <t xml:space="preserve">  Verify a number of host names specified as an array of strings</t>
  </si>
  <si>
    <t xml:space="preserve">  VerifyWinusers(ARRAY)</t>
  </si>
  <si>
    <t xml:space="preserve">  Verify a number of windows users specified as an array of strings</t>
  </si>
  <si>
    <t xml:space="preserve">  PMLUserLogin( )</t>
  </si>
  <si>
    <t xml:space="preserve">  PMLUSERLO GIN</t>
  </si>
  <si>
    <t xml:space="preserve">  Macro(STRING)  </t>
  </si>
  <si>
    <t xml:space="preserve">  VerifyNonInteractive(BOO LEAN)</t>
  </si>
  <si>
    <t xml:space="preserve">  If TRUE is passed, verify that no user interaction occurs after execution of the generated macro</t>
  </si>
  <si>
    <t xml:space="preserve">  Direction </t>
  </si>
  <si>
    <t xml:space="preserve">  DIRECTION Get/Set</t>
  </si>
  <si>
    <t xml:space="preserve">  Direction of point</t>
  </si>
  <si>
    <t xml:space="preserve">  Origin of point</t>
  </si>
  <si>
    <t xml:space="preserve">  Pointvector( POSITION,  DIRECTION)</t>
  </si>
  <si>
    <t xml:space="preserve">  POINTVECTOR </t>
  </si>
  <si>
    <t xml:space="preserve">  Creates a POINTVECTOR with the given POSITION and DIRECTION</t>
  </si>
  <si>
    <t xml:space="preserve">  Returns a POINTVECTOR as a string.</t>
  </si>
  <si>
    <t xml:space="preserve">  Offset(REAL)</t>
  </si>
  <si>
    <t xml:space="preserve">  POINTVECTOR</t>
  </si>
  <si>
    <t xml:space="preserve">  Returns the point vector offset in its direction by the passed distance</t>
  </si>
  <si>
    <t xml:space="preserve">  Returns the point vector with the original position and the direction constructed from the position directed to the passed position</t>
  </si>
  <si>
    <t xml:space="preserve">  Returns the point vector at the intersection of the point line with a plane normal to the point line through the passed position</t>
  </si>
  <si>
    <t xml:space="preserve">  Intersection(POINTVECTOR)</t>
  </si>
  <si>
    <t xml:space="preserve">  Returns the intersection position of the point vectors.</t>
  </si>
  <si>
    <t xml:space="preserve">  Returns the intersection position of the point vector with the supplied line.</t>
  </si>
  <si>
    <t xml:space="preserve">  Returns the position at the intersection of the point vector with the supplied plane</t>
  </si>
  <si>
    <t xml:space="preserve">  Returns the positions at the intersection of the point vector with the supplied arc.</t>
  </si>
  <si>
    <t xml:space="preserve">  Returns a plane with an origin equal to the position of the point vector and a normal direction equal to the point vector direction.</t>
  </si>
  <si>
    <t xml:space="preserve">  Returns a line with a start position equal to the position of the point vector, a direction equal to the direction of the point vector and a length equal to the supplied length.</t>
  </si>
  <si>
    <t xml:space="preserve">  REAL  Get/Set </t>
  </si>
  <si>
    <t xml:space="preserve">  The East component</t>
  </si>
  <si>
    <t xml:space="preserve">  North </t>
  </si>
  <si>
    <t xml:space="preserve">  The North component</t>
  </si>
  <si>
    <t xml:space="preserve">  Up </t>
  </si>
  <si>
    <t xml:space="preserve">  The Up component</t>
  </si>
  <si>
    <t xml:space="preserve">  The DB element that is the origin</t>
  </si>
  <si>
    <t xml:space="preserve">  Position(STRING )</t>
  </si>
  <si>
    <t xml:space="preserve">  Creates a POSITION at the coordinates given in STRING.</t>
  </si>
  <si>
    <t xml:space="preserve">  Position(STRING, FORMAT)</t>
  </si>
  <si>
    <t xml:space="preserve">  Creates a POSITION at the coordinates given in STRING, with the specified FORMAT.</t>
  </si>
  <si>
    <t xml:space="preserve">  Component(DIRECTION)</t>
  </si>
  <si>
    <t xml:space="preserve">  Magnitude of component in specified DIRECTION.</t>
  </si>
  <si>
    <t xml:space="preserve">  EQ(POSITION)</t>
  </si>
  <si>
    <t xml:space="preserve">  TRUE if POSITIONS are the same.</t>
  </si>
  <si>
    <t xml:space="preserve">  LT(POSITION)</t>
  </si>
  <si>
    <t xml:space="preserve">  TRUE if POSITION is less than argument.</t>
  </si>
  <si>
    <t xml:space="preserve">  Convert  POSITION  to  a STRING.</t>
  </si>
  <si>
    <t xml:space="preserve">  Convert to a new POSITION with respect to given DB element.</t>
  </si>
  <si>
    <t xml:space="preserve">  Angle (POSITION, POSITION)</t>
  </si>
  <si>
    <t xml:space="preserve">  Returns the angle between the passed two points about the position object.</t>
  </si>
  <si>
    <t xml:space="preserve">  ArcCentre(POSITION, POSITION,  POSITION, DIRECTION, REAL )</t>
  </si>
  <si>
    <t xml:space="preserve">  Returns an arc using arc centre technique. The direction is the ‘normal viewing’ direction.</t>
  </si>
  <si>
    <t xml:space="preserve">  ArcCentre(POSITION, POSITION,  POSITION, DIRECTION, REAL)</t>
  </si>
  <si>
    <t xml:space="preserve">  Returns an arc using arc centre technique. The direction is the ‘normal viewing’ direction. Please see diagram for full explanation.</t>
  </si>
  <si>
    <t xml:space="preserve">  ArcFillet(  POSITION, POSITION,  DIRECTION, REAL )</t>
  </si>
  <si>
    <t xml:space="preserve">  Returns an arc using arc centre technique. The direction is the ‘normal viewing’ direction. Please see diagram for full explanation.  </t>
  </si>
  <si>
    <t xml:space="preserve">  ArcRadius( POSITION, POSITION,  DIRECTION, REAL, BOOLEAN )</t>
  </si>
  <si>
    <t xml:space="preserve">  Returns an arc using arc radius technique. The direction is the ‘normal viewing’ direction. The boolean selects the minor (FALSE) or major(TRUE) arc. Please see diagram for full explanation.</t>
  </si>
  <si>
    <t xml:space="preserve">  ArcThru( POSITION, POSITION,  DIRECTION )</t>
  </si>
  <si>
    <t xml:space="preserve">  Returns an arc using arc through 3 points technique. The direction is the ‘normal viewing’ direction. Please see diagram for full explanation.</t>
  </si>
  <si>
    <t xml:space="preserve">  ArcThru( POSITION, POSITION,  DIRECTION, REAL )</t>
  </si>
  <si>
    <t xml:space="preserve">  Returns an arc using arc through 3 points and radius technique. The direction is the ‘normal viewing’ direction. Please see diagram for full explanation.</t>
  </si>
  <si>
    <t xml:space="preserve">  Arc3Lines( LINE, LINE, LINE,  DIRECTION )</t>
  </si>
  <si>
    <t xml:space="preserve">  Returns a circle through the 3 line tangent points. The 'this' position refers to the zone in which the circle lies. </t>
  </si>
  <si>
    <t xml:space="preserve">  Direction(POSITION)</t>
  </si>
  <si>
    <t xml:space="preserve">  Returns  the  direction between the position and the supplied position</t>
  </si>
  <si>
    <t xml:space="preserve">  Distance(ARC)</t>
  </si>
  <si>
    <t xml:space="preserve">  Returns the distance between the position and the nearest point on the arc line of the passed  arc definition</t>
  </si>
  <si>
    <t xml:space="preserve">  MidPoint(POSITION) </t>
  </si>
  <si>
    <t xml:space="preserve">  Returns  the  mid  point between the two positions</t>
  </si>
  <si>
    <t xml:space="preserve">  Near(POSITION, REAL)</t>
  </si>
  <si>
    <t xml:space="preserve">  Returns true if the passed position is within the passed distance from the position object</t>
  </si>
  <si>
    <t xml:space="preserve">  Offset(DIRECTION, REAL)</t>
  </si>
  <si>
    <t xml:space="preserve">  Returns a position offset by the supplied length in the supplied direction</t>
  </si>
  <si>
    <t xml:space="preserve">  Plane(POSITION, POSITION)</t>
  </si>
  <si>
    <t xml:space="preserve">  Returns a plane in which each of the supplied points lie.</t>
  </si>
  <si>
    <t xml:space="preserve">  Distance(LINE) </t>
  </si>
  <si>
    <t xml:space="preserve">  Returns the distance between the position and the nearest point on the passed infinite line definition</t>
  </si>
  <si>
    <t xml:space="preserve">  Distance(PLANE) </t>
  </si>
  <si>
    <t xml:space="preserve">  Returns the distance between the position and the nearest point on the passed plane definition</t>
  </si>
  <si>
    <t xml:space="preserve">  Distance(POSITION)</t>
  </si>
  <si>
    <t xml:space="preserve">  Returns the distance between the two positions</t>
  </si>
  <si>
    <t xml:space="preserve">  Line(POSITION)</t>
  </si>
  <si>
    <t xml:space="preserve">  Returns a line between the two positions, starting at the position object</t>
  </si>
  <si>
    <t xml:space="preserve">  Offset(DIRECTION,  REAL)</t>
  </si>
  <si>
    <t xml:space="preserve">  postMark(STRING)</t>
  </si>
  <si>
    <t xml:space="preserve">  Called after an undoable has been added to the undo stack. STRING is the description text associated with the undoable object.</t>
  </si>
  <si>
    <t xml:space="preserve">  postUndo (STRING)</t>
  </si>
  <si>
    <t xml:space="preserve">  Called after an undo has occurred. STRING is the description text associated with the undoable object.</t>
  </si>
  <si>
    <t xml:space="preserve">  postRedo(STRING)</t>
  </si>
  <si>
    <t xml:space="preserve">  Called after a redo has occurred. STRING is the description text associated with the undoable object.</t>
  </si>
  <si>
    <t xml:space="preserve">  postClearMark()</t>
  </si>
  <si>
    <t xml:space="preserve">  Called after a clearMark has occurred</t>
  </si>
  <si>
    <t xml:space="preserve">  postClearAll()</t>
  </si>
  <si>
    <t xml:space="preserve">  Called after a clearAll has occurred.</t>
  </si>
  <si>
    <t xml:space="preserve">  The name of the Project, up to 120 characters.</t>
  </si>
  <si>
    <t xml:space="preserve">  Evar</t>
  </si>
  <si>
    <t xml:space="preserve">  Project environment variable, e.g. SAM000</t>
  </si>
  <si>
    <t xml:space="preserve">  Active()</t>
  </si>
  <si>
    <t xml:space="preserve">  Number of active users of the project</t>
  </si>
  <si>
    <t xml:space="preserve">  Code() </t>
  </si>
  <si>
    <t xml:space="preserve">  Project  code,  three characters, e.g. SAM</t>
  </si>
  <si>
    <t xml:space="preserve">  Description()</t>
  </si>
  <si>
    <t xml:space="preserve">  Project description, up to 120 characters.</t>
  </si>
  <si>
    <t xml:space="preserve">  Mbcharset()</t>
  </si>
  <si>
    <t xml:space="preserve">  Multibyte  character  set number</t>
  </si>
  <si>
    <t xml:space="preserve">  Message()</t>
  </si>
  <si>
    <t xml:space="preserve">  Project message (information about the project), up to 120 characters.</t>
  </si>
  <si>
    <t xml:space="preserve">  Project name</t>
  </si>
  <si>
    <t xml:space="preserve">  Number()</t>
  </si>
  <si>
    <t xml:space="preserve">  Project number, up to 17 characters.</t>
  </si>
  <si>
    <t xml:space="preserve">  Isglobal()</t>
  </si>
  <si>
    <t xml:space="preserve">  Whether project is a global project.</t>
  </si>
  <si>
    <t xml:space="preserve">  Locations() </t>
  </si>
  <si>
    <t xml:space="preserve">  ARRAY OF LOCATION</t>
  </si>
  <si>
    <t xml:space="preserve">  Return array of all Locations in Project</t>
  </si>
  <si>
    <t xml:space="preserve">  CurrentLocation()</t>
  </si>
  <si>
    <t xml:space="preserve">  Return true current location</t>
  </si>
  <si>
    <t xml:space="preserve">  ARRAY OF SESSIONS</t>
  </si>
  <si>
    <t xml:space="preserve">  Return array of all Sessions (at the current location)</t>
  </si>
  <si>
    <t xml:space="preserve">  CurrentSession()</t>
  </si>
  <si>
    <t xml:space="preserve">  SESSION</t>
  </si>
  <si>
    <t xml:space="preserve">  Return current Session (at the current location)</t>
  </si>
  <si>
    <t xml:space="preserve">  Dblist()  </t>
  </si>
  <si>
    <t xml:space="preserve">  ARRAY OF DB OBJECTS</t>
  </si>
  <si>
    <t xml:space="preserve">  List of databases in the project.</t>
  </si>
  <si>
    <t xml:space="preserve">  ARRAY OF MDBS</t>
  </si>
  <si>
    <t xml:space="preserve">  Return array of all MDBs in Project at current location.</t>
  </si>
  <si>
    <t xml:space="preserve">  UserList()</t>
  </si>
  <si>
    <t xml:space="preserve">  ARRAY OF USERS</t>
  </si>
  <si>
    <t xml:space="preserve">  Return array of all USERs in Project at current location.</t>
  </si>
  <si>
    <t xml:space="preserve">  Macros()</t>
  </si>
  <si>
    <t xml:space="preserve">  ARRAY OF MACROS</t>
  </si>
  <si>
    <t xml:space="preserve">  Return array of all Inter-db macros in MISC db in Project at current location.</t>
  </si>
  <si>
    <t xml:space="preserve">  Messages()</t>
  </si>
  <si>
    <t xml:space="preserve">  Return array of all messages in MISC db at current location.</t>
  </si>
  <si>
    <t xml:space="preserve">  Origin of profile</t>
  </si>
  <si>
    <t xml:space="preserve">  Orientation of profile plane</t>
  </si>
  <si>
    <t xml:space="preserve">  Pointer </t>
  </si>
  <si>
    <t xml:space="preserve">  POINTER  Get Only</t>
  </si>
  <si>
    <t xml:space="preserve">  Definition of profile</t>
  </si>
  <si>
    <t xml:space="preserve">  Profile(POSITION, ORIENTATION,  ARRAY) </t>
  </si>
  <si>
    <t xml:space="preserve">  PROFILE   </t>
  </si>
  <si>
    <t xml:space="preserve">  Creates a profile object. The input ARRAY is an array of LINEs,  ARCs  and POSITIONs. Other array member types will be ignored.  Array member must be initialised correctly, otherwise it will be ignored.</t>
  </si>
  <si>
    <t xml:space="preserve">  Profile(DBREF)  </t>
  </si>
  <si>
    <t xml:space="preserve">  PROFILE  </t>
  </si>
  <si>
    <t xml:space="preserve">  Creates a profile object from a LOOP, PLOO, PALJ or SPINE. Approximately from a POGO, BOUN, DRAW. 3D  linear  geometry (SPINE,BOUN, DRAW,PALJ) should be in a single plane.  If not it is projected onto a plane defined by the first few points of the element.</t>
  </si>
  <si>
    <t xml:space="preserve">  Profile(DBREF1,DBREF2)</t>
  </si>
  <si>
    <t xml:space="preserve">  Creates a profile object from SPRO or SLOO at DBREF1. DBREF2 is the design element referencing the catalogue element containing the catalogue primitive thus providing its parameters.</t>
  </si>
  <si>
    <t xml:space="preserve">  Profile(PROFILE)</t>
  </si>
  <si>
    <t xml:space="preserve">  Creates a profile object which is a copy of the given profile</t>
  </si>
  <si>
    <t xml:space="preserve">  Plane() </t>
  </si>
  <si>
    <t xml:space="preserve">  Returns the PLANE definition of the profile. This is equivalent to the PLANE method on LINEARGRID object</t>
  </si>
  <si>
    <t xml:space="preserve">  IsClosed()</t>
  </si>
  <si>
    <t xml:space="preserve">  Return true if closed</t>
  </si>
  <si>
    <t xml:space="preserve">  IsValidClosed ()</t>
  </si>
  <si>
    <t xml:space="preserve">  Returns true if the profile is valid and could be drawn correctly using GML, e.g. there are no self-intersecting edges </t>
  </si>
  <si>
    <t xml:space="preserve">  Sense()</t>
  </si>
  <si>
    <t xml:space="preserve">  True if anti-clockwise (on its plane). Returns error if profile is not closed</t>
  </si>
  <si>
    <t xml:space="preserve">  Area()</t>
  </si>
  <si>
    <t xml:space="preserve">  Internal area of profile. Returns error if profile is not closed</t>
  </si>
  <si>
    <t xml:space="preserve">  Returns the complete length of the profile. </t>
  </si>
  <si>
    <t xml:space="preserve">  IsCircle()</t>
  </si>
  <si>
    <t xml:space="preserve">  Returns true if profile is a full circle.</t>
  </si>
  <si>
    <t xml:space="preserve">  IsFillet(REAL)</t>
  </si>
  <si>
    <t xml:space="preserve">  Returns true if edge specified by REAL argument is a fillet. A fillet must be an arc with a significant angle that is tangentially continuous with its adjacent edges that are lines, or arcs of larger radius.</t>
  </si>
  <si>
    <t xml:space="preserve">  edges() </t>
  </si>
  <si>
    <t xml:space="preserve">  Returns array of lines and arcs that define the profile. The direction and sense of the lines and arcs are important. If the profile is a full circle only a single full circle arc is returned regardless of the composition of the profile.</t>
  </si>
  <si>
    <t xml:space="preserve">  numberEdges() </t>
  </si>
  <si>
    <t xml:space="preserve">  Returns the number of edges within the profile (= vertices-1)</t>
  </si>
  <si>
    <t xml:space="preserve">  edge(REAL)</t>
  </si>
  <si>
    <t xml:space="preserve">  LINE/ARC</t>
  </si>
  <si>
    <t xml:space="preserve">  Returns the profile element at the passed index of the edges array</t>
  </si>
  <si>
    <t xml:space="preserve">  dbWrite(DBREF)     </t>
  </si>
  <si>
    <t xml:space="preserve">  PROFILE     </t>
  </si>
  <si>
    <t xml:space="preserve">  Populates DBREF with contents of the profile. If any geometry already exists it is replaced with the profile geometry.  The geometry stored is that which is appropriate to the database element.  The DBREF must be one of LOOP, PLOO, PALJ, SPINE, BOUN, DRAW, POGO. Returns itself unmodified.  The owner of a LOOP or PLOOP is repositioned to fit with the profile.  Other geometry is positioned correctly in the frame of reference of its owner or positioned ancestor. Population  of  catalogue geometry is not supported</t>
  </si>
  <si>
    <t xml:space="preserve">  draw(REAL1, REAL2, REAL3)  </t>
  </si>
  <si>
    <t xml:space="preserve">  Draws the profile as a set of aid lines and arcs.  REAL1 is the Segment number to draw to. REAL2 sets the style of the segment.  REAL3 sets the colour of the segment..  The drawn graphics can be queried and manipulated using AID geometry functions. LINE and ARC objects also have the .draw method implemented</t>
  </si>
  <si>
    <t xml:space="preserve">  mirror(LINE) </t>
  </si>
  <si>
    <t xml:space="preserve">  Mirrors the boundary definition about the passed line, when mapped onto the boundary plane</t>
  </si>
  <si>
    <t xml:space="preserve">  translate(REAL1,REAL2)</t>
  </si>
  <si>
    <t xml:space="preserve">  Offsets the boundary definition in the XY of the boundary plane with a shift of x of REAL1 and y of REAL2</t>
  </si>
  <si>
    <t xml:space="preserve">  rotate(REAL, POSITION)</t>
  </si>
  <si>
    <t xml:space="preserve">  Rotates the boundary definition about the POSITION by the given angle. Angle are anticlock-wise about the Z axes of the boundary plane</t>
  </si>
  <si>
    <t xml:space="preserve">  close()</t>
  </si>
  <si>
    <t xml:space="preserve">  Closes the profile with an additional edge (if necessary). If ends are within a tolerance the end point is adjusted</t>
  </si>
  <si>
    <t xml:space="preserve">  reverse()</t>
  </si>
  <si>
    <t xml:space="preserve">  Reverses the sense of the profile and the order of the edges</t>
  </si>
  <si>
    <t xml:space="preserve">  mergearcs(REAL1, REAL2)</t>
  </si>
  <si>
    <t xml:space="preserve">  Merge concentric contiguous arcs into one up to a maximum arc angle of REAL1 degrees according to tolerance REAL2 Mergearcs() will remove concentric back tracks in the profile as well.</t>
  </si>
  <si>
    <t xml:space="preserve">  mergearcs()</t>
  </si>
  <si>
    <t xml:space="preserve">  Merge concentric contiguous arcs into one.</t>
  </si>
  <si>
    <t xml:space="preserve">  mergelines(REAL) </t>
  </si>
  <si>
    <t xml:space="preserve">  Merge colinear contiguous lines into one according to tolerance supplied. Mergelines() will remove colinear backtracks in the profile as well.</t>
  </si>
  <si>
    <t xml:space="preserve">  mergelines()</t>
  </si>
  <si>
    <t xml:space="preserve">  Merge colinear contiguous lines into one.</t>
  </si>
  <si>
    <t xml:space="preserve">  mergepoints(REAL)</t>
  </si>
  <si>
    <t xml:space="preserve">  Remove coincident consecutive points according to tolerance supplied</t>
  </si>
  <si>
    <t xml:space="preserve">  mergepoints() </t>
  </si>
  <si>
    <t xml:space="preserve">  Remove  coincident consecutive points</t>
  </si>
  <si>
    <t xml:space="preserve">  polyline(REAL)</t>
  </si>
  <si>
    <t xml:space="preserve">  Replace arcs with a chordal approximation to the tolerance supplied</t>
  </si>
  <si>
    <t xml:space="preserve">  polyline()</t>
  </si>
  <si>
    <t xml:space="preserve">  Replace arcs with a chordal approximation</t>
  </si>
  <si>
    <t xml:space="preserve">  projectArcs(REAL) </t>
  </si>
  <si>
    <t xml:space="preserve">  Removes all the arcs from the definition, only leaving the straight-line edges. Arcs with angle less than the supplied argument are ignored.  Arcs that are removed are replaced by projected tangents meeting at the polar position of the arc. Arcs with angles approaching 180 degrees are split in half</t>
  </si>
  <si>
    <t xml:space="preserve">  Returns the nearest position on the profile, to the given position projected onto the profile plane.</t>
  </si>
  <si>
    <t xml:space="preserve">  Near(REAL,POSITION)  </t>
  </si>
  <si>
    <t xml:space="preserve">  POSITION  </t>
  </si>
  <si>
    <t xml:space="preserve">  The REAL argument is an index to an edge in the Profile.  Returns the nearest point on this edge to the POSITION supplied.  This is the same as .near (POSITION) but restricted to a single edge.</t>
  </si>
  <si>
    <t xml:space="preserve">  NearEdges(POSITION)</t>
  </si>
  <si>
    <t xml:space="preserve">  Returns array of edge indices of the nearest edges to the given POSITION. The returned edges may be any in the profile. Edges will be consecutive if nearest point is a vertex.</t>
  </si>
  <si>
    <t xml:space="preserve">  IsWithin(POSITION)</t>
  </si>
  <si>
    <t xml:space="preserve">  Returns TRUE if the position when mapped on to the profile plane lies inside the profile.  The profile must be closed.</t>
  </si>
  <si>
    <t xml:space="preserve">  IsWithout(POSITION)</t>
  </si>
  <si>
    <t xml:space="preserve">  Returns TRUE if the position when mapped on to the profile plane lies outside the profile. The profile must be closed.</t>
  </si>
  <si>
    <t xml:space="preserve">  OnProfile(POSITION)</t>
  </si>
  <si>
    <t xml:space="preserve">  Returns TRUE if the position (mapped onto the profile plane) lies on the profile geometry.</t>
  </si>
  <si>
    <t xml:space="preserve">  IsWithin(PROFILE)</t>
  </si>
  <si>
    <t xml:space="preserve">  True if the supplied profile lies wholly within the profile the object. Both profiles must be closed.</t>
  </si>
  <si>
    <t xml:space="preserve">  IsWithout(PROFILE)</t>
  </si>
  <si>
    <t xml:space="preserve">  True if the supplied profile lies completely outside the profile object. Both profiles must be closed.</t>
  </si>
  <si>
    <t xml:space="preserve">  IsIntersecting(PROFILE)</t>
  </si>
  <si>
    <t xml:space="preserve">  True if the supplied profile intersects the profile object. Both profiles must be closed</t>
  </si>
  <si>
    <t xml:space="preserve">  intersections(LINE) </t>
  </si>
  <si>
    <t xml:space="preserve">  ARRAY OF POINTS</t>
  </si>
  <si>
    <t xml:space="preserve">  Returns an array of points that are positions where the line (or the projection of the line into the plane of the profile) intersects the profile. All points on the extended infinite line are returned.</t>
  </si>
  <si>
    <t xml:space="preserve">  intersections(ARC) </t>
  </si>
  <si>
    <t xml:space="preserve">  Returns an array of points that are positions where the arc (or the projection of the arc into the plane of the profile) intersects the profile. The plane of the arc must be parallel with the plane of the profile otherwise an error will occur. The points are anywhere on the circle of the arc (and not limited to be between start and end)</t>
  </si>
  <si>
    <t xml:space="preserve">  intersections(PROFILE) </t>
  </si>
  <si>
    <t xml:space="preserve">  Returns an array of points which are positions where the two profiles intersect.. The two profiles must be parallel (or anti-parallel) to each other</t>
  </si>
  <si>
    <t xml:space="preserve">  intersect(PROFILE)</t>
  </si>
  <si>
    <t xml:space="preserve">  ARRAY OF PROFILES</t>
  </si>
  <si>
    <t xml:space="preserve">  Returns array of the resultant intersection profiles</t>
  </si>
  <si>
    <t xml:space="preserve">  union(PROFILE)</t>
  </si>
  <si>
    <t xml:space="preserve">  Returns the union of the two profiles. Holes are returned as separate profiles (in reverse direction)</t>
  </si>
  <si>
    <t xml:space="preserve">  difference(PROFILE) </t>
  </si>
  <si>
    <t xml:space="preserve">  ARRAY OF PROFILES </t>
  </si>
  <si>
    <t xml:space="preserve">  Returns the difference of the passed profile against the profile definition</t>
  </si>
  <si>
    <t xml:space="preserve">  split(LINE) </t>
  </si>
  <si>
    <t xml:space="preserve">  Returns the resultant profiles from projecting the passed line onto the profile and splitting about that line </t>
  </si>
  <si>
    <t xml:space="preserve">  split(PLANE, BOOLEAN)</t>
  </si>
  <si>
    <t xml:space="preserve">  Returns the resultant boundaries from splitting the profile on the line at the intersection of the passed plane and the profile plane. The side is specified by the supplied BOOLEAN. If it is TRUE then only profiles in the direction of the normal to the passed plane are created; if side is FALSE, only those in the direction of the anti-normal.</t>
  </si>
  <si>
    <t xml:space="preserve">  Radii </t>
  </si>
  <si>
    <t xml:space="preserve">  Radii of the grid.</t>
  </si>
  <si>
    <t xml:space="preserve">  Angles </t>
  </si>
  <si>
    <t xml:space="preserve">  Angular spacing, from X axes (zero).</t>
  </si>
  <si>
    <t xml:space="preserve">  Radialgrid( POSITION,  ORIENTATION, ARRAY, ARRAY)</t>
  </si>
  <si>
    <t xml:space="preserve">  RADIALGRID </t>
  </si>
  <si>
    <t xml:space="preserve">  Creates a grid with the given position and orientation, and the angles and radii specified in the arrays.</t>
  </si>
  <si>
    <t xml:space="preserve">  Real(BOOLEAN) </t>
  </si>
  <si>
    <t xml:space="preserve">  Creates a REAL from the given BOOLEAN: TRUE = 1, FALSE = 0.</t>
  </si>
  <si>
    <t xml:space="preserve">  Real(BORE) </t>
  </si>
  <si>
    <t xml:space="preserve">  Creates a REAL from the given BORE.</t>
  </si>
  <si>
    <t xml:space="preserve">  Real(STRING)  </t>
  </si>
  <si>
    <t xml:space="preserve">  Creates a REAL from the given STRING. The String must include a number to give value to the REAL If the STRING also a unit qualifier appended to the number the REAL is given the dimension of the physical quantity and its value will be converted to current working units of that dimension. It will also interpret an extended range of feet and inch formats.</t>
  </si>
  <si>
    <t xml:space="preserve">  Real( STRING, FORMAT )    </t>
  </si>
  <si>
    <t xml:space="preserve">  REAL   </t>
  </si>
  <si>
    <t xml:space="preserve">  Creates a REAL from the given STRING in the specified format. If the string contains no unit qualifier the format defines the type of physical quantity and the units of the number. (or current units if format units not set). The resulting REAL has current units regardless of the format or input units. If the conversion fails then the Format object is used to provide alternative unit qualifiers for the dimension (unit of measure) and these are used to try and interpret the value. This is similar to the matching string functions.</t>
  </si>
  <si>
    <t xml:space="preserve">  Real(REAL, UNIT)</t>
  </si>
  <si>
    <t xml:space="preserve">  n/a</t>
  </si>
  <si>
    <t xml:space="preserve">  creates an new REAL with the value of the REAL argument (ignoring its units) in the units of UNIT.</t>
  </si>
  <si>
    <t xml:space="preserve">  Value()</t>
  </si>
  <si>
    <t xml:space="preserve">  return undimensioned real with same value as original.</t>
  </si>
  <si>
    <t xml:space="preserve">  Dimension()</t>
  </si>
  <si>
    <t xml:space="preserve">  dimension (of measure) of the physical quantity recorded by the real.</t>
  </si>
  <si>
    <t xml:space="preserve">  Unit() Units()</t>
  </si>
  <si>
    <t xml:space="preserve">  unit of measure of the quantity stored in the REAL.</t>
  </si>
  <si>
    <t xml:space="preserve">  ARRAY  of MEASURES</t>
  </si>
  <si>
    <t xml:space="preserve">  Set of all standard dimensions.</t>
  </si>
  <si>
    <t xml:space="preserve">  AllUnits()</t>
  </si>
  <si>
    <t xml:space="preserve">  ARRAY UNITS</t>
  </si>
  <si>
    <t xml:space="preserve">  set of all named, standard Units.</t>
  </si>
  <si>
    <t xml:space="preserve">  Cast(UNIT)</t>
  </si>
  <si>
    <t xml:space="preserve">  Same as REAL(REAL,UNIT).</t>
  </si>
  <si>
    <t xml:space="preserve">  ConvertUnits(STRING) Convert(UNIT) ConvertUnits(UNIT)</t>
  </si>
  <si>
    <t xml:space="preserve">  Returns a REAL converted from original units to the units specified by the UNIT or STRING argument. The STRING value must be able to be interpreted as a valid unit. If Object is undimensioned its value is assumed to be in the DatabaseUnits consistent with the unit specified by the STRING or UNIT argument.</t>
  </si>
  <si>
    <t xml:space="preserve">  DBUnits()</t>
  </si>
  <si>
    <t xml:space="preserve">  Returns a real of same physical size, but in database units.</t>
  </si>
  <si>
    <t xml:space="preserve">  CurrentUnits()</t>
  </si>
  <si>
    <t xml:space="preserve">  Returns a Real of the same physical size, whose value is converted to be in current working units and units of current units.</t>
  </si>
  <si>
    <t xml:space="preserve">  CurrentUnits(STRING) CurrentUnits(UNIT) CurrentUnits(MEASURE) </t>
  </si>
  <si>
    <t xml:space="preserve">  Returns a REAL of the same dimension as original and whose value reflects the same physical size, but whose value is measured in current units. If the original REAL has units - returns a Real with units of current units. The argument is ignored. If the REAL has no units - The argument used to qualify the units of measure of the REAL.  Its units are that of the UNIT or STRING argument. If the argument is a MEASURE of name of a MEASURE then the units are the appropriate database units.   The returned REAL is returned only as a converted Value. It has no units or dimension (as had the original REAL).</t>
  </si>
  <si>
    <t xml:space="preserve">  ABS() </t>
  </si>
  <si>
    <t xml:space="preserve">  Absolute value (make value positive).</t>
  </si>
  <si>
    <t xml:space="preserve">  ACos() </t>
  </si>
  <si>
    <t xml:space="preserve">  ACOS. The real must be purely numeric.</t>
  </si>
  <si>
    <t xml:space="preserve">  ALog() </t>
  </si>
  <si>
    <t xml:space="preserve">  ALOG. The real must be purely numeric.</t>
  </si>
  <si>
    <t xml:space="preserve">  ASin() </t>
  </si>
  <si>
    <t xml:space="preserve">  ASIN. The real must be purely numeric.</t>
  </si>
  <si>
    <t xml:space="preserve">  ATan() </t>
  </si>
  <si>
    <t xml:space="preserve">  ATAN. The real must be purely numeric.</t>
  </si>
  <si>
    <t xml:space="preserve">  ATanT(REAL) </t>
  </si>
  <si>
    <t xml:space="preserve">  ATANT. The real must be purely numeric.</t>
  </si>
  <si>
    <t xml:space="preserve">  Between(REAL, REAL)</t>
  </si>
  <si>
    <t xml:space="preserve">  TRUE if value lies in specified range including values specified. All the reals must be of the same or compatible physical quantities and will be interpreted in consistent units.</t>
  </si>
  <si>
    <t xml:space="preserve">  Boolean() </t>
  </si>
  <si>
    <t xml:space="preserve">  FALSE if value is zero, otherwise TRUE.</t>
  </si>
  <si>
    <t xml:space="preserve">  Bore() </t>
  </si>
  <si>
    <t xml:space="preserve">  BORE</t>
  </si>
  <si>
    <t xml:space="preserve">  Convert to BORE (must be exact) dependent on current BORE units.</t>
  </si>
  <si>
    <t xml:space="preserve">  Cosine() </t>
  </si>
  <si>
    <t xml:space="preserve">  COSINE. The real must be an angle, or purely numeric.</t>
  </si>
  <si>
    <t xml:space="preserve">  Distance()</t>
  </si>
  <si>
    <t xml:space="preserve">  Convert to a distance using default settings.</t>
  </si>
  <si>
    <t xml:space="preserve">  Distance(BOOLEAN feet, BOOLEAN us, BOOLEAN fraction, REAL precision,  BOOLEAN zeroes)   </t>
  </si>
  <si>
    <t xml:space="preserve">  STRING    </t>
  </si>
  <si>
    <t xml:space="preserve">  Convert to a distance :  to feet &amp; inches if feet (otherwise inches);  to US format if us (otherwise PDMS format);  use fraction if fraction (otherwise decimals);  use precision as largest denominator or precision decimal places; output zeroes if zeroes (otherwise them).</t>
  </si>
  <si>
    <t xml:space="preserve">  EQ(BORE) </t>
  </si>
  <si>
    <t xml:space="preserve">  Comparison dependent on current BORE units. The two reals must be of compatible quantities and are compared in consistent units.</t>
  </si>
  <si>
    <t xml:space="preserve">  EQ(REAL) </t>
  </si>
  <si>
    <t xml:space="preserve">  TRUE if equal. The two reals must be of compatible quantities and are compared in consistent units.</t>
  </si>
  <si>
    <t xml:space="preserve">  GEQ(BORE) </t>
  </si>
  <si>
    <t xml:space="preserve">  GEQ(REAL) </t>
  </si>
  <si>
    <t xml:space="preserve">  TRUE if greater than or equal to another value. The two reals must be of compatible quantities and are compared in consistent units.</t>
  </si>
  <si>
    <t xml:space="preserve">  GT(BORE) </t>
  </si>
  <si>
    <t xml:space="preserve">  GT(REAL) </t>
  </si>
  <si>
    <t xml:space="preserve">  TRUE if greater than another value. The two reals must be of compatible quantities and are compared in consistent units.</t>
  </si>
  <si>
    <t xml:space="preserve">  INT() </t>
  </si>
  <si>
    <t xml:space="preserve">  Convert to whole number, rounding down.</t>
  </si>
  <si>
    <t xml:space="preserve">  LEQ(BORE) </t>
  </si>
  <si>
    <t xml:space="preserve">  LEQ(REAL) </t>
  </si>
  <si>
    <t xml:space="preserve">  TRUE if less than or equal to another value. The two reals must be of compatible quantities and are compared in consistent units.</t>
  </si>
  <si>
    <t xml:space="preserve">  LOG() </t>
  </si>
  <si>
    <t xml:space="preserve">  LOG. Real should be numeric.</t>
  </si>
  <si>
    <t xml:space="preserve">  LT(BORE) </t>
  </si>
  <si>
    <t xml:space="preserve">  LT(REAL) </t>
  </si>
  <si>
    <t xml:space="preserve">  TRUE if less than another value. The two reals must be of compatible quantities and are compared in consistent units.</t>
  </si>
  <si>
    <t xml:space="preserve">  MODULO (REAL) </t>
  </si>
  <si>
    <t xml:space="preserve">  The remainder MODULO the given REAL. A.MODULO(P) has the value A - floor (A / P) * P, where P cannot be zero.</t>
  </si>
  <si>
    <t xml:space="preserve">  NearestBore() </t>
  </si>
  <si>
    <t xml:space="preserve">  Convert to nearest BORE dependent on current BORE units setting.</t>
  </si>
  <si>
    <t xml:space="preserve">  Nint() </t>
  </si>
  <si>
    <t xml:space="preserve">  Convert to nearest whole number (up or down).</t>
  </si>
  <si>
    <t xml:space="preserve">  Power(REAL) </t>
  </si>
  <si>
    <t xml:space="preserve">  Raise value to power. If the original real is of physical quantity the power value should be integer.</t>
  </si>
  <si>
    <t xml:space="preserve">  Real() </t>
  </si>
  <si>
    <t xml:space="preserve">  Convert to REAL (in this case a null operation).</t>
  </si>
  <si>
    <t xml:space="preserve">  SBetween (REAL,REAL)</t>
  </si>
  <si>
    <t xml:space="preserve">  TRUE if value lies in specified range excluding values specified. All the reals must be of the same or compatible physical quantities and will be interpreted in consistent units.</t>
  </si>
  <si>
    <t xml:space="preserve">  Sine() </t>
  </si>
  <si>
    <t xml:space="preserve">  SINE. The real must be an angle, or purely numeric.</t>
  </si>
  <si>
    <t xml:space="preserve">  Sqrt() </t>
  </si>
  <si>
    <t xml:space="preserve">  Square root of value. If result is not a supported unit of measure it will error.</t>
  </si>
  <si>
    <t xml:space="preserve">  String(STRING precision) </t>
  </si>
  <si>
    <t xml:space="preserve">  Convert to STRING with precision specified as a STRING in the range ‘D0’ to ‘D6’.</t>
  </si>
  <si>
    <t xml:space="preserve">  Convert to STRING using settings in global FORMAT object. same process of using format units and unit qualifiers in the STRING as applied in REAL(STRING, FORMAT).</t>
  </si>
  <si>
    <t xml:space="preserve">  Tangent()</t>
  </si>
  <si>
    <t xml:space="preserve">  TANGENT. The real must be an angle, or purely numeric.</t>
  </si>
  <si>
    <t xml:space="preserve">  Report()</t>
  </si>
  <si>
    <t xml:space="preserve">  Constructor.</t>
  </si>
  <si>
    <t xml:space="preserve">  Report(TABLE)</t>
  </si>
  <si>
    <t xml:space="preserve">  Constructor that also sets the table and column formats.</t>
  </si>
  <si>
    <t xml:space="preserve">  Table(TABLE)</t>
  </si>
  <si>
    <t xml:space="preserve">  Sets the table to be used for the report.</t>
  </si>
  <si>
    <t xml:space="preserve">  AddColumn(STRING key,  COLUMNFORMAT, STRING heading)</t>
  </si>
  <si>
    <t xml:space="preserve">  Adds the column with the specified key to the report, with the passed column format. The argument heading is the column heading.</t>
  </si>
  <si>
    <t xml:space="preserve">  NextEntriesIndex(REAL position)</t>
  </si>
  <si>
    <t xml:space="preserve">  Sets the position in the result array to be used for the next evaluation.</t>
  </si>
  <si>
    <t xml:space="preserve">  NextEntriesIndex(REAL n, STRING)</t>
  </si>
  <si>
    <t xml:space="preserve">  Sets the position in the matched result array to be used for the next evaluation.</t>
  </si>
  <si>
    <t xml:space="preserve">  SetCaseMatch(BOOLEAN)</t>
  </si>
  <si>
    <t xml:space="preserve">  Used in conjunction with the '…MATCH' methods, defines whether matching is case sensitive.</t>
  </si>
  <si>
    <t xml:space="preserve">  Initialise()</t>
  </si>
  <si>
    <t xml:space="preserve">  Re-initialises  the  next counter.</t>
  </si>
  <si>
    <t xml:space="preserve">  EvaluateTable()</t>
  </si>
  <si>
    <t xml:space="preserve">  Re-evaluates on the table primary key and re-sorts.</t>
  </si>
  <si>
    <t xml:space="preserve">  Keys()</t>
  </si>
  <si>
    <t xml:space="preserve">  Returns an ARRAY of STRINGS that are the column keys used on this report.</t>
  </si>
  <si>
    <t xml:space="preserve">  ColumnFormat(STRING key)</t>
  </si>
  <si>
    <t xml:space="preserve">  COLUMN FORMAT</t>
  </si>
  <si>
    <t xml:space="preserve">  Returns the column format of the passed column key</t>
  </si>
  <si>
    <t xml:space="preserve">  ColumnHeading (STRING key)</t>
  </si>
  <si>
    <t xml:space="preserve">  Returns the heading of the column identified by key.</t>
  </si>
  <si>
    <t xml:space="preserve">  Table()</t>
  </si>
  <si>
    <t xml:space="preserve">  TABLE</t>
  </si>
  <si>
    <t xml:space="preserve">  Returns the table used in this report.</t>
  </si>
  <si>
    <t xml:space="preserve">  CaseMatch()</t>
  </si>
  <si>
    <t xml:space="preserve">  Queries whether the MATCH STRING is case sensitive. Set using CaseMatch (BOOLEAN).</t>
  </si>
  <si>
    <t xml:space="preserve">  Results(ARRAY Dtext, ARRAY  Rtext)</t>
  </si>
  <si>
    <t xml:space="preserve">  Evaluates the report using all entries of the table (there may be more than 1 line per entry. If column formats cause a wrap-around Rtext will be repeated).  The return is TRUE if there are entries to evaluate, FALSE if there are no entries. Both Rtext and Dtext must exist; they will be updated with the values.</t>
  </si>
  <si>
    <t xml:space="preserve">  Results(ARRAY)</t>
  </si>
  <si>
    <t xml:space="preserve">  As above but only Dtext is evaluated.</t>
  </si>
  <si>
    <t xml:space="preserve">  ResultsMatch(STRING, ARRAY,  ARRAY)</t>
  </si>
  <si>
    <t xml:space="preserve">  Similar to Results() but only values matching the string are put into the two arrays.</t>
  </si>
  <si>
    <t xml:space="preserve">  ResultsMatch(STRING, ARRAY)</t>
  </si>
  <si>
    <t xml:space="preserve">  NextEntries(REAL n, ARRAY Dtext,  ARRAY Rtext)</t>
  </si>
  <si>
    <t xml:space="preserve">  Evaluates the report using the next n entries of the table (there may be more than 1 line per entry, if column formats cause a wrap-around the Rtext will be repeated). The return is TRUE if there are entries to evaluate, FALSE if there are no entries. Both Rtext and Dtext must exist; they will be updated with the next n values.</t>
  </si>
  <si>
    <t xml:space="preserve">  NextEntries(REAL n, ARRAY)</t>
  </si>
  <si>
    <t xml:space="preserve">  NextLines(REAL n, ARRAY Dtext,  ARRAY Rtext)</t>
  </si>
  <si>
    <t xml:space="preserve">  Evaluates the report with the next n lines of the table, if column formats cause a wrap-around the Rtext will be repeated.  The return is BOOLEAN to indicate if there are lines to evaluate. Both Rtext and Dtext must exist; they will be updated with the next n values.</t>
  </si>
  <si>
    <t xml:space="preserve">  NextLines(REAL n, ARRAY)</t>
  </si>
  <si>
    <t xml:space="preserve">  NextEntriesMatch (REAL n, STRING value, ARRAY Dtext, ARRAY Rtext)</t>
  </si>
  <si>
    <t xml:space="preserve">  Similar to NextEntries() but only values matching value are put into the two arrays.</t>
  </si>
  <si>
    <t xml:space="preserve">  NextEntriesMatch(REAL n, STRING value, ARRAY Dtext)</t>
  </si>
  <si>
    <t xml:space="preserve">  NextEntriesIndex()</t>
  </si>
  <si>
    <t xml:space="preserve">  Returns the current position in the array of entries.</t>
  </si>
  <si>
    <t xml:space="preserve">  NextLinesIndex()</t>
  </si>
  <si>
    <t xml:space="preserve">  NextEntriesIndex (STRING) </t>
  </si>
  <si>
    <t xml:space="preserve">  Returns the current count of the matched values array. STRING is a key word 'MATCH'.</t>
  </si>
  <si>
    <t xml:space="preserve">  val </t>
  </si>
  <si>
    <t xml:space="preserve">  Current value true or false.</t>
  </si>
  <si>
    <t xml:space="preserve">  index </t>
  </si>
  <si>
    <t xml:space="preserve">  REAL  Get Only</t>
  </si>
  <si>
    <t xml:space="preserve">  Index of radio button within the group.</t>
  </si>
  <si>
    <t xml:space="preserve">  onVal </t>
  </si>
  <si>
    <t xml:space="preserve">  Associated selected value.</t>
  </si>
  <si>
    <t xml:space="preserve">  offVal </t>
  </si>
  <si>
    <t xml:space="preserve">  Associated unselected value.</t>
  </si>
  <si>
    <t xml:space="preserve">  visible </t>
  </si>
  <si>
    <t xml:space="preserve">  Visibility.</t>
  </si>
  <si>
    <t xml:space="preserve">  active </t>
  </si>
  <si>
    <t xml:space="preserve">  Active (greyed-in) status.</t>
  </si>
  <si>
    <t xml:space="preserve">  callback </t>
  </si>
  <si>
    <t xml:space="preserve">  Callback string.</t>
  </si>
  <si>
    <t xml:space="preserve">  tag </t>
  </si>
  <si>
    <t xml:space="preserve">  Tag text.</t>
  </si>
  <si>
    <t xml:space="preserve">  SetPopup( MENU )</t>
  </si>
  <si>
    <t xml:space="preserve">  RemovePopup( MENU )</t>
  </si>
  <si>
    <t xml:space="preserve">  Refresh( )</t>
  </si>
  <si>
    <t xml:space="preserve">  SetToolTip( STRING )</t>
  </si>
  <si>
    <t xml:space="preserve">  Sets or edits the text of the TOOLTIP.</t>
  </si>
  <si>
    <t xml:space="preserve">  Type( )</t>
  </si>
  <si>
    <t xml:space="preserve">  Selected field number of a single choice list. (1,2,…)</t>
  </si>
  <si>
    <t xml:space="preserve">  ARRAY OF REAL  Get/Set </t>
  </si>
  <si>
    <t xml:space="preserve">  Selected field numbers of a multiple choice list. (1,2,…)</t>
  </si>
  <si>
    <t xml:space="preserve">  STRING ARRAY  Get/Set </t>
  </si>
  <si>
    <t xml:space="preserve">  Select(STRING text, STRING value) </t>
  </si>
  <si>
    <t xml:space="preserve">  Select specified item in a selector. text must be ‘Rtext’ or ‘Dtext’. value is the field RTEXT or DTEXT to be selected.</t>
  </si>
  <si>
    <t xml:space="preserve">  Select(STRING text, Array values)</t>
  </si>
  <si>
    <t xml:space="preserve">  Select multiple choice selector fields by value: text must be ‘Rtext’ or ‘Dtext’. The values array contains the RTEXT or DTEXT of the fields to be selected.</t>
  </si>
  <si>
    <t xml:space="preserve">  Selection(STRING text)  </t>
  </si>
  <si>
    <t xml:space="preserve">  STRING ARRAY OF STRING</t>
  </si>
  <si>
    <t xml:space="preserve">  Get current selection: text must be ‘Rtext’ or ‘Dtext’. The value of  Selection is the RTEXT or DTEXT of the selected field or fields.</t>
  </si>
  <si>
    <t xml:space="preserve">  Clear selector contents.</t>
  </si>
  <si>
    <t xml:space="preserve">  Clear selections only.</t>
  </si>
  <si>
    <t xml:space="preserve">  UniqueID </t>
  </si>
  <si>
    <t xml:space="preserve">  Internal ID </t>
  </si>
  <si>
    <t xml:space="preserve">  Name  </t>
  </si>
  <si>
    <t xml:space="preserve">  Session Name</t>
  </si>
  <si>
    <t xml:space="preserve">  Login  </t>
  </si>
  <si>
    <t xml:space="preserve">  User’s login ID</t>
  </si>
  <si>
    <t xml:space="preserve">  Host  </t>
  </si>
  <si>
    <t xml:space="preserve">  ID of the Machine running the session</t>
  </si>
  <si>
    <t xml:space="preserve">  Entered  </t>
  </si>
  <si>
    <t xml:space="preserve">  Time of entering the session</t>
  </si>
  <si>
    <t xml:space="preserve">  LocationName </t>
  </si>
  <si>
    <t xml:space="preserve">  Name  of  Location  for Session</t>
  </si>
  <si>
    <t xml:space="preserve">  IsRemote </t>
  </si>
  <si>
    <t xml:space="preserve">  True for Sessions at Remote locations</t>
  </si>
  <si>
    <t xml:space="preserve">  IsCurrent  </t>
  </si>
  <si>
    <t xml:space="preserve">  TRUE  for  User’s  own SESSION object</t>
  </si>
  <si>
    <t xml:space="preserve">  SESSION (STRING)</t>
  </si>
  <si>
    <t xml:space="preserve">  Returns a SESSION object, given a string containing a session's Unique-id.</t>
  </si>
  <si>
    <t xml:space="preserve">  ConfirmID (STRING)</t>
  </si>
  <si>
    <t xml:space="preserve">  Returns TRUE if the password specified by the STRING is correct for the currently logged-in user. (The STRING value must include the leading ‘/’ character).</t>
  </si>
  <si>
    <t xml:space="preserve">  Current() </t>
  </si>
  <si>
    <t xml:space="preserve">  List of Current DBs in the MDB of the SESSION object.</t>
  </si>
  <si>
    <t xml:space="preserve">  Deferred() </t>
  </si>
  <si>
    <t xml:space="preserve">  List Deferred DB’s in the MDB of the SESSION object.</t>
  </si>
  <si>
    <t xml:space="preserve">  Location()</t>
  </si>
  <si>
    <t xml:space="preserve">  Return LOCATION to which the Session applies. In a non-Global project, returns NULL or error.</t>
  </si>
  <si>
    <t xml:space="preserve">  MDB() </t>
  </si>
  <si>
    <t xml:space="preserve">  The current MDB of the SESSION.</t>
  </si>
  <si>
    <t xml:space="preserve">  Mode() </t>
  </si>
  <si>
    <t xml:space="preserve">  List of potential access modes as ‘R’ , ‘RW’  or ‘N’ for each of the current DBs.</t>
  </si>
  <si>
    <t xml:space="preserve">  Modified() </t>
  </si>
  <si>
    <t xml:space="preserve">  TRUE if database has been modified.</t>
  </si>
  <si>
    <t xml:space="preserve">  Module() </t>
  </si>
  <si>
    <t xml:space="preserve">  Name of the current module.</t>
  </si>
  <si>
    <t xml:space="preserve">  Status() </t>
  </si>
  <si>
    <t xml:space="preserve">  List of current access modes as ‘R’ , ‘RW’  or ‘N’ for each of the current DBs.</t>
  </si>
  <si>
    <t xml:space="preserve">  User() </t>
  </si>
  <si>
    <t xml:space="preserve">  USER</t>
  </si>
  <si>
    <t xml:space="preserve">  The user of this SESSION object.</t>
  </si>
  <si>
    <t xml:space="preserve">  Tag text - not displayed for this gadget.</t>
  </si>
  <si>
    <t xml:space="preserve">  Current value as integer.</t>
  </si>
  <si>
    <t xml:space="preserve">  background</t>
  </si>
  <si>
    <t xml:space="preserve">  Background Colour Number.</t>
  </si>
  <si>
    <t xml:space="preserve">  STRING Set only</t>
  </si>
  <si>
    <t xml:space="preserve">  Background Colour Name. </t>
  </si>
  <si>
    <t xml:space="preserve">  range  </t>
  </si>
  <si>
    <t xml:space="preserve">  REAL ARRAY  Get/Set</t>
  </si>
  <si>
    <t xml:space="preserve">  Range Start, End and optional Step(&gt;0) as integers. The start value may be less than the end value. Array size must be 2 or more.</t>
  </si>
  <si>
    <t xml:space="preserve">  tickstyle </t>
  </si>
  <si>
    <t xml:space="preserve">  Tick style as integer. 0 - none, 1 - right or bottom, 2 top or left, 3 - both 1 and 2</t>
  </si>
  <si>
    <t xml:space="preserve">  Sets or edits the text of the Tooltip.</t>
  </si>
  <si>
    <t xml:space="preserve">  Get the gadget type as a string i.e. 'SLIDER'.</t>
  </si>
  <si>
    <t xml:space="preserve">  Refresh gadget image.</t>
  </si>
  <si>
    <t xml:space="preserve">  Set keyboard focus to gadget. Allows arrow keys to drive slider.</t>
  </si>
  <si>
    <t xml:space="preserve">  After(STRING two)</t>
  </si>
  <si>
    <t xml:space="preserve">  Return sub-string following leftmost occurrence of substring two.</t>
  </si>
  <si>
    <t xml:space="preserve">  Before(STRING two)</t>
  </si>
  <si>
    <t xml:space="preserve">  Return sub-string before leftmost occurrence of substring two.</t>
  </si>
  <si>
    <t xml:space="preserve">  Block()</t>
  </si>
  <si>
    <t xml:space="preserve">  Make STRING into a BLOCK for evaluation.</t>
  </si>
  <si>
    <t xml:space="preserve">  Boolean()   </t>
  </si>
  <si>
    <t xml:space="preserve">  BOOLEAN   </t>
  </si>
  <si>
    <t xml:space="preserve">  TRUE if STRING is ‘TRUE’, ‘T’, ‘YES’ or ‘Y’; FALSE if STRING is ‘FALSE’, ‘F’, ‘NO’,or ‘N’.</t>
  </si>
  <si>
    <t xml:space="preserve">  Bore()</t>
  </si>
  <si>
    <t xml:space="preserve">  Convert STRING to a BORE (exact conversion - see also NEARESTBORE).</t>
  </si>
  <si>
    <t xml:space="preserve">  Bore(FORMAT)</t>
  </si>
  <si>
    <t xml:space="preserve">  Convert STRING to a BORE using the settings in the global FORMAT object.</t>
  </si>
  <si>
    <t xml:space="preserve">  DBRef()</t>
  </si>
  <si>
    <t xml:space="preserve">  Convert STRING to a DBREF.</t>
  </si>
  <si>
    <t xml:space="preserve">  DBRef(FORMAT)</t>
  </si>
  <si>
    <t xml:space="preserve">  Convert STRING to a DBREF using the settings in the global format object.</t>
  </si>
  <si>
    <t xml:space="preserve">  Digits()</t>
  </si>
  <si>
    <t xml:space="preserve">  If String contains decimal digits only, then return the positive value represented, else return value -1.0. This handles the digit characters from any Unicode supported language.</t>
  </si>
  <si>
    <t xml:space="preserve">  Direction()</t>
  </si>
  <si>
    <t xml:space="preserve">  Convert  STRING  to  a DIRECTION.</t>
  </si>
  <si>
    <t xml:space="preserve">  Direction(FORMAT)</t>
  </si>
  <si>
    <t xml:space="preserve">  Convert STRING to a DIRECTION using the settings in the global format object.</t>
  </si>
  <si>
    <t xml:space="preserve">  TRUE for empty zero-length string.</t>
  </si>
  <si>
    <t xml:space="preserve">  EQNoCase( STRING )</t>
  </si>
  <si>
    <t xml:space="preserve">  Compare equal ignoring case, with given string.</t>
  </si>
  <si>
    <t xml:space="preserve">  isDigits()</t>
  </si>
  <si>
    <t xml:space="preserve">  String is a contiguous string of decimal digits only. This includes the digit characters from any Unicode supported language.</t>
  </si>
  <si>
    <t xml:space="preserve">  isLetters( )</t>
  </si>
  <si>
    <t xml:space="preserve">  String is a contiguous string of letters only. This includes the letter characters from any Unicode supported language.</t>
  </si>
  <si>
    <t xml:space="preserve">  isLettersAndDigits( )</t>
  </si>
  <si>
    <t xml:space="preserve">  String is a contiguous string of letters and decimal digits only. This includes the letters and digits characters from any Unicode supported language.</t>
  </si>
  <si>
    <t xml:space="preserve">  Number  of  characters  in string.</t>
  </si>
  <si>
    <t xml:space="preserve">  LowCase()</t>
  </si>
  <si>
    <t xml:space="preserve">  Convert string to lower case.</t>
  </si>
  <si>
    <t xml:space="preserve">  LT(STRING)</t>
  </si>
  <si>
    <t xml:space="preserve">  Comparison using ASCII collating sequence.</t>
  </si>
  <si>
    <t xml:space="preserve">  Match(STRING two)</t>
  </si>
  <si>
    <t xml:space="preserve">  Location of start of sub-string two within first string - zero returned if not found.</t>
  </si>
  <si>
    <t xml:space="preserve">  MatchWild(STRING two)   </t>
  </si>
  <si>
    <t xml:space="preserve">  TRUE if strings are the same. STRING two may contain wildcard characters: ·* for  any  number  of characters  ·? for any single character.</t>
  </si>
  <si>
    <t xml:space="preserve">  MatchWild(STRING two, STRING multiple)</t>
  </si>
  <si>
    <t xml:space="preserve">  TRUE if strings are the same as above but multiple redefines the wildcard for any number of characters.</t>
  </si>
  <si>
    <t xml:space="preserve">  MatchWild(STRING two, STRING multiple,STRING single)</t>
  </si>
  <si>
    <t xml:space="preserve">  TRUE if strings are the same as above but multiple redefines the wildcard for any number of characters and single also redefines that for a single character.</t>
  </si>
  <si>
    <t xml:space="preserve">  Occurs(STRING)</t>
  </si>
  <si>
    <t xml:space="preserve">  Returns the number of occurrences of the given string.</t>
  </si>
  <si>
    <t xml:space="preserve">  Orientation()</t>
  </si>
  <si>
    <t xml:space="preserve">  Convert  STRING  to  an ORIENTATION.</t>
  </si>
  <si>
    <t xml:space="preserve">  Orientation(FORMAT !!format)</t>
  </si>
  <si>
    <t xml:space="preserve">  Convert STRING to an ORIENTATION using the settings in the global !!format.</t>
  </si>
  <si>
    <t xml:space="preserve">  Part(REAL nth)</t>
  </si>
  <si>
    <t xml:space="preserve">  Extract nth field from string where fields are delimited by space, tab or newline.</t>
  </si>
  <si>
    <t xml:space="preserve">  Part(REAL nth,STRING delim)</t>
  </si>
  <si>
    <t xml:space="preserve">  Extract nth field from string where fields are delimited by delim.</t>
  </si>
  <si>
    <t xml:space="preserve">  Position() </t>
  </si>
  <si>
    <t xml:space="preserve">  Convert  STRING  to  a POSITION.</t>
  </si>
  <si>
    <t xml:space="preserve">  Position(FORMAT !!format)</t>
  </si>
  <si>
    <t xml:space="preserve">  Convert STRING to a POSITION using the settings in the global !!format object.</t>
  </si>
  <si>
    <t xml:space="preserve">  REAL()</t>
  </si>
  <si>
    <t xml:space="preserve">  Convert to a number.</t>
  </si>
  <si>
    <t xml:space="preserve">  Replace(STRING two,STRING three)</t>
  </si>
  <si>
    <t xml:space="preserve">  Replace all occurrences of sub-string two with sub-string three.</t>
  </si>
  <si>
    <t xml:space="preserve">  Replace(STRING two,STRING three,REAL nth)</t>
  </si>
  <si>
    <t xml:space="preserve">  Replace all occurrences of sub-string two with sub-string three starting at the nth occurrence (or -nth occurrence from the end).</t>
  </si>
  <si>
    <t xml:space="preserve">  Replace(STRING wo,STRINGt hree,REAL nth,REAL count)</t>
  </si>
  <si>
    <t xml:space="preserve">  Replace count  occurrences of sub-string two with substring three starting at the nth occurrence (or -nth occurrence from the end).</t>
  </si>
  <si>
    <t xml:space="preserve">  Split string into an ARRAY of STRINGS at space (multiple spaces compressed).</t>
  </si>
  <si>
    <t xml:space="preserve">  Split(STRING elim)</t>
  </si>
  <si>
    <t xml:space="preserve">  Split string into an ARRAY of STRINGS at delim (multiples of delim not compressed).</t>
  </si>
  <si>
    <t xml:space="preserve">  String(BLOCK)</t>
  </si>
  <si>
    <t xml:space="preserve">  Creates a STRING from a BLOCK expression.</t>
  </si>
  <si>
    <t xml:space="preserve">  String(BOOLEAN)</t>
  </si>
  <si>
    <t xml:space="preserve">  Creates a STRING equal to TRUE or FALSE.</t>
  </si>
  <si>
    <t xml:space="preserve">  String(BOOLEAN,FORMAT)</t>
  </si>
  <si>
    <t xml:space="preserve">  Creates a STRING from a BOOLEAN, as specified in the FORMAT object.</t>
  </si>
  <si>
    <t xml:space="preserve">  String(BORE)</t>
  </si>
  <si>
    <t xml:space="preserve">  Creates a STRING from a BORE.</t>
  </si>
  <si>
    <t xml:space="preserve">  String(BORE,FORMAT)</t>
  </si>
  <si>
    <t xml:space="preserve">  Creates a STRING from a BORE, as specified in the FORMAT object.</t>
  </si>
  <si>
    <t xml:space="preserve">  String(DB)</t>
  </si>
  <si>
    <t xml:space="preserve">  Creates a STRING containing the DB name.</t>
  </si>
  <si>
    <t xml:space="preserve">  String(DB,FORMAT)</t>
  </si>
  <si>
    <t xml:space="preserve">  Creates a STRING containing the DB name. The FORMAT argument is required for consistency by Forms and Menus.</t>
  </si>
  <si>
    <t xml:space="preserve">  String(DIRECTION)</t>
  </si>
  <si>
    <t xml:space="preserve">  Creates a STRING from a DIRECTION.</t>
  </si>
  <si>
    <t xml:space="preserve">  String(DIRECTION,FORMAT)</t>
  </si>
  <si>
    <t xml:space="preserve">  Creates a STRING from a Direction, as specified in the FORMAT object.</t>
  </si>
  <si>
    <t xml:space="preserve">  Convert STRING to a STRING using the settings in the global FORMAT object.</t>
  </si>
  <si>
    <t xml:space="preserve">  String(MDB)</t>
  </si>
  <si>
    <t xml:space="preserve">  Creates a STRING containing the MDB name.</t>
  </si>
  <si>
    <t xml:space="preserve">  String(ORIENTATION) </t>
  </si>
  <si>
    <t xml:space="preserve">  Creates a STRING from an Orientation.</t>
  </si>
  <si>
    <t xml:space="preserve">  String(ORIENTATION,FORMAT)</t>
  </si>
  <si>
    <t xml:space="preserve">  Creates a STRING from an Orientation, as specified in the FORMAT object.</t>
  </si>
  <si>
    <t xml:space="preserve">  String(POSITION)</t>
  </si>
  <si>
    <t xml:space="preserve">  Creates a STRING from a POSITION.</t>
  </si>
  <si>
    <t xml:space="preserve">  String(POSITION,FORMAT)</t>
  </si>
  <si>
    <t xml:space="preserve">  Creates a STRING from a POSITION, as specified in the FORMAT object.</t>
  </si>
  <si>
    <t xml:space="preserve">  String(PROJECT)</t>
  </si>
  <si>
    <t xml:space="preserve">  Creates a STRING containing the PROJECT code.</t>
  </si>
  <si>
    <t xml:space="preserve">  String(REAL)</t>
  </si>
  <si>
    <t xml:space="preserve">  Creates a STRING from a REAL.</t>
  </si>
  <si>
    <t xml:space="preserve">  String(REAL,FORMAT)</t>
  </si>
  <si>
    <t xml:space="preserve">  Creates a STRING from a REAL, as specified in the FORMAT object.</t>
  </si>
  <si>
    <t xml:space="preserve">  String(REAL,STRING) </t>
  </si>
  <si>
    <t xml:space="preserve">  Creates a STRING from a REAL. The STRING argument  is present for converting the number of decimal places when given in the obsolete format  Dn.</t>
  </si>
  <si>
    <t xml:space="preserve">  String(SESSION)</t>
  </si>
  <si>
    <t xml:space="preserve">  Creates a STRING containing the SESSION number.</t>
  </si>
  <si>
    <t xml:space="preserve">  String(TEAM)</t>
  </si>
  <si>
    <t xml:space="preserve">  Creates a STRING containing the TEAM name.</t>
  </si>
  <si>
    <t xml:space="preserve">  String(USER)</t>
  </si>
  <si>
    <t xml:space="preserve">  Creates a STRING containing the USER name.</t>
  </si>
  <si>
    <t xml:space="preserve">  Substring(REAL index,REAL nchars)</t>
  </si>
  <si>
    <t xml:space="preserve">  Returns a sub-string, nchars in length, starting at index.</t>
  </si>
  <si>
    <t xml:space="preserve">  Substring(REALindex)</t>
  </si>
  <si>
    <t xml:space="preserve">  Returns a sub-string from index to the end of the string</t>
  </si>
  <si>
    <t xml:space="preserve">  Trim()</t>
  </si>
  <si>
    <t xml:space="preserve">  Remove initial and trailing spaces.</t>
  </si>
  <si>
    <t xml:space="preserve">  Trim(STRING options,STRING char) </t>
  </si>
  <si>
    <t xml:space="preserve">  Reduce multiple occurrences of char to a single occurrence throughout the STRING (options = ‘M’).</t>
  </si>
  <si>
    <t xml:space="preserve">  Trim(STRING‘options’)  </t>
  </si>
  <si>
    <t xml:space="preserve">  Remove  initial  spaces (options =‘L’), trailing spaces (options = ‘R’) or both (options =’LR’).</t>
  </si>
  <si>
    <t xml:space="preserve">  UpCase()</t>
  </si>
  <si>
    <t xml:space="preserve">  Convert STRING to upper case.</t>
  </si>
  <si>
    <t xml:space="preserve">  VLogical()</t>
  </si>
  <si>
    <t xml:space="preserve">  Evaluate STRING as a BOOLEAN.</t>
  </si>
  <si>
    <t xml:space="preserve">  VText()</t>
  </si>
  <si>
    <t xml:space="preserve">  Evaluate STRING as a STRING.</t>
  </si>
  <si>
    <t xml:space="preserve">  VValue()</t>
  </si>
  <si>
    <t xml:space="preserve">  Evaluate STRING as a REAL.</t>
  </si>
  <si>
    <t xml:space="preserve">  Constructor (initialises all the object settings)</t>
  </si>
  <si>
    <t xml:space="preserve">  Table(DBREF ARRAY, COLUMN ARRAY)</t>
  </si>
  <si>
    <t xml:space="preserve">  Constructor that passes the Primary Key as an ARRAY of DBREFS and the columns as an ARRAY of COLUMNS</t>
  </si>
  <si>
    <t xml:space="preserve">  Table(COLLECTION, COLUMNARRAY) </t>
  </si>
  <si>
    <t xml:space="preserve">  Constructor that passes the Primary Key as a COLLECTION and the columns as an ARRAY of COLUMNS.</t>
  </si>
  <si>
    <t xml:space="preserve">  PrimaryKey(COLLECTION)</t>
  </si>
  <si>
    <t xml:space="preserve">  User defined Primary Key populated directly from a COLLECTION.</t>
  </si>
  <si>
    <t xml:space="preserve">  PrimaryKey(ARRAY of DBREF)</t>
  </si>
  <si>
    <t xml:space="preserve">  User defined Primary Key.</t>
  </si>
  <si>
    <t xml:space="preserve">  Column(REAL n, COLUMN)</t>
  </si>
  <si>
    <t xml:space="preserve">  Replaces the -nth column of the table.</t>
  </si>
  <si>
    <t xml:space="preserve">  ClearColumns()</t>
  </si>
  <si>
    <t xml:space="preserve">  Clears all the columns from the table.</t>
  </si>
  <si>
    <t xml:space="preserve">  Columns(COLUMN ARRAY)</t>
  </si>
  <si>
    <t xml:space="preserve">  Sets up the columns from an ARRAY of COLUMN objects.</t>
  </si>
  <si>
    <t xml:space="preserve">  Evaluates the complete table.</t>
  </si>
  <si>
    <t xml:space="preserve">  EvaluatePrimaryKey() </t>
  </si>
  <si>
    <t xml:space="preserve">  Re-evaluates  the  Primary Key collection.</t>
  </si>
  <si>
    <t xml:space="preserve">  PrimaryKey() </t>
  </si>
  <si>
    <t xml:space="preserve">  Returns the primary Key of the table, reference list for the columns of the table.</t>
  </si>
  <si>
    <t xml:space="preserve">  Columns()</t>
  </si>
  <si>
    <t xml:space="preserve">  COLUMN ARRAY</t>
  </si>
  <si>
    <t xml:space="preserve">  Returns  the  column definitions.  The order of the columns is important when sorting.</t>
  </si>
  <si>
    <t xml:space="preserve">  Cell(REAL column, REAL row)</t>
  </si>
  <si>
    <t xml:space="preserve">  Returns the contents of the cell at the column and row.</t>
  </si>
  <si>
    <t xml:space="preserve">  Column(REAL, n)</t>
  </si>
  <si>
    <t xml:space="preserve">  Returns the contents of nth column.</t>
  </si>
  <si>
    <t xml:space="preserve">  Row(REAL, n)</t>
  </si>
  <si>
    <t xml:space="preserve">  Returns the contents of nth row.</t>
  </si>
  <si>
    <t xml:space="preserve">  Cell(STRING key, DBREF)</t>
  </si>
  <si>
    <t xml:space="preserve">  Contents of the cell at the column and row.</t>
  </si>
  <si>
    <t xml:space="preserve">  Column(STRING key)</t>
  </si>
  <si>
    <t xml:space="preserve">  Returns the contents of column identified by key.</t>
  </si>
  <si>
    <t xml:space="preserve">  Row(DBREF)</t>
  </si>
  <si>
    <t xml:space="preserve">  Returns the contents of row identified by DBREF.</t>
  </si>
  <si>
    <t xml:space="preserve">  Name of the TEAM, up to 32 characters.</t>
  </si>
  <si>
    <t xml:space="preserve">  TEAM description, up to 120 characters.</t>
  </si>
  <si>
    <t xml:space="preserve">  Refno </t>
  </si>
  <si>
    <t xml:space="preserve">  STRING  containing Database reference number.</t>
  </si>
  <si>
    <t xml:space="preserve">  DbList()</t>
  </si>
  <si>
    <t xml:space="preserve">  List of DBs owned by the TEAM.</t>
  </si>
  <si>
    <t xml:space="preserve">  ARRAY OF USER</t>
  </si>
  <si>
    <t xml:space="preserve">  List of USERS in the TEAM.</t>
  </si>
  <si>
    <t xml:space="preserve">  TEAM(DBREF)</t>
  </si>
  <si>
    <t xml:space="preserve">  Returns a TEAM object, given a DBREF.</t>
  </si>
  <si>
    <t xml:space="preserve">  TEAM(STRING)</t>
  </si>
  <si>
    <t xml:space="preserve">  Returns a TEAM object, given a name or reference number.</t>
  </si>
  <si>
    <t xml:space="preserve">  Set or get the contents of STRING type TEXT field.</t>
  </si>
  <si>
    <t xml:space="preserve">  Val   </t>
  </si>
  <si>
    <t xml:space="preserve">  Set or get the contents of REAL type TEXT field.</t>
  </si>
  <si>
    <t xml:space="preserve">  Set or get the contents of BOOLEAN type TEXT field.</t>
  </si>
  <si>
    <t xml:space="preserve">  'AS DEFINED Get/Set</t>
  </si>
  <si>
    <t xml:space="preserve">  Set or get the contents of the field according to the user defined type.</t>
  </si>
  <si>
    <t xml:space="preserve">  DataType</t>
  </si>
  <si>
    <t xml:space="preserve">  Get the type of the field.</t>
  </si>
  <si>
    <t xml:space="preserve">  Echo </t>
  </si>
  <si>
    <t xml:space="preserve">  Get the Echo Status. Noecho means that typed characters will all appear as asterisks.</t>
  </si>
  <si>
    <t xml:space="preserve">  Format</t>
  </si>
  <si>
    <t xml:space="preserve">  Get the name of the format object associated with the field.</t>
  </si>
  <si>
    <t xml:space="preserve">  Get the Scroll Width.</t>
  </si>
  <si>
    <t xml:space="preserve">  ValidateCall </t>
  </si>
  <si>
    <t xml:space="preserve">  Set/get user-defined validation callback.</t>
  </si>
  <si>
    <t xml:space="preserve">  Controls the ability to interactively edit the content of a text field.</t>
  </si>
  <si>
    <t xml:space="preserve">  Clear gadget contents.</t>
  </si>
  <si>
    <t xml:space="preserve">  SetEditable(BOOLEAN)</t>
  </si>
  <si>
    <t xml:space="preserve">  Sets the editable status for the field.</t>
  </si>
  <si>
    <t xml:space="preserve">  SetValue(ANY value, BOOLEAN validate)</t>
  </si>
  <si>
    <t xml:space="preserve">  Sets the value of the field, checking for valid type and format. If validate  is TRUE, the validation callback will be executed.</t>
  </si>
  <si>
    <t xml:space="preserve">  Get the gadget type as a string i.e. 'TEXT'.</t>
  </si>
  <si>
    <t xml:space="preserve">  Seteditable( STRING attrib,  REAL value)   </t>
  </si>
  <si>
    <t xml:space="preserve">  NO RESULT    </t>
  </si>
  <si>
    <t xml:space="preserve">  Specify value of named attribute. Currently the only attribute supported is HANDLEMODIFY which determines when the text MODIFIED events are fired. It has values: 0                MODIFIED  events  off (default). 1                Generate MODIFIED eventfor first user modification. 2                Generate MODIFIED eventfor all user modifications.</t>
  </si>
  <si>
    <t xml:space="preserve">  ARRAY OF STRING Get/Set </t>
  </si>
  <si>
    <t xml:space="preserve">  Get or set the contents of the text pane.</t>
  </si>
  <si>
    <t xml:space="preserve">  Count  </t>
  </si>
  <si>
    <t xml:space="preserve">  Get the number of lines of text in the gadget.</t>
  </si>
  <si>
    <t xml:space="preserve">  Get  the  full  gadget  name, e.g.'!!Form.gadget'.</t>
  </si>
  <si>
    <t xml:space="preserve">  Clear all lines from the gadget </t>
  </si>
  <si>
    <t xml:space="preserve">  Line(REAL )</t>
  </si>
  <si>
    <t xml:space="preserve">  Get the text of given line</t>
  </si>
  <si>
    <t xml:space="preserve">  SetLine(REAL, STRING)</t>
  </si>
  <si>
    <t xml:space="preserve">  Replace specifie STRING. d line number by</t>
  </si>
  <si>
    <t xml:space="preserve">  CurPos()</t>
  </si>
  <si>
    <t xml:space="preserve">  ARRAY[2] OF REAL</t>
  </si>
  <si>
    <t xml:space="preserve">  Get  cursor character). position  (line,</t>
  </si>
  <si>
    <t xml:space="preserve">  SetCurPos(REAL[2])</t>
  </si>
  <si>
    <t xml:space="preserve">  Set  cursor character). position  (line,</t>
  </si>
  <si>
    <t xml:space="preserve">  SetCurPos(REAL, REAL)</t>
  </si>
  <si>
    <t xml:space="preserve">  Set edit status.</t>
  </si>
  <si>
    <t xml:space="preserve">  Background()</t>
  </si>
  <si>
    <t xml:space="preserve">  Get Background Colour Name.</t>
  </si>
  <si>
    <t xml:space="preserve">  Val  Methods</t>
  </si>
  <si>
    <t xml:space="preserve">  Toggles value TRUE and FALSE. between</t>
  </si>
  <si>
    <t xml:space="preserve">  Moves keyboard focus to this gadget.</t>
  </si>
  <si>
    <t xml:space="preserve">  SetToolTip</t>
  </si>
  <si>
    <t xml:space="preserve">  description(STRING)</t>
  </si>
  <si>
    <t xml:space="preserve">  Adds description text to the undoable</t>
  </si>
  <si>
    <t xml:space="preserve">  add()</t>
  </si>
  <si>
    <t xml:space="preserve">  Marks the database with the description text and adds this undoable to the undo stack</t>
  </si>
  <si>
    <t xml:space="preserve">  endundoable()</t>
  </si>
  <si>
    <t xml:space="preserve">  Marks the database again at the end of the change.</t>
  </si>
  <si>
    <t xml:space="preserve">  undoAction (STRING)</t>
  </si>
  <si>
    <t xml:space="preserve">  Specify a command to be executed when this undoable is taken off the undo stack</t>
  </si>
  <si>
    <t xml:space="preserve">  redoAction(STRING)</t>
  </si>
  <si>
    <t xml:space="preserve">  Specify a command to execute when this undoable is taken off the redo stack.</t>
  </si>
  <si>
    <t xml:space="preserve">  clearAction(STRING)</t>
  </si>
  <si>
    <t xml:space="preserve">  Specify a command to execute when this undoable is cleared without any associated undo/ redo being performed.</t>
  </si>
  <si>
    <t xml:space="preserve">  Unit(REAL) </t>
  </si>
  <si>
    <t xml:space="preserve">  Creates a UNIT of which the value of REAL is a (valid) enum value, or is a negative (compound) unit.</t>
  </si>
  <si>
    <t xml:space="preserve">  Unit(STRING) </t>
  </si>
  <si>
    <t xml:space="preserve">  Creates a UNIT with String equivalent to (in order) Description, Name, ComponentName, or Hashcode.</t>
  </si>
  <si>
    <t xml:space="preserve">  Description()  String()</t>
  </si>
  <si>
    <t xml:space="preserve">  Long description of unit, very often same as Name()</t>
  </si>
  <si>
    <t xml:space="preserve">  Unit name used as qualifier for solitary units</t>
  </si>
  <si>
    <t xml:space="preserve">  ShortName()</t>
  </si>
  <si>
    <t xml:space="preserve">  Short name used as qualifier for component units. Very often same as Name()</t>
  </si>
  <si>
    <t xml:space="preserve">  Hash code of unit.  If a compound unit returns 'COMPOUND', if derived from component standard units (e.g. Area units are Distance squared) returns 'DRVD'.</t>
  </si>
  <si>
    <t xml:space="preserve">  Enum() </t>
  </si>
  <si>
    <t xml:space="preserve">  Unique integer ID for this unit. Positive if standard unit. Negative if compound unit.</t>
  </si>
  <si>
    <t xml:space="preserve">  Factor()</t>
  </si>
  <si>
    <t xml:space="preserve">  Conversion factor to database units.</t>
  </si>
  <si>
    <t xml:space="preserve">  Dimension of unit.</t>
  </si>
  <si>
    <t xml:space="preserve">  TRUE if a standard, single, unit. FALSE if a compound unit (e.g. kg/m3, m2)</t>
  </si>
  <si>
    <t xml:space="preserve">  TRUE if units are NONE.</t>
  </si>
  <si>
    <t xml:space="preserve">  ARRAY  of UNITS</t>
  </si>
  <si>
    <t xml:space="preserve">  Set of all named, standard Units.</t>
  </si>
  <si>
    <t xml:space="preserve">  IsImperial()</t>
  </si>
  <si>
    <t xml:space="preserve">  TRUE if an exclusively imperial unit (e.g. inch, lb) or a non specific unit (e.g. second, ohm, degree).</t>
  </si>
  <si>
    <t xml:space="preserve">  IsMetric()</t>
  </si>
  <si>
    <t xml:space="preserve">  TRUE if an exclusively metric unit (e.g. mm, kg) or a non specific unit used in metric situations.</t>
  </si>
  <si>
    <t xml:space="preserve">  The name of the User, up to 32 characters.</t>
  </si>
  <si>
    <t xml:space="preserve">  User’s description, up to 120 characters.</t>
  </si>
  <si>
    <t xml:space="preserve">  Access</t>
  </si>
  <si>
    <t xml:space="preserve">  User’s access rights (FREE, GENERAL, RESTRICTED).</t>
  </si>
  <si>
    <t xml:space="preserve">  TeamList() </t>
  </si>
  <si>
    <t xml:space="preserve">  ARRAY OF USERS </t>
  </si>
  <si>
    <t xml:space="preserve">  List of TEAMs including this USER.</t>
  </si>
  <si>
    <t xml:space="preserve">  WorkingList()  </t>
  </si>
  <si>
    <t xml:space="preserve">  List of working extract DBS owned by a User.</t>
  </si>
  <si>
    <t xml:space="preserve">  Password()</t>
  </si>
  <si>
    <t xml:space="preserve">  No value.</t>
  </si>
  <si>
    <t xml:space="preserve">  USER(DBREF)</t>
  </si>
  <si>
    <t xml:space="preserve">  Returns a USER object, given a DBREF.</t>
  </si>
  <si>
    <t xml:space="preserve">  USER(STRING)</t>
  </si>
  <si>
    <t xml:space="preserve">  Returns a USER object, given a name or reference number.</t>
  </si>
  <si>
    <t xml:space="preserve">  Verify( )</t>
  </si>
  <si>
    <t xml:space="preserve">  PMLUSERLOGIN</t>
  </si>
  <si>
    <t xml:space="preserve">  After(DATETIME)</t>
  </si>
  <si>
    <t xml:space="preserve">  Verify after the specified date</t>
  </si>
  <si>
    <t xml:space="preserve">  Before(DATETIME)</t>
  </si>
  <si>
    <t xml:space="preserve">  Verify before the specified date</t>
  </si>
  <si>
    <t xml:space="preserve">  Hostname(STRING)</t>
  </si>
  <si>
    <t xml:space="preserve">  Verify current computer hostname matches single hostname passed as STRING</t>
  </si>
  <si>
    <t xml:space="preserve">  Hostname(ARRAY)</t>
  </si>
  <si>
    <t xml:space="preserve">  Verify  current  computer hostname matches one of a set of hostnames passed as ARRAY of STRING</t>
  </si>
  <si>
    <t xml:space="preserve">  WinUser(STRING) </t>
  </si>
  <si>
    <t xml:space="preserve">  Verify current Windows user matches single username passed as STRING</t>
  </si>
  <si>
    <t xml:space="preserve">  WinUser(ARRAY)</t>
  </si>
  <si>
    <t xml:space="preserve">  Verify current Windows user matches one of a set of usernames passed as ARRAY of STRING</t>
  </si>
  <si>
    <t xml:space="preserve">  .viewFinder(DBREF)</t>
  </si>
  <si>
    <t xml:space="preserve">  Creates a viewfinder object based on the parameters of the Draft View. The input argument must be the dbref of a valid View .</t>
  </si>
  <si>
    <t xml:space="preserve">  .view(DBREF) Methods </t>
  </si>
  <si>
    <t xml:space="preserve">  Sets the associated View object using the DBREF which must be a valid view </t>
  </si>
  <si>
    <t xml:space="preserve">  .redraw() </t>
  </si>
  <si>
    <t xml:space="preserve">  Redraws the box using current state of View parameters</t>
  </si>
  <si>
    <t xml:space="preserve">  .update3d()</t>
  </si>
  <si>
    <t xml:space="preserve">  Regenerates frame and 3d model view from the 2d view</t>
  </si>
  <si>
    <t xml:space="preserve">  .colour ( REAL)</t>
  </si>
  <si>
    <t xml:space="preserve">  Changes colour to the PDMS colour number specified</t>
  </si>
  <si>
    <t xml:space="preserve">  .translucency(BOOLEAN)</t>
  </si>
  <si>
    <t xml:space="preserve">  Switches translucency on or off</t>
  </si>
  <si>
    <t xml:space="preserve">  .align()</t>
  </si>
  <si>
    <t xml:space="preserve">  Aligns the viewfinder frame with the 3d view direction</t>
  </si>
  <si>
    <t xml:space="preserve">  .lock(BOOLEAN)  </t>
  </si>
  <si>
    <t xml:space="preserve">  Locks/unlocks  the frame so it cannot be moved</t>
  </si>
  <si>
    <t xml:space="preserve">  .dynamic(BOOLEAN)  </t>
  </si>
  <si>
    <t xml:space="preserve">  If true, update design will automatically occur whenever the frame is moved</t>
  </si>
  <si>
    <t xml:space="preserve">  .hide()</t>
  </si>
  <si>
    <t xml:space="preserve">  Makes the frame invisible</t>
  </si>
  <si>
    <t xml:space="preserve">  .show() Query Methods</t>
  </si>
  <si>
    <t xml:space="preserve">  Makes the frame visible.  Also expands the clipping planes to make sure they include the frame.</t>
  </si>
  <si>
    <t xml:space="preserve"> valid()</t>
  </si>
  <si>
    <t xml:space="preserve">  Is the viewfinder valid.  This will be true if it was created with a valid View, otherwise false</t>
  </si>
  <si>
    <t xml:space="preserve">  view()</t>
  </si>
  <si>
    <t xml:space="preserve">  Returns the dbref of the associated view object</t>
  </si>
  <si>
    <t xml:space="preserve">  .position()</t>
  </si>
  <si>
    <t xml:space="preserve">  Returns the position of the centre of the viewfinder frame.</t>
  </si>
  <si>
    <t xml:space="preserve">  .direction()</t>
  </si>
  <si>
    <t xml:space="preserve">  Returns the direction of the View associated with the viewfinder</t>
  </si>
  <si>
    <t xml:space="preserve">  size()</t>
  </si>
  <si>
    <t xml:space="preserve">  ARRAY REAL</t>
  </si>
  <si>
    <t xml:space="preserve">  Returns the size of the viewfinder frame ( as Xnnn Ynnn)</t>
  </si>
  <si>
    <t xml:space="preserve"> dynamic()</t>
  </si>
  <si>
    <t xml:space="preserve">  Returns true if in dynamic mode</t>
  </si>
  <si>
    <t xml:space="preserve">  Channel </t>
  </si>
  <si>
    <t xml:space="preserve">  Get  or channel. set  the </t>
  </si>
  <si>
    <t xml:space="preserve">  Clear all lines from the Alpha TTY window.</t>
  </si>
  <si>
    <t xml:space="preserve">  Refresh</t>
  </si>
  <si>
    <t xml:space="preserve">  Set the keyboard focus immediately to this Alpha gadget.</t>
  </si>
  <si>
    <t xml:space="preserve">  removeRequests()</t>
  </si>
  <si>
    <t xml:space="preserve">  Deletes the ‘requests’ channel from the alpha view gadget, and dissociates it from the current Requests IO-channel if necessary.</t>
  </si>
  <si>
    <t xml:space="preserve">  Limits  </t>
  </si>
  <si>
    <t xml:space="preserve">  REAL ARRAY[4] Get/Set</t>
  </si>
  <si>
    <t xml:space="preserve">  Get  or  set  limits  box [x1,y1,x2,y2].</t>
  </si>
  <si>
    <t xml:space="preserve">  Borders  </t>
  </si>
  <si>
    <t xml:space="preserve">  Get or set borders ON (TRUE) or OFF (FALSE).</t>
  </si>
  <si>
    <t xml:space="preserve">  Get or set background Colour Number</t>
  </si>
  <si>
    <t xml:space="preserve">  Set background Colour Name.</t>
  </si>
  <si>
    <t xml:space="preserve">  Contents   </t>
  </si>
  <si>
    <t xml:space="preserve">  REAL ARRAY[2] Get/Set</t>
  </si>
  <si>
    <t xml:space="preserve">  Get or set User contents ID.</t>
  </si>
  <si>
    <t xml:space="preserve">  Defcall </t>
  </si>
  <si>
    <t xml:space="preserve">  Get or set default interaction callback.</t>
  </si>
  <si>
    <t xml:space="preserve">  Height  </t>
  </si>
  <si>
    <t xml:space="preserve">  Get view height.</t>
  </si>
  <si>
    <t xml:space="preserve">  Highlight </t>
  </si>
  <si>
    <t xml:space="preserve">  Get or set highlight Colour Number.</t>
  </si>
  <si>
    <t xml:space="preserve">  Highlight</t>
  </si>
  <si>
    <t xml:space="preserve">  Set highlight Colour Name</t>
  </si>
  <si>
    <t xml:space="preserve">  Prompt </t>
  </si>
  <si>
    <t xml:space="preserve">  GADGET Get/Set</t>
  </si>
  <si>
    <t xml:space="preserve">  Get  or  set  User  Prompt PARAGRAPH gadget.</t>
  </si>
  <si>
    <t xml:space="preserve">  Subtype</t>
  </si>
  <si>
    <t xml:space="preserve">  Get subtype of graphic view.</t>
  </si>
  <si>
    <t xml:space="preserve">  Width  </t>
  </si>
  <si>
    <t xml:space="preserve">  Get view width.</t>
  </si>
  <si>
    <t xml:space="preserve">  Returns the highlight colour as a name string.</t>
  </si>
  <si>
    <t xml:space="preserve">  Clear VIEW contents</t>
  </si>
  <si>
    <t xml:space="preserve">  Highlight()</t>
  </si>
  <si>
    <t xml:space="preserve">  Refreshes the display of the gadget</t>
  </si>
  <si>
    <t xml:space="preserve">  RestoreView(REAL storeNumber)</t>
  </si>
  <si>
    <t xml:space="preserve">  Restores the saved VIEW with the given store number.</t>
  </si>
  <si>
    <t xml:space="preserve">  SaveView(REAL storeNumber)</t>
  </si>
  <si>
    <t xml:space="preserve">  Saves the current VIEW. The number must be in the range 1 to 4.</t>
  </si>
  <si>
    <t xml:space="preserve">  SetSize(REAL width, REAL height)</t>
  </si>
  <si>
    <t xml:space="preserve">  Set VIEW size.</t>
  </si>
  <si>
    <t xml:space="preserve">  Get or set background Colour Number.</t>
  </si>
  <si>
    <t xml:space="preserve">  Set  background  Colour Name.</t>
  </si>
  <si>
    <t xml:space="preserve">  Get or set User Contents ID.</t>
  </si>
  <si>
    <t xml:space="preserve">  Set highlight Colour Name.</t>
  </si>
  <si>
    <t xml:space="preserve">  Get or set User Prompt PARAGRAPH gadget.</t>
  </si>
  <si>
    <t xml:space="preserve">  Add(STRING)</t>
  </si>
  <si>
    <t xml:space="preserve">  Add plot file with name given by STRING. Replaces given plot file if any.</t>
  </si>
  <si>
    <t xml:space="preserve">  Returns the background colour as a name STRING.</t>
  </si>
  <si>
    <t xml:space="preserve">  Clear gadget contents</t>
  </si>
  <si>
    <t xml:space="preserve">  Returns the highlight colour as a name STRING.</t>
  </si>
  <si>
    <t xml:space="preserve">  Set view size.</t>
  </si>
  <si>
    <t xml:space="preserve">  Get  or  set  Background Colour Number</t>
  </si>
  <si>
    <t xml:space="preserve">  Get View Height.</t>
  </si>
  <si>
    <t xml:space="preserve">  Get or set Highlight Colour Number.</t>
  </si>
  <si>
    <t xml:space="preserve">  Set Highlight Colour Name.</t>
  </si>
  <si>
    <t xml:space="preserve">  Get or Set User Prompt paragraph gadget.</t>
  </si>
  <si>
    <t xml:space="preserve">  Get Subtype of graphic view.</t>
  </si>
  <si>
    <t xml:space="preserve">  Get View Width.</t>
  </si>
  <si>
    <t xml:space="preserve">  Get or set Borders ON (TRUE) or OFF (FALSE).</t>
  </si>
  <si>
    <t xml:space="preserve">  Direction  </t>
  </si>
  <si>
    <t xml:space="preserve">  REAL ARRAY[3] Get/Set</t>
  </si>
  <si>
    <t xml:space="preserve">  Direction vector [dE,dN,dU].</t>
  </si>
  <si>
    <t xml:space="preserve">  EyeMode </t>
  </si>
  <si>
    <t xml:space="preserve">  TRUE for Eyemode FALSE for Modelmode.</t>
  </si>
  <si>
    <t xml:space="preserve">  Limits   </t>
  </si>
  <si>
    <t xml:space="preserve">  REAL ARRAY[6] Get/Set</t>
  </si>
  <si>
    <t xml:space="preserve">  Limits  box [E1,E2,N1,N2,U1,U2].</t>
  </si>
  <si>
    <t xml:space="preserve">  Mousemode </t>
  </si>
  <si>
    <t xml:space="preserve">  'ZOOM', 'PAN', 'ROTATE', WALK'.</t>
  </si>
  <si>
    <t xml:space="preserve">  Projection </t>
  </si>
  <si>
    <t xml:space="preserve">  ‘PERSPECTIVE’  or ‘PARALLEL’.</t>
  </si>
  <si>
    <t xml:space="preserve">  View Radius distance &gt;0.</t>
  </si>
  <si>
    <t xml:space="preserve">  Range </t>
  </si>
  <si>
    <t xml:space="preserve">  Range distance &gt;0.</t>
  </si>
  <si>
    <t xml:space="preserve">  RestoreView </t>
  </si>
  <si>
    <t xml:space="preserve">  Restores view saved as given view number.</t>
  </si>
  <si>
    <t xml:space="preserve">  SaveView </t>
  </si>
  <si>
    <t xml:space="preserve">  Saves view as given view number, in the range 1 to 4.</t>
  </si>
  <si>
    <t xml:space="preserve">  Shaded  </t>
  </si>
  <si>
    <t xml:space="preserve">  TRUE for shaded FALSE for wireline.</t>
  </si>
  <si>
    <t xml:space="preserve">  Step </t>
  </si>
  <si>
    <t xml:space="preserve">  Step size &gt;0.</t>
  </si>
  <si>
    <t xml:space="preserve">  Through  </t>
  </si>
  <si>
    <t xml:space="preserve">  Through point [E,N,U].</t>
  </si>
  <si>
    <t xml:space="preserve">  WalkThrough </t>
  </si>
  <si>
    <t xml:space="preserve">  TRUE  for  Walkthrough (equivalent to Eyemode).</t>
  </si>
  <si>
    <t xml:space="preserve">  LabelStyle </t>
  </si>
  <si>
    <t xml:space="preserve">  Set by specifying ‘ENU’ or ‘XYZ’. Default is ‘ENU’.</t>
  </si>
  <si>
    <t xml:space="preserve">  Bearing </t>
  </si>
  <si>
    <t xml:space="preserve">  View bearing -180 &lt;= bearing &lt;=180</t>
  </si>
  <si>
    <t xml:space="preserve">  Elevation </t>
  </si>
  <si>
    <t xml:space="preserve">  View elevation -180 &lt;= elevation &lt;=180</t>
  </si>
  <si>
    <t xml:space="preserve">  Returns the BACKGROUND colour as a name string.</t>
  </si>
  <si>
    <t xml:space="preserve">  Returns the HIGHLIGHT colour as a name string.</t>
  </si>
  <si>
    <t xml:space="preserve">  Saves view as given view number.</t>
  </si>
  <si>
    <t xml:space="preserve">  X</t>
  </si>
  <si>
    <t xml:space="preserve">  X component of 2D POSITION.</t>
  </si>
  <si>
    <t xml:space="preserve">  Y</t>
  </si>
  <si>
    <t xml:space="preserve">  Y component of 2D POSITION.</t>
  </si>
  <si>
    <t xml:space="preserve">  XYposition()</t>
  </si>
  <si>
    <t xml:space="preserve">  Creates an XYPOSITION at the given coordinates.</t>
  </si>
  <si>
    <t xml:space="preserve">  Returns a XYPOSITION as a STRING.</t>
  </si>
  <si>
    <t xml:space="preserve">ARC </t>
  </si>
  <si>
    <t xml:space="preserve">LINE </t>
  </si>
  <si>
    <t xml:space="preserve">PLANE  </t>
  </si>
  <si>
    <t xml:space="preserve">POINTVECTOR </t>
  </si>
  <si>
    <t xml:space="preserve">ORIENTATION </t>
  </si>
  <si>
    <t>{ "name": "  AngleDirection" , "object": "direction" , "from":"ARC "},</t>
  </si>
  <si>
    <t>{ "name": "  StartTangent" , "object": "direction" , "from":"ARC "},</t>
  </si>
  <si>
    <t>{ "name": "  EndTangent" , "object": "direction" , "from":"ARC "},</t>
  </si>
  <si>
    <t>{ "name": "  AngleTangent" , "object": "direction" , "from":"ARC "},</t>
  </si>
  <si>
    <t>{ "name": "  PDirection" , "object": "direction" , "from":"DBREF "},</t>
  </si>
  <si>
    <t>{ "name": "  Direction" , "object": "direction" , "from":"DIRECTION "},</t>
  </si>
  <si>
    <t>{ "name": "  WRT" , "object": "direction" , "from":"DIRECTION "},</t>
  </si>
  <si>
    <t>{ "name": "  Bisect" , "object": "direction" , "from":"DIRECTION "},</t>
  </si>
  <si>
    <t>{ "name": "  Cross" , "object": "direction" , "from":"DIRECTION "},</t>
  </si>
  <si>
    <t>{ "name": "  Opposite" , "object": "direction" , "from":"DIRECTION "},</t>
  </si>
  <si>
    <t>{ "name": "  Orthogonal" , "object": "direction" , "from":"DIRECTION "},</t>
  </si>
  <si>
    <t>{ "name": "  Projected" , "object": "direction" , "from":"DIRECTION "},</t>
  </si>
  <si>
    <t>{ "name": " Direction" , "object": "direction" , "from":"LINE "},</t>
  </si>
  <si>
    <t>{ "name": "  XDir" , "object": "direction" , "from":"ORIENTATION "},</t>
  </si>
  <si>
    <t>{ "name": "  YDir" , "object": "direction" , "from":"ORIENTATION "},</t>
  </si>
  <si>
    <t>{ "name": "  ZDir" , "object": "direction" , "from":"ORIENTATION "},</t>
  </si>
  <si>
    <t>{ "name": "  Direction" , "object": "direction" , "from":"PLANE  "},</t>
  </si>
  <si>
    <t>{ "name": "  Direction" , "object": "direction" , "from":"STRING "},</t>
  </si>
  <si>
    <t>{ "name": "  .direction" , "object": "direction" , "from":"ViewFinder"},</t>
  </si>
  <si>
    <t>{ "name": "  Near" , "object": "direction" , "from":"PLANE  "},</t>
  </si>
  <si>
    <t>{ "name": "  GRIDPOSITION" , "object": "direction" , "from":"PLATFORMGRID"},</t>
  </si>
  <si>
    <t>{ "name": "  GRIDXYPOSITION" , "object": "direction" , "from":"PLATFORMGRID"},</t>
  </si>
  <si>
    <t>{ "name": "  POSITION" , "object": "direction" , "from":"PLATFORMGRID"},</t>
  </si>
  <si>
    <t>{ "name": "  CELLPOSITION" , "object": "direction" , "from":"PLATFORMGRID"},</t>
  </si>
  <si>
    <t>{ "name": "  CELLXYPOSITION" , "object": "direction" , "from":"PLATFORMGRID"},</t>
  </si>
  <si>
    <t>{ "name": "  Intersection" , "object": "direction" , "from":"POINTVECTOR "},</t>
  </si>
  <si>
    <t>{ "name": "  Position" , "object": "direction" , "from":"POSITION "},</t>
  </si>
  <si>
    <t>{ "name": "  WRT" , "object": "direction" , "from":"POSITION "},</t>
  </si>
  <si>
    <t>{ "name": "  MidPoint" , "object": "direction" , "from":"POSITION "},</t>
  </si>
  <si>
    <t>{ "name": "  Offset" , "object": "direction" , "from":"POSITION "},</t>
  </si>
  <si>
    <t>{ "name": "  Near" , "object": "direction" , "from":"PROFILE "},</t>
  </si>
  <si>
    <t>{ "name": "  Position" , "object": "direction" , "from":"STRING "},</t>
  </si>
  <si>
    <t>{ "name": "  .position" , "object": "direction" , "from":"ViewFinder"},</t>
  </si>
</sst>
</file>

<file path=xl/styles.xml><?xml version="1.0" encoding="utf-8"?>
<styleSheet xmlns="http://schemas.openxmlformats.org/spreadsheetml/2006/main" xmlns:mc="http://schemas.openxmlformats.org/markup-compatibility/2006" xmlns:x14ac="http://schemas.microsoft.com/office/spreadsheetml/2009/9/ac" mc:Ignorable="x14ac">
  <fonts count="48">
    <font>
      <sz val="11"/>
      <color theme="1"/>
      <name val="맑은 고딕"/>
      <family val="2"/>
      <charset val="129"/>
      <scheme val="minor"/>
    </font>
    <font>
      <sz val="11"/>
      <color rgb="FFFF0000"/>
      <name val="맑은 고딕"/>
      <family val="2"/>
      <charset val="129"/>
      <scheme val="minor"/>
    </font>
    <font>
      <sz val="10"/>
      <color rgb="FF000000"/>
      <name val="Arial"/>
      <family val="2"/>
    </font>
    <font>
      <sz val="10"/>
      <color rgb="FF000000"/>
      <name val="Courier New"/>
      <family val="3"/>
    </font>
    <font>
      <sz val="8"/>
      <name val="맑은 고딕"/>
      <family val="2"/>
      <charset val="129"/>
      <scheme val="minor"/>
    </font>
    <font>
      <sz val="11"/>
      <color theme="1"/>
      <name val="맑은 고딕"/>
      <family val="3"/>
      <charset val="129"/>
      <scheme val="minor"/>
    </font>
    <font>
      <b/>
      <sz val="10"/>
      <name val="굴림"/>
      <family val="3"/>
      <charset val="129"/>
    </font>
    <font>
      <sz val="8"/>
      <name val="돋움"/>
      <family val="3"/>
      <charset val="129"/>
    </font>
    <font>
      <sz val="10"/>
      <name val="굴림"/>
      <family val="3"/>
      <charset val="129"/>
    </font>
    <font>
      <b/>
      <sz val="10"/>
      <color indexed="12"/>
      <name val="굴림"/>
      <family val="3"/>
      <charset val="129"/>
    </font>
    <font>
      <sz val="10"/>
      <color theme="0" tint="-0.499984740745262"/>
      <name val="굴림"/>
      <family val="3"/>
      <charset val="129"/>
    </font>
    <font>
      <b/>
      <sz val="11"/>
      <color theme="1"/>
      <name val="맑은 고딕"/>
      <family val="3"/>
      <charset val="129"/>
      <scheme val="minor"/>
    </font>
    <font>
      <sz val="11"/>
      <color theme="1"/>
      <name val="Segoe UI"/>
      <family val="2"/>
    </font>
    <font>
      <sz val="9"/>
      <color theme="1"/>
      <name val="Consolas"/>
      <family val="3"/>
    </font>
    <font>
      <b/>
      <sz val="10"/>
      <color theme="10"/>
      <name val="맑은 고딕"/>
      <family val="3"/>
      <charset val="129"/>
      <scheme val="minor"/>
    </font>
    <font>
      <sz val="11"/>
      <color rgb="FFFF0000"/>
      <name val="맑은 고딕"/>
      <family val="3"/>
      <charset val="129"/>
      <scheme val="minor"/>
    </font>
    <font>
      <sz val="11"/>
      <color rgb="FF00B050"/>
      <name val="맑은 고딕"/>
      <family val="3"/>
      <charset val="129"/>
      <scheme val="minor"/>
    </font>
    <font>
      <sz val="11"/>
      <name val="맑은 고딕"/>
      <family val="2"/>
      <charset val="129"/>
      <scheme val="minor"/>
    </font>
    <font>
      <sz val="11"/>
      <color rgb="FF0070C0"/>
      <name val="맑은 고딕"/>
      <family val="3"/>
      <charset val="129"/>
      <scheme val="minor"/>
    </font>
    <font>
      <b/>
      <sz val="11"/>
      <color rgb="FF00B050"/>
      <name val="맑은 고딕"/>
      <family val="3"/>
      <charset val="129"/>
      <scheme val="minor"/>
    </font>
    <font>
      <sz val="11"/>
      <name val="맑은 고딕"/>
      <family val="3"/>
      <charset val="129"/>
      <scheme val="minor"/>
    </font>
    <font>
      <b/>
      <sz val="11"/>
      <name val="맑은 고딕"/>
      <family val="3"/>
      <charset val="129"/>
      <scheme val="minor"/>
    </font>
    <font>
      <b/>
      <sz val="11"/>
      <color rgb="FFFF0000"/>
      <name val="맑은 고딕"/>
      <family val="3"/>
      <charset val="129"/>
      <scheme val="minor"/>
    </font>
    <font>
      <sz val="9"/>
      <name val="맑은 고딕"/>
      <family val="3"/>
      <charset val="129"/>
      <scheme val="minor"/>
    </font>
    <font>
      <b/>
      <sz val="11"/>
      <color rgb="FF0070C0"/>
      <name val="맑은 고딕"/>
      <family val="2"/>
      <scheme val="minor"/>
    </font>
    <font>
      <b/>
      <i/>
      <sz val="11"/>
      <color theme="1"/>
      <name val="맑은 고딕"/>
      <family val="3"/>
      <charset val="129"/>
      <scheme val="minor"/>
    </font>
    <font>
      <b/>
      <sz val="11"/>
      <color rgb="FF00B0F0"/>
      <name val="맑은 고딕"/>
      <family val="3"/>
      <charset val="129"/>
      <scheme val="minor"/>
    </font>
    <font>
      <b/>
      <sz val="9"/>
      <color indexed="81"/>
      <name val="Tahoma"/>
      <family val="2"/>
    </font>
    <font>
      <sz val="9"/>
      <color indexed="81"/>
      <name val="Tahoma"/>
      <family val="2"/>
    </font>
    <font>
      <sz val="9"/>
      <color indexed="81"/>
      <name val="돋움"/>
      <family val="3"/>
      <charset val="129"/>
    </font>
    <font>
      <b/>
      <sz val="10"/>
      <color rgb="FF000000"/>
      <name val="Arial"/>
      <family val="2"/>
    </font>
    <font>
      <b/>
      <sz val="12"/>
      <color rgb="FF000000"/>
      <name val="Arial"/>
      <family val="2"/>
    </font>
    <font>
      <b/>
      <sz val="16"/>
      <color rgb="FF000000"/>
      <name val="Arial"/>
      <family val="2"/>
    </font>
    <font>
      <i/>
      <sz val="10"/>
      <color rgb="FF000000"/>
      <name val="Arial"/>
      <family val="2"/>
    </font>
    <font>
      <sz val="7"/>
      <color rgb="FF000000"/>
      <name val="Times New Roman"/>
      <family val="1"/>
    </font>
    <font>
      <i/>
      <sz val="9"/>
      <color rgb="FF000000"/>
      <name val="Arial"/>
      <family val="2"/>
    </font>
    <font>
      <sz val="9"/>
      <color rgb="FF000000"/>
      <name val="Courier New"/>
      <family val="3"/>
    </font>
    <font>
      <sz val="8"/>
      <color rgb="FF000000"/>
      <name val="Courier New"/>
      <family val="3"/>
    </font>
    <font>
      <sz val="11"/>
      <color rgb="FF000000"/>
      <name val="Courier New"/>
      <family val="3"/>
    </font>
    <font>
      <i/>
      <sz val="9"/>
      <color rgb="FF000000"/>
      <name val="Courier New"/>
      <family val="3"/>
    </font>
    <font>
      <i/>
      <sz val="10"/>
      <color rgb="FF000000"/>
      <name val="Courier New"/>
      <family val="3"/>
    </font>
    <font>
      <b/>
      <i/>
      <sz val="10"/>
      <color rgb="FF000000"/>
      <name val="Arial"/>
      <family val="2"/>
    </font>
    <font>
      <b/>
      <sz val="11"/>
      <color rgb="FF000000"/>
      <name val="Arial"/>
      <family val="2"/>
    </font>
    <font>
      <b/>
      <sz val="11"/>
      <color rgb="FF000000"/>
      <name val="Courier New"/>
      <family val="3"/>
    </font>
    <font>
      <sz val="10"/>
      <color rgb="FF000000"/>
      <name val="Segoe UI Symbol"/>
      <family val="2"/>
    </font>
    <font>
      <b/>
      <i/>
      <sz val="9"/>
      <color rgb="FF000000"/>
      <name val="Courier New"/>
      <family val="3"/>
    </font>
    <font>
      <sz val="11"/>
      <color rgb="FF000000"/>
      <name val="맑은 고딕"/>
      <family val="3"/>
      <charset val="129"/>
    </font>
    <font>
      <sz val="11"/>
      <color rgb="FFC9D1D9"/>
      <name val="Consolas"/>
      <family val="3"/>
    </font>
  </fonts>
  <fills count="11">
    <fill>
      <patternFill patternType="none"/>
    </fill>
    <fill>
      <patternFill patternType="gray125"/>
    </fill>
    <fill>
      <patternFill patternType="solid">
        <fgColor indexed="44"/>
        <bgColor indexed="64"/>
      </patternFill>
    </fill>
    <fill>
      <patternFill patternType="solid">
        <fgColor rgb="FFFFFF00"/>
        <bgColor indexed="64"/>
      </patternFill>
    </fill>
    <fill>
      <patternFill patternType="solid">
        <fgColor theme="0"/>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1"/>
        <bgColor indexed="64"/>
      </patternFill>
    </fill>
    <fill>
      <patternFill patternType="solid">
        <fgColor theme="2"/>
        <bgColor indexed="64"/>
      </patternFill>
    </fill>
  </fills>
  <borders count="26">
    <border>
      <left/>
      <right/>
      <top/>
      <bottom/>
      <diagonal/>
    </border>
    <border>
      <left style="medium">
        <color rgb="FF000000"/>
      </left>
      <right style="medium">
        <color rgb="FF000000"/>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style="medium">
        <color rgb="FF000000"/>
      </right>
      <top/>
      <bottom style="medium">
        <color rgb="FF000000"/>
      </bottom>
      <diagonal/>
    </border>
    <border>
      <left/>
      <right style="medium">
        <color rgb="FF000000"/>
      </right>
      <top/>
      <bottom style="medium">
        <color rgb="FF000000"/>
      </bottom>
      <diagonal/>
    </border>
    <border>
      <left/>
      <right style="medium">
        <color rgb="FF000000"/>
      </right>
      <top/>
      <bottom/>
      <diagonal/>
    </border>
    <border>
      <left style="medium">
        <color rgb="FF000000"/>
      </left>
      <right style="medium">
        <color rgb="FF000000"/>
      </right>
      <top style="medium">
        <color rgb="FF000000"/>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style="hair">
        <color indexed="64"/>
      </right>
      <top style="thin">
        <color indexed="64"/>
      </top>
      <bottom/>
      <diagonal/>
    </border>
    <border>
      <left style="hair">
        <color indexed="64"/>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bottom style="hair">
        <color indexed="64"/>
      </bottom>
      <diagonal/>
    </border>
    <border>
      <left/>
      <right style="medium">
        <color rgb="FF000000"/>
      </right>
      <top style="medium">
        <color rgb="FF000000"/>
      </top>
      <bottom/>
      <diagonal/>
    </border>
    <border>
      <left style="medium">
        <color rgb="FF000000"/>
      </left>
      <right style="medium">
        <color rgb="FF000000"/>
      </right>
      <top/>
      <bottom/>
      <diagonal/>
    </border>
    <border>
      <left/>
      <right/>
      <top style="medium">
        <color rgb="FF000000"/>
      </top>
      <bottom style="medium">
        <color rgb="FF000000"/>
      </bottom>
      <diagonal/>
    </border>
    <border>
      <left/>
      <right/>
      <top/>
      <bottom style="medium">
        <color rgb="FF000000"/>
      </bottom>
      <diagonal/>
    </border>
    <border>
      <left style="medium">
        <color rgb="FF000000"/>
      </left>
      <right/>
      <top style="medium">
        <color rgb="FF000000"/>
      </top>
      <bottom style="medium">
        <color rgb="FF000000"/>
      </bottom>
      <diagonal/>
    </border>
    <border>
      <left style="medium">
        <color rgb="FF000000"/>
      </left>
      <right/>
      <top style="medium">
        <color rgb="FF000000"/>
      </top>
      <bottom/>
      <diagonal/>
    </border>
    <border>
      <left style="medium">
        <color rgb="FF000000"/>
      </left>
      <right/>
      <top/>
      <bottom style="medium">
        <color rgb="FF000000"/>
      </bottom>
      <diagonal/>
    </border>
    <border>
      <left style="medium">
        <color rgb="FF000000"/>
      </left>
      <right/>
      <top/>
      <bottom/>
      <diagonal/>
    </border>
    <border>
      <left/>
      <right/>
      <top style="medium">
        <color rgb="FF000000"/>
      </top>
      <bottom/>
      <diagonal/>
    </border>
  </borders>
  <cellStyleXfs count="1">
    <xf numFmtId="0" fontId="0" fillId="0" borderId="0">
      <alignment vertical="center"/>
    </xf>
  </cellStyleXfs>
  <cellXfs count="211">
    <xf numFmtId="0" fontId="0" fillId="0" borderId="0" xfId="0">
      <alignment vertical="center"/>
    </xf>
    <xf numFmtId="0" fontId="3" fillId="0" borderId="1" xfId="0" applyFont="1" applyBorder="1" applyAlignment="1">
      <alignment horizontal="left" vertical="center" wrapText="1"/>
    </xf>
    <xf numFmtId="0" fontId="2" fillId="0" borderId="2" xfId="0" applyFont="1" applyBorder="1" applyAlignment="1">
      <alignment horizontal="left" vertical="center" wrapText="1"/>
    </xf>
    <xf numFmtId="0" fontId="2" fillId="0" borderId="2" xfId="0" applyFont="1" applyBorder="1" applyAlignment="1">
      <alignment horizontal="justify" vertical="center" wrapText="1"/>
    </xf>
    <xf numFmtId="0" fontId="3" fillId="0" borderId="3" xfId="0" applyFont="1" applyBorder="1" applyAlignment="1">
      <alignment horizontal="left" vertical="center" wrapText="1"/>
    </xf>
    <xf numFmtId="0" fontId="2" fillId="0" borderId="4" xfId="0" applyFont="1" applyBorder="1" applyAlignment="1">
      <alignment horizontal="left" vertical="center" wrapText="1"/>
    </xf>
    <xf numFmtId="0" fontId="2" fillId="0" borderId="4" xfId="0" applyFont="1" applyBorder="1" applyAlignment="1">
      <alignment horizontal="justify" vertical="center" wrapText="1"/>
    </xf>
    <xf numFmtId="0" fontId="2" fillId="0" borderId="5" xfId="0" applyFont="1" applyBorder="1" applyAlignment="1">
      <alignment horizontal="justify" vertical="center" wrapText="1"/>
    </xf>
    <xf numFmtId="0" fontId="2" fillId="0" borderId="5" xfId="0" applyFont="1" applyBorder="1" applyAlignment="1">
      <alignment horizontal="left" vertical="center" wrapText="1"/>
    </xf>
    <xf numFmtId="0" fontId="6" fillId="0" borderId="0" xfId="0" applyFont="1" applyAlignment="1">
      <alignment vertical="center"/>
    </xf>
    <xf numFmtId="0" fontId="8" fillId="0" borderId="0" xfId="0" applyFont="1">
      <alignment vertical="center"/>
    </xf>
    <xf numFmtId="0" fontId="8" fillId="0" borderId="0" xfId="0" applyFont="1" applyAlignment="1">
      <alignment horizontal="left" vertical="center"/>
    </xf>
    <xf numFmtId="0" fontId="9" fillId="2" borderId="7" xfId="0" applyFont="1" applyFill="1" applyBorder="1" applyAlignment="1">
      <alignment horizontal="center" vertical="center"/>
    </xf>
    <xf numFmtId="0" fontId="9" fillId="0" borderId="0" xfId="0" applyFont="1">
      <alignment vertical="center"/>
    </xf>
    <xf numFmtId="0" fontId="8" fillId="0" borderId="7" xfId="0" applyFont="1" applyBorder="1" applyAlignment="1">
      <alignment horizontal="center" vertical="center"/>
    </xf>
    <xf numFmtId="0" fontId="8" fillId="0" borderId="7" xfId="0" applyFont="1" applyBorder="1">
      <alignment vertical="center"/>
    </xf>
    <xf numFmtId="0" fontId="8" fillId="0" borderId="7" xfId="0" applyFont="1" applyBorder="1" applyAlignment="1">
      <alignment horizontal="left" vertical="center"/>
    </xf>
    <xf numFmtId="0" fontId="8" fillId="0" borderId="7" xfId="0" quotePrefix="1" applyFont="1" applyBorder="1">
      <alignment vertical="center"/>
    </xf>
    <xf numFmtId="0" fontId="8" fillId="0" borderId="7" xfId="0" applyFont="1" applyFill="1" applyBorder="1" applyAlignment="1">
      <alignment horizontal="center" vertical="center"/>
    </xf>
    <xf numFmtId="0" fontId="8" fillId="0" borderId="7" xfId="0" applyFont="1" applyFill="1" applyBorder="1">
      <alignment vertical="center"/>
    </xf>
    <xf numFmtId="0" fontId="8" fillId="0" borderId="7" xfId="0" applyFont="1" applyFill="1" applyBorder="1" applyAlignment="1">
      <alignment horizontal="left" vertical="center"/>
    </xf>
    <xf numFmtId="0" fontId="8" fillId="0" borderId="7" xfId="0" quotePrefix="1" applyFont="1" applyFill="1" applyBorder="1">
      <alignment vertical="center"/>
    </xf>
    <xf numFmtId="0" fontId="10" fillId="0" borderId="7" xfId="0" applyFont="1" applyBorder="1" applyAlignment="1">
      <alignment horizontal="center" vertical="center"/>
    </xf>
    <xf numFmtId="0" fontId="10" fillId="0" borderId="7" xfId="0" applyFont="1" applyBorder="1">
      <alignment vertical="center"/>
    </xf>
    <xf numFmtId="0" fontId="10" fillId="0" borderId="7" xfId="0" applyFont="1" applyBorder="1" applyAlignment="1">
      <alignment horizontal="left" vertical="center"/>
    </xf>
    <xf numFmtId="0" fontId="10" fillId="0" borderId="7" xfId="0" quotePrefix="1" applyFont="1" applyBorder="1">
      <alignment vertical="center"/>
    </xf>
    <xf numFmtId="0" fontId="8" fillId="0" borderId="0" xfId="0" applyFont="1" applyAlignment="1">
      <alignment horizontal="center" vertical="center"/>
    </xf>
    <xf numFmtId="0" fontId="11" fillId="3" borderId="0" xfId="0" applyFont="1" applyFill="1">
      <alignment vertical="center"/>
    </xf>
    <xf numFmtId="0" fontId="0" fillId="0" borderId="0" xfId="0" applyBorder="1">
      <alignment vertical="center"/>
    </xf>
    <xf numFmtId="0" fontId="0" fillId="0" borderId="0" xfId="0" applyFill="1" applyBorder="1">
      <alignment vertical="center"/>
    </xf>
    <xf numFmtId="0" fontId="12" fillId="0" borderId="0" xfId="0" applyFont="1" applyBorder="1" applyAlignment="1">
      <alignment horizontal="left" vertical="top" wrapText="1"/>
    </xf>
    <xf numFmtId="0" fontId="13" fillId="0" borderId="0" xfId="0" applyFont="1" applyBorder="1" applyAlignment="1">
      <alignment horizontal="left" vertical="top" wrapText="1"/>
    </xf>
    <xf numFmtId="0" fontId="14" fillId="3" borderId="0" xfId="0" applyFont="1" applyFill="1" applyAlignment="1" applyProtection="1">
      <alignment horizontal="left" vertical="center"/>
    </xf>
    <xf numFmtId="0" fontId="11" fillId="4" borderId="0" xfId="0" applyFont="1" applyFill="1" applyAlignment="1" applyProtection="1">
      <alignment horizontal="center" vertical="center"/>
      <protection locked="0"/>
    </xf>
    <xf numFmtId="0" fontId="0" fillId="4" borderId="0" xfId="0" applyFill="1" applyProtection="1">
      <alignment vertical="center"/>
      <protection locked="0"/>
    </xf>
    <xf numFmtId="0" fontId="0" fillId="4" borderId="0" xfId="0" applyFill="1" applyAlignment="1" applyProtection="1">
      <alignment vertical="center" shrinkToFit="1"/>
      <protection locked="0"/>
    </xf>
    <xf numFmtId="0" fontId="0" fillId="4" borderId="0" xfId="0" applyFill="1" applyAlignment="1" applyProtection="1">
      <alignment horizontal="left" vertical="center"/>
    </xf>
    <xf numFmtId="0" fontId="5" fillId="4" borderId="0" xfId="0" applyFont="1" applyFill="1" applyProtection="1">
      <alignment vertical="center"/>
      <protection locked="0"/>
    </xf>
    <xf numFmtId="0" fontId="0" fillId="4" borderId="0" xfId="0" applyFill="1" applyAlignment="1" applyProtection="1">
      <alignment horizontal="center" vertical="center"/>
      <protection locked="0"/>
    </xf>
    <xf numFmtId="0" fontId="0" fillId="5" borderId="8" xfId="0" applyFill="1" applyBorder="1" applyAlignment="1" applyProtection="1">
      <alignment horizontal="center" vertical="center"/>
      <protection locked="0"/>
    </xf>
    <xf numFmtId="0" fontId="17" fillId="5" borderId="8" xfId="0" applyFont="1" applyFill="1" applyBorder="1" applyAlignment="1" applyProtection="1">
      <alignment horizontal="center" vertical="center"/>
      <protection locked="0"/>
    </xf>
    <xf numFmtId="0" fontId="0" fillId="5" borderId="8" xfId="0" applyFill="1" applyBorder="1" applyAlignment="1" applyProtection="1">
      <alignment horizontal="center" vertical="center" shrinkToFit="1"/>
      <protection locked="0"/>
    </xf>
    <xf numFmtId="0" fontId="18" fillId="4" borderId="0" xfId="0" applyFont="1" applyFill="1" applyAlignment="1" applyProtection="1">
      <alignment horizontal="left" vertical="center"/>
    </xf>
    <xf numFmtId="0" fontId="0" fillId="5" borderId="9" xfId="0" applyFill="1" applyBorder="1" applyAlignment="1" applyProtection="1">
      <alignment horizontal="center" vertical="center"/>
      <protection locked="0"/>
    </xf>
    <xf numFmtId="0" fontId="19" fillId="6" borderId="9" xfId="0" applyFont="1" applyFill="1" applyBorder="1" applyAlignment="1" applyProtection="1">
      <alignment horizontal="center" vertical="center" shrinkToFit="1"/>
      <protection locked="0"/>
    </xf>
    <xf numFmtId="0" fontId="19" fillId="6" borderId="9" xfId="0" applyFont="1" applyFill="1" applyBorder="1" applyAlignment="1" applyProtection="1">
      <alignment horizontal="left" vertical="center" shrinkToFit="1"/>
      <protection locked="0"/>
    </xf>
    <xf numFmtId="0" fontId="19" fillId="7" borderId="9" xfId="0" applyFont="1" applyFill="1" applyBorder="1" applyAlignment="1" applyProtection="1">
      <alignment horizontal="center" vertical="center" shrinkToFit="1"/>
      <protection locked="0"/>
    </xf>
    <xf numFmtId="0" fontId="19" fillId="7" borderId="9" xfId="0" applyFont="1" applyFill="1" applyBorder="1" applyAlignment="1" applyProtection="1">
      <alignment horizontal="center" vertical="center"/>
      <protection locked="0"/>
    </xf>
    <xf numFmtId="0" fontId="19" fillId="6" borderId="9" xfId="0" applyFont="1" applyFill="1" applyBorder="1" applyAlignment="1" applyProtection="1">
      <alignment horizontal="center" vertical="center"/>
      <protection locked="0"/>
    </xf>
    <xf numFmtId="0" fontId="1" fillId="4" borderId="0" xfId="0" applyFont="1" applyFill="1" applyAlignment="1" applyProtection="1">
      <alignment horizontal="center" vertical="center"/>
      <protection locked="0"/>
    </xf>
    <xf numFmtId="0" fontId="0" fillId="4" borderId="0" xfId="0" quotePrefix="1" applyFill="1" applyProtection="1">
      <alignment vertical="center"/>
      <protection locked="0"/>
    </xf>
    <xf numFmtId="0" fontId="17" fillId="5" borderId="10" xfId="0" applyFont="1" applyFill="1" applyBorder="1" applyAlignment="1" applyProtection="1">
      <alignment horizontal="center" vertical="center"/>
      <protection locked="0"/>
    </xf>
    <xf numFmtId="0" fontId="19" fillId="6" borderId="10" xfId="0" applyFont="1" applyFill="1" applyBorder="1" applyAlignment="1" applyProtection="1">
      <alignment horizontal="center" vertical="center"/>
      <protection locked="0"/>
    </xf>
    <xf numFmtId="0" fontId="19" fillId="6" borderId="10" xfId="0" applyFont="1" applyFill="1" applyBorder="1" applyAlignment="1" applyProtection="1">
      <alignment vertical="center" shrinkToFit="1"/>
      <protection locked="0"/>
    </xf>
    <xf numFmtId="0" fontId="1" fillId="4" borderId="0" xfId="0" applyFont="1" applyFill="1" applyBorder="1" applyAlignment="1" applyProtection="1">
      <alignment horizontal="center" vertical="center"/>
      <protection locked="0"/>
    </xf>
    <xf numFmtId="0" fontId="15" fillId="4" borderId="0" xfId="0" applyFont="1" applyFill="1" applyBorder="1" applyAlignment="1" applyProtection="1">
      <alignment horizontal="center" vertical="center"/>
      <protection locked="0"/>
    </xf>
    <xf numFmtId="0" fontId="15" fillId="4" borderId="0" xfId="0" applyFont="1" applyFill="1" applyBorder="1" applyAlignment="1" applyProtection="1">
      <alignment horizontal="center" vertical="center" shrinkToFit="1"/>
      <protection locked="0"/>
    </xf>
    <xf numFmtId="0" fontId="18" fillId="4" borderId="0" xfId="0" applyFont="1" applyFill="1" applyAlignment="1" applyProtection="1">
      <alignment horizontal="left" vertical="center" shrinkToFit="1"/>
    </xf>
    <xf numFmtId="0" fontId="0" fillId="4" borderId="0" xfId="0" applyFill="1" applyAlignment="1" applyProtection="1">
      <alignment horizontal="left" vertical="center"/>
      <protection locked="0"/>
    </xf>
    <xf numFmtId="0" fontId="20" fillId="5" borderId="8" xfId="0" applyFont="1" applyFill="1" applyBorder="1" applyAlignment="1" applyProtection="1">
      <alignment horizontal="center" vertical="center"/>
      <protection locked="0"/>
    </xf>
    <xf numFmtId="0" fontId="19" fillId="6" borderId="9" xfId="0" quotePrefix="1" applyFont="1" applyFill="1" applyBorder="1" applyAlignment="1" applyProtection="1">
      <alignment horizontal="center" vertical="center"/>
      <protection locked="0"/>
    </xf>
    <xf numFmtId="0" fontId="21" fillId="4" borderId="9" xfId="0" applyFont="1" applyFill="1" applyBorder="1" applyAlignment="1" applyProtection="1">
      <alignment horizontal="center" vertical="center"/>
      <protection locked="0"/>
    </xf>
    <xf numFmtId="0" fontId="22" fillId="4" borderId="0" xfId="0" applyFont="1" applyFill="1" applyBorder="1" applyAlignment="1" applyProtection="1">
      <alignment horizontal="center" vertical="center"/>
      <protection locked="0"/>
    </xf>
    <xf numFmtId="0" fontId="19" fillId="4" borderId="0" xfId="0" quotePrefix="1" applyFont="1" applyFill="1" applyBorder="1" applyAlignment="1" applyProtection="1">
      <alignment horizontal="left" vertical="center"/>
      <protection locked="0"/>
    </xf>
    <xf numFmtId="0" fontId="19" fillId="4" borderId="0" xfId="0" applyFont="1" applyFill="1" applyBorder="1" applyAlignment="1" applyProtection="1">
      <alignment horizontal="center" vertical="center"/>
      <protection locked="0"/>
    </xf>
    <xf numFmtId="0" fontId="21" fillId="4" borderId="0" xfId="0" applyFont="1" applyFill="1" applyBorder="1" applyAlignment="1" applyProtection="1">
      <alignment horizontal="center" vertical="center"/>
      <protection locked="0"/>
    </xf>
    <xf numFmtId="0" fontId="20" fillId="5" borderId="9" xfId="0" applyFont="1" applyFill="1" applyBorder="1" applyAlignment="1" applyProtection="1">
      <alignment horizontal="center" vertical="center"/>
      <protection locked="0"/>
    </xf>
    <xf numFmtId="0" fontId="20" fillId="9" borderId="9" xfId="0" applyFont="1" applyFill="1" applyBorder="1" applyAlignment="1" applyProtection="1">
      <alignment horizontal="center" vertical="center"/>
      <protection locked="0"/>
    </xf>
    <xf numFmtId="0" fontId="20" fillId="5" borderId="10" xfId="0" applyFont="1" applyFill="1" applyBorder="1" applyAlignment="1" applyProtection="1">
      <alignment horizontal="center" vertical="center"/>
      <protection locked="0"/>
    </xf>
    <xf numFmtId="0" fontId="0" fillId="4" borderId="0" xfId="0" applyFill="1" applyAlignment="1" applyProtection="1">
      <alignment vertical="center"/>
      <protection locked="0"/>
    </xf>
    <xf numFmtId="0" fontId="0" fillId="4" borderId="9" xfId="0" applyFill="1" applyBorder="1" applyAlignment="1" applyProtection="1">
      <alignment horizontal="center" vertical="center"/>
      <protection locked="0"/>
    </xf>
    <xf numFmtId="0" fontId="23" fillId="4" borderId="0" xfId="0" applyFont="1" applyFill="1" applyAlignment="1" applyProtection="1">
      <alignment horizontal="center" vertical="center"/>
      <protection locked="0"/>
    </xf>
    <xf numFmtId="0" fontId="19" fillId="4" borderId="0" xfId="0" applyFont="1" applyFill="1" applyBorder="1" applyAlignment="1" applyProtection="1">
      <alignment horizontal="left" vertical="center"/>
      <protection locked="0"/>
    </xf>
    <xf numFmtId="0" fontId="0" fillId="4" borderId="0" xfId="0" applyFill="1" applyAlignment="1" applyProtection="1">
      <alignment horizontal="left" vertical="center" shrinkToFit="1"/>
    </xf>
    <xf numFmtId="0" fontId="11" fillId="4" borderId="0" xfId="0" applyFont="1" applyFill="1" applyAlignment="1" applyProtection="1">
      <alignment horizontal="left" vertical="center"/>
      <protection locked="0"/>
    </xf>
    <xf numFmtId="0" fontId="16" fillId="4" borderId="0" xfId="0" applyFont="1" applyFill="1" applyProtection="1">
      <alignment vertical="center"/>
      <protection locked="0"/>
    </xf>
    <xf numFmtId="0" fontId="20" fillId="4" borderId="0" xfId="0" applyFont="1" applyFill="1" applyProtection="1">
      <alignment vertical="center"/>
      <protection locked="0"/>
    </xf>
    <xf numFmtId="0" fontId="0" fillId="10" borderId="8" xfId="0" applyFill="1" applyBorder="1" applyAlignment="1" applyProtection="1">
      <alignment horizontal="center" vertical="center"/>
      <protection locked="0"/>
    </xf>
    <xf numFmtId="0" fontId="25" fillId="5" borderId="8" xfId="0" applyFont="1" applyFill="1" applyBorder="1" applyAlignment="1" applyProtection="1">
      <alignment horizontal="center" vertical="center"/>
      <protection locked="0"/>
    </xf>
    <xf numFmtId="49" fontId="19" fillId="6" borderId="9" xfId="0" quotePrefix="1" applyNumberFormat="1" applyFont="1" applyFill="1" applyBorder="1" applyAlignment="1" applyProtection="1">
      <alignment horizontal="center" vertical="center"/>
      <protection locked="0"/>
    </xf>
    <xf numFmtId="0" fontId="17" fillId="10" borderId="8" xfId="0" applyFont="1" applyFill="1" applyBorder="1" applyAlignment="1" applyProtection="1">
      <alignment horizontal="center" vertical="center"/>
      <protection locked="0"/>
    </xf>
    <xf numFmtId="0" fontId="26" fillId="4" borderId="0" xfId="0" applyFont="1" applyFill="1" applyBorder="1" applyAlignment="1" applyProtection="1">
      <alignment horizontal="center" vertical="center"/>
      <protection locked="0"/>
    </xf>
    <xf numFmtId="0" fontId="1" fillId="4" borderId="0" xfId="0" applyFont="1" applyFill="1" applyProtection="1">
      <alignment vertical="center"/>
      <protection locked="0"/>
    </xf>
    <xf numFmtId="0" fontId="26" fillId="5" borderId="8" xfId="0" applyFont="1" applyFill="1" applyBorder="1" applyAlignment="1" applyProtection="1">
      <alignment horizontal="center" vertical="center"/>
      <protection locked="0"/>
    </xf>
    <xf numFmtId="0" fontId="17" fillId="5" borderId="8" xfId="0" applyFont="1" applyFill="1" applyBorder="1" applyAlignment="1" applyProtection="1">
      <alignment horizontal="center" vertical="center" shrinkToFit="1"/>
      <protection locked="0"/>
    </xf>
    <xf numFmtId="0" fontId="11" fillId="6" borderId="9" xfId="0" applyFont="1" applyFill="1" applyBorder="1" applyAlignment="1" applyProtection="1">
      <alignment horizontal="center" vertical="center" shrinkToFit="1"/>
      <protection locked="0"/>
    </xf>
    <xf numFmtId="0" fontId="17" fillId="5" borderId="14" xfId="0" applyFont="1" applyFill="1" applyBorder="1" applyAlignment="1" applyProtection="1">
      <alignment horizontal="center" vertical="center"/>
      <protection locked="0"/>
    </xf>
    <xf numFmtId="0" fontId="19" fillId="6" borderId="16" xfId="0" applyFont="1" applyFill="1" applyBorder="1" applyAlignment="1" applyProtection="1">
      <alignment horizontal="center" vertical="center"/>
      <protection locked="0"/>
    </xf>
    <xf numFmtId="0" fontId="19" fillId="6" borderId="9" xfId="0" quotePrefix="1" applyFont="1" applyFill="1" applyBorder="1" applyAlignment="1" applyProtection="1">
      <alignment horizontal="center" vertical="center" shrinkToFit="1"/>
      <protection locked="0"/>
    </xf>
    <xf numFmtId="0" fontId="19" fillId="6" borderId="9" xfId="0" applyFont="1" applyFill="1" applyBorder="1" applyAlignment="1" applyProtection="1">
      <alignment horizontal="left" vertical="center"/>
      <protection locked="0"/>
    </xf>
    <xf numFmtId="0" fontId="0" fillId="0" borderId="0" xfId="0" applyAlignment="1">
      <alignment vertical="center" wrapText="1"/>
    </xf>
    <xf numFmtId="0" fontId="2" fillId="0" borderId="6" xfId="0" applyFont="1" applyBorder="1" applyAlignment="1">
      <alignment vertical="center" wrapText="1"/>
    </xf>
    <xf numFmtId="0" fontId="3" fillId="0" borderId="6" xfId="0" applyFont="1" applyBorder="1" applyAlignment="1">
      <alignment vertical="center" wrapText="1"/>
    </xf>
    <xf numFmtId="0" fontId="2" fillId="0" borderId="17" xfId="0" applyFont="1" applyBorder="1" applyAlignment="1">
      <alignment horizontal="justify" vertical="center" wrapText="1"/>
    </xf>
    <xf numFmtId="0" fontId="2" fillId="0" borderId="0" xfId="0" applyFont="1" applyAlignment="1">
      <alignment horizontal="left" vertical="center" wrapText="1"/>
    </xf>
    <xf numFmtId="0" fontId="2" fillId="0" borderId="0" xfId="0" applyFont="1" applyAlignment="1">
      <alignment horizontal="justify" vertical="center" wrapText="1"/>
    </xf>
    <xf numFmtId="0" fontId="3" fillId="0" borderId="18" xfId="0" applyFont="1" applyBorder="1" applyAlignment="1">
      <alignment horizontal="left" vertical="center" wrapText="1"/>
    </xf>
    <xf numFmtId="0" fontId="2" fillId="0" borderId="3" xfId="0" applyFont="1" applyBorder="1" applyAlignment="1">
      <alignment vertical="center" wrapText="1"/>
    </xf>
    <xf numFmtId="0" fontId="3" fillId="0" borderId="3" xfId="0" applyFont="1" applyBorder="1" applyAlignment="1">
      <alignment vertical="center" wrapText="1"/>
    </xf>
    <xf numFmtId="0" fontId="30" fillId="0" borderId="3" xfId="0" applyFont="1" applyBorder="1" applyAlignment="1">
      <alignment horizontal="left" vertical="center" wrapText="1"/>
    </xf>
    <xf numFmtId="0" fontId="30" fillId="0" borderId="4" xfId="0" applyFont="1" applyBorder="1" applyAlignment="1">
      <alignment horizontal="left" vertical="center" wrapText="1"/>
    </xf>
    <xf numFmtId="0" fontId="30" fillId="0" borderId="0" xfId="0" applyFont="1" applyAlignment="1">
      <alignment horizontal="left" vertical="center"/>
    </xf>
    <xf numFmtId="0" fontId="30" fillId="0" borderId="1" xfId="0" applyFont="1" applyBorder="1" applyAlignment="1">
      <alignment horizontal="left" vertical="center" wrapText="1"/>
    </xf>
    <xf numFmtId="0" fontId="30" fillId="0" borderId="2" xfId="0" applyFont="1" applyBorder="1" applyAlignment="1">
      <alignment horizontal="left" vertical="center" wrapText="1"/>
    </xf>
    <xf numFmtId="0" fontId="2" fillId="0" borderId="3" xfId="0" applyFont="1" applyBorder="1" applyAlignment="1">
      <alignment horizontal="left" vertical="center" wrapText="1"/>
    </xf>
    <xf numFmtId="0" fontId="2" fillId="0" borderId="0" xfId="0" applyFont="1" applyAlignment="1">
      <alignment horizontal="justify" vertical="center"/>
    </xf>
    <xf numFmtId="0" fontId="30" fillId="0" borderId="0" xfId="0" applyFont="1" applyAlignment="1">
      <alignment horizontal="justify" vertical="center"/>
    </xf>
    <xf numFmtId="0" fontId="32" fillId="0" borderId="0" xfId="0" applyFont="1">
      <alignment vertical="center"/>
    </xf>
    <xf numFmtId="0" fontId="2" fillId="0" borderId="0" xfId="0" applyFont="1" applyAlignment="1">
      <alignment horizontal="right" vertical="center"/>
    </xf>
    <xf numFmtId="0" fontId="2" fillId="0" borderId="0" xfId="0" applyFont="1" applyAlignment="1">
      <alignment horizontal="left" vertical="center"/>
    </xf>
    <xf numFmtId="0" fontId="30" fillId="0" borderId="19" xfId="0" applyFont="1" applyBorder="1" applyAlignment="1">
      <alignment horizontal="left" vertical="center" wrapText="1"/>
    </xf>
    <xf numFmtId="0" fontId="2" fillId="0" borderId="20" xfId="0" applyFont="1" applyBorder="1" applyAlignment="1">
      <alignment horizontal="left" vertical="center" wrapText="1"/>
    </xf>
    <xf numFmtId="0" fontId="0" fillId="0" borderId="18" xfId="0" applyBorder="1" applyAlignment="1">
      <alignment vertical="top" wrapText="1"/>
    </xf>
    <xf numFmtId="0" fontId="0" fillId="0" borderId="3" xfId="0" applyBorder="1" applyAlignment="1">
      <alignment vertical="top" wrapText="1"/>
    </xf>
    <xf numFmtId="0" fontId="35" fillId="0" borderId="0" xfId="0" applyFont="1" applyAlignment="1">
      <alignment horizontal="left" vertical="center"/>
    </xf>
    <xf numFmtId="0" fontId="31" fillId="0" borderId="0" xfId="0" applyFont="1" applyAlignment="1">
      <alignment horizontal="left" vertical="center"/>
    </xf>
    <xf numFmtId="0" fontId="2" fillId="0" borderId="0" xfId="0" applyFont="1" applyAlignment="1">
      <alignment horizontal="left" vertical="center" indent="4"/>
    </xf>
    <xf numFmtId="0" fontId="35" fillId="0" borderId="0" xfId="0" applyFont="1" applyAlignment="1">
      <alignment horizontal="left" vertical="center" indent="4"/>
    </xf>
    <xf numFmtId="0" fontId="36" fillId="0" borderId="0" xfId="0" applyFont="1" applyAlignment="1">
      <alignment horizontal="left" vertical="center" indent="4"/>
    </xf>
    <xf numFmtId="0" fontId="36" fillId="0" borderId="0" xfId="0" applyFont="1" applyAlignment="1">
      <alignment horizontal="left" vertical="center" indent="15"/>
    </xf>
    <xf numFmtId="0" fontId="36" fillId="0" borderId="0" xfId="0" applyFont="1" applyAlignment="1">
      <alignment horizontal="left" vertical="center"/>
    </xf>
    <xf numFmtId="0" fontId="36" fillId="0" borderId="0" xfId="0" applyFont="1" applyAlignment="1">
      <alignment horizontal="center" vertical="center"/>
    </xf>
    <xf numFmtId="0" fontId="36" fillId="0" borderId="0" xfId="0" applyFont="1" applyAlignment="1">
      <alignment horizontal="right" vertical="center" indent="4"/>
    </xf>
    <xf numFmtId="0" fontId="36" fillId="0" borderId="0" xfId="0" applyFont="1" applyAlignment="1">
      <alignment horizontal="left" vertical="center" wrapText="1"/>
    </xf>
    <xf numFmtId="0" fontId="36" fillId="0" borderId="0" xfId="0" applyFont="1" applyAlignment="1">
      <alignment horizontal="justify" vertical="center" wrapText="1"/>
    </xf>
    <xf numFmtId="0" fontId="36" fillId="0" borderId="0" xfId="0" applyFont="1" applyAlignment="1">
      <alignment horizontal="left" vertical="center" indent="14"/>
    </xf>
    <xf numFmtId="0" fontId="30" fillId="0" borderId="0" xfId="0" applyFont="1" applyAlignment="1">
      <alignment horizontal="left" vertical="center" indent="4"/>
    </xf>
    <xf numFmtId="0" fontId="3" fillId="0" borderId="0" xfId="0" applyFont="1" applyAlignment="1">
      <alignment horizontal="left" vertical="center"/>
    </xf>
    <xf numFmtId="0" fontId="37" fillId="0" borderId="0" xfId="0" applyFont="1" applyAlignment="1">
      <alignment horizontal="left" vertical="center" indent="13"/>
    </xf>
    <xf numFmtId="0" fontId="37" fillId="0" borderId="0" xfId="0" applyFont="1" applyAlignment="1">
      <alignment horizontal="left" vertical="center"/>
    </xf>
    <xf numFmtId="0" fontId="37" fillId="0" borderId="0" xfId="0" applyFont="1" applyAlignment="1">
      <alignment horizontal="center" vertical="center"/>
    </xf>
    <xf numFmtId="0" fontId="37" fillId="0" borderId="0" xfId="0" applyFont="1" applyAlignment="1">
      <alignment horizontal="left" vertical="center" indent="15"/>
    </xf>
    <xf numFmtId="0" fontId="37" fillId="0" borderId="0" xfId="0" applyFont="1" applyAlignment="1">
      <alignment horizontal="left" vertical="center" indent="14"/>
    </xf>
    <xf numFmtId="0" fontId="2" fillId="0" borderId="0" xfId="0" applyFont="1" applyAlignment="1">
      <alignment horizontal="center" vertical="center"/>
    </xf>
    <xf numFmtId="0" fontId="3" fillId="0" borderId="18" xfId="0" applyFont="1" applyBorder="1" applyAlignment="1">
      <alignment horizontal="justify" vertical="center" wrapText="1"/>
    </xf>
    <xf numFmtId="0" fontId="3" fillId="0" borderId="3" xfId="0" applyFont="1" applyBorder="1" applyAlignment="1">
      <alignment horizontal="justify" vertical="center" wrapText="1"/>
    </xf>
    <xf numFmtId="0" fontId="0" fillId="0" borderId="4" xfId="0" applyBorder="1" applyAlignment="1">
      <alignment vertical="top" wrapText="1"/>
    </xf>
    <xf numFmtId="0" fontId="3" fillId="0" borderId="5" xfId="0" applyFont="1" applyBorder="1" applyAlignment="1">
      <alignment horizontal="left" vertical="center" wrapText="1"/>
    </xf>
    <xf numFmtId="0" fontId="3" fillId="0" borderId="5" xfId="0" applyFont="1" applyBorder="1" applyAlignment="1">
      <alignment horizontal="justify" vertical="center" wrapText="1"/>
    </xf>
    <xf numFmtId="0" fontId="30" fillId="0" borderId="0" xfId="0" applyFont="1" applyAlignment="1">
      <alignment horizontal="center" vertical="center"/>
    </xf>
    <xf numFmtId="0" fontId="38" fillId="0" borderId="0" xfId="0" applyFont="1" applyAlignment="1">
      <alignment horizontal="justify" vertical="center"/>
    </xf>
    <xf numFmtId="0" fontId="38" fillId="0" borderId="0" xfId="0" applyFont="1" applyAlignment="1">
      <alignment horizontal="left" vertical="center" indent="6"/>
    </xf>
    <xf numFmtId="0" fontId="37" fillId="0" borderId="0" xfId="0" applyFont="1" applyAlignment="1">
      <alignment horizontal="right" vertical="center" indent="15"/>
    </xf>
    <xf numFmtId="0" fontId="3" fillId="0" borderId="4" xfId="0" applyFont="1" applyBorder="1" applyAlignment="1">
      <alignment horizontal="left" vertical="center" wrapText="1"/>
    </xf>
    <xf numFmtId="0" fontId="38" fillId="0" borderId="18" xfId="0" applyFont="1" applyBorder="1" applyAlignment="1">
      <alignment horizontal="left" vertical="center" wrapText="1"/>
    </xf>
    <xf numFmtId="0" fontId="38" fillId="0" borderId="3" xfId="0" applyFont="1" applyBorder="1" applyAlignment="1">
      <alignment horizontal="left" vertical="center" wrapText="1"/>
    </xf>
    <xf numFmtId="0" fontId="36" fillId="0" borderId="0" xfId="0" applyFont="1" applyAlignment="1">
      <alignment horizontal="left" vertical="center" indent="8"/>
    </xf>
    <xf numFmtId="0" fontId="38" fillId="0" borderId="0" xfId="0" applyFont="1" applyAlignment="1">
      <alignment horizontal="left" vertical="center" indent="4"/>
    </xf>
    <xf numFmtId="0" fontId="38" fillId="0" borderId="0" xfId="0" applyFont="1" applyAlignment="1">
      <alignment horizontal="left" vertical="center"/>
    </xf>
    <xf numFmtId="0" fontId="38" fillId="0" borderId="18" xfId="0" applyFont="1" applyBorder="1" applyAlignment="1">
      <alignment horizontal="justify" vertical="center" wrapText="1"/>
    </xf>
    <xf numFmtId="0" fontId="3" fillId="0" borderId="4" xfId="0" applyFont="1" applyBorder="1" applyAlignment="1">
      <alignment horizontal="justify" vertical="center" wrapText="1"/>
    </xf>
    <xf numFmtId="0" fontId="2" fillId="0" borderId="20" xfId="0" applyFont="1" applyBorder="1" applyAlignment="1">
      <alignment horizontal="justify" vertical="center" wrapText="1"/>
    </xf>
    <xf numFmtId="0" fontId="37" fillId="0" borderId="0" xfId="0" applyFont="1" applyAlignment="1">
      <alignment horizontal="left" vertical="center" indent="4"/>
    </xf>
    <xf numFmtId="0" fontId="37" fillId="0" borderId="0" xfId="0" applyFont="1" applyAlignment="1">
      <alignment horizontal="left" vertical="center" indent="11"/>
    </xf>
    <xf numFmtId="0" fontId="0" fillId="0" borderId="5" xfId="0" applyBorder="1" applyAlignment="1">
      <alignment vertical="top" wrapText="1"/>
    </xf>
    <xf numFmtId="0" fontId="30" fillId="0" borderId="5" xfId="0" applyFont="1" applyBorder="1" applyAlignment="1">
      <alignment horizontal="justify" vertical="center" wrapText="1"/>
    </xf>
    <xf numFmtId="0" fontId="30" fillId="0" borderId="4" xfId="0" applyFont="1" applyBorder="1" applyAlignment="1">
      <alignment horizontal="justify" vertical="center" wrapText="1"/>
    </xf>
    <xf numFmtId="0" fontId="42" fillId="0" borderId="0" xfId="0" applyFont="1" applyAlignment="1">
      <alignment horizontal="left" vertical="center" indent="4"/>
    </xf>
    <xf numFmtId="0" fontId="43" fillId="0" borderId="0" xfId="0" applyFont="1" applyAlignment="1">
      <alignment horizontal="left" vertical="center"/>
    </xf>
    <xf numFmtId="0" fontId="30" fillId="0" borderId="23" xfId="0" applyFont="1" applyBorder="1" applyAlignment="1">
      <alignment horizontal="left" vertical="center" wrapText="1"/>
    </xf>
    <xf numFmtId="0" fontId="36" fillId="0" borderId="0" xfId="0" applyFont="1" applyAlignment="1">
      <alignment horizontal="left" vertical="center" indent="13"/>
    </xf>
    <xf numFmtId="0" fontId="35" fillId="0" borderId="0" xfId="0" applyFont="1" applyAlignment="1">
      <alignment horizontal="right" vertical="center" indent="4"/>
    </xf>
    <xf numFmtId="0" fontId="38" fillId="0" borderId="3" xfId="0" applyFont="1" applyBorder="1" applyAlignment="1">
      <alignment horizontal="justify" vertical="center" wrapText="1"/>
    </xf>
    <xf numFmtId="0" fontId="36" fillId="0" borderId="0" xfId="0" applyFont="1" applyAlignment="1">
      <alignment horizontal="right" vertical="center" indent="15"/>
    </xf>
    <xf numFmtId="0" fontId="37" fillId="0" borderId="0" xfId="0" applyFont="1" applyAlignment="1">
      <alignment horizontal="left" vertical="center" indent="12"/>
    </xf>
    <xf numFmtId="0" fontId="37" fillId="0" borderId="0" xfId="0" applyFont="1" applyAlignment="1">
      <alignment horizontal="right" vertical="center" indent="4"/>
    </xf>
    <xf numFmtId="0" fontId="2" fillId="0" borderId="19" xfId="0" applyFont="1" applyBorder="1" applyAlignment="1">
      <alignment horizontal="left" vertical="center" wrapText="1"/>
    </xf>
    <xf numFmtId="0" fontId="36" fillId="0" borderId="0" xfId="0" applyFont="1" applyAlignment="1">
      <alignment horizontal="left" vertical="center" wrapText="1" indent="4"/>
    </xf>
    <xf numFmtId="0" fontId="3" fillId="0" borderId="0" xfId="0" applyFont="1" applyAlignment="1">
      <alignment horizontal="left" vertical="center" indent="4"/>
    </xf>
    <xf numFmtId="0" fontId="3" fillId="0" borderId="0" xfId="0" applyFont="1" applyAlignment="1">
      <alignment horizontal="left" vertical="center" indent="9"/>
    </xf>
    <xf numFmtId="0" fontId="2" fillId="0" borderId="18" xfId="0" applyFont="1" applyBorder="1" applyAlignment="1">
      <alignment vertical="center" wrapText="1"/>
    </xf>
    <xf numFmtId="0" fontId="3" fillId="0" borderId="18" xfId="0" applyFont="1" applyBorder="1" applyAlignment="1">
      <alignment vertical="center" wrapText="1"/>
    </xf>
    <xf numFmtId="0" fontId="30" fillId="0" borderId="21" xfId="0" applyFont="1" applyBorder="1" applyAlignment="1">
      <alignment vertical="center" wrapText="1"/>
    </xf>
    <xf numFmtId="0" fontId="30" fillId="0" borderId="2" xfId="0" applyFont="1" applyBorder="1" applyAlignment="1">
      <alignment vertical="center" wrapText="1"/>
    </xf>
    <xf numFmtId="0" fontId="2" fillId="0" borderId="21" xfId="0" applyFont="1" applyBorder="1" applyAlignment="1">
      <alignment vertical="center" wrapText="1"/>
    </xf>
    <xf numFmtId="0" fontId="2" fillId="0" borderId="2" xfId="0" applyFont="1" applyBorder="1" applyAlignment="1">
      <alignment vertical="center" wrapText="1"/>
    </xf>
    <xf numFmtId="0" fontId="38" fillId="0" borderId="6" xfId="0" applyFont="1" applyBorder="1" applyAlignment="1">
      <alignment vertical="center" wrapText="1"/>
    </xf>
    <xf numFmtId="0" fontId="38" fillId="0" borderId="3" xfId="0" applyFont="1" applyBorder="1" applyAlignment="1">
      <alignment vertical="center" wrapText="1"/>
    </xf>
    <xf numFmtId="0" fontId="38" fillId="0" borderId="18" xfId="0" applyFont="1" applyBorder="1" applyAlignment="1">
      <alignment vertical="center" wrapText="1"/>
    </xf>
    <xf numFmtId="0" fontId="2" fillId="0" borderId="22" xfId="0" applyFont="1" applyBorder="1" applyAlignment="1">
      <alignment vertical="center" wrapText="1"/>
    </xf>
    <xf numFmtId="0" fontId="2" fillId="0" borderId="17" xfId="0" applyFont="1" applyBorder="1" applyAlignment="1">
      <alignment vertical="center" wrapText="1"/>
    </xf>
    <xf numFmtId="0" fontId="2" fillId="0" borderId="23" xfId="0" applyFont="1" applyBorder="1" applyAlignment="1">
      <alignment vertical="center" wrapText="1"/>
    </xf>
    <xf numFmtId="0" fontId="2" fillId="0" borderId="4" xfId="0" applyFont="1" applyBorder="1" applyAlignment="1">
      <alignment vertical="center" wrapText="1"/>
    </xf>
    <xf numFmtId="0" fontId="30" fillId="0" borderId="19" xfId="0" applyFont="1" applyBorder="1" applyAlignment="1">
      <alignment vertical="center" wrapText="1"/>
    </xf>
    <xf numFmtId="0" fontId="2" fillId="0" borderId="19" xfId="0" applyFont="1" applyBorder="1" applyAlignment="1">
      <alignment vertical="center" wrapText="1"/>
    </xf>
    <xf numFmtId="0" fontId="2" fillId="0" borderId="24" xfId="0" applyFont="1" applyBorder="1" applyAlignment="1">
      <alignment vertical="center" wrapText="1"/>
    </xf>
    <xf numFmtId="0" fontId="2" fillId="0" borderId="5" xfId="0" applyFont="1" applyBorder="1" applyAlignment="1">
      <alignment vertical="center" wrapText="1"/>
    </xf>
    <xf numFmtId="0" fontId="2" fillId="0" borderId="25" xfId="0" applyFont="1" applyBorder="1" applyAlignment="1">
      <alignment vertical="center" wrapText="1"/>
    </xf>
    <xf numFmtId="0" fontId="2" fillId="0" borderId="20" xfId="0" applyFont="1" applyBorder="1" applyAlignment="1">
      <alignment vertical="center" wrapText="1"/>
    </xf>
    <xf numFmtId="0" fontId="38" fillId="0" borderId="0" xfId="0" applyFont="1" applyBorder="1" applyAlignment="1">
      <alignment horizontal="left" vertical="center" wrapText="1"/>
    </xf>
    <xf numFmtId="0" fontId="2" fillId="0" borderId="0" xfId="0" applyFont="1" applyBorder="1" applyAlignment="1">
      <alignment horizontal="left" vertical="center" wrapText="1"/>
    </xf>
    <xf numFmtId="0" fontId="2" fillId="0" borderId="0" xfId="0" applyFont="1" applyBorder="1" applyAlignment="1">
      <alignment horizontal="justify" vertical="center" wrapText="1"/>
    </xf>
    <xf numFmtId="0" fontId="38" fillId="0" borderId="0" xfId="0" applyFont="1" applyBorder="1" applyAlignment="1">
      <alignment vertical="center" wrapText="1"/>
    </xf>
    <xf numFmtId="0" fontId="3" fillId="0" borderId="0" xfId="0" applyFont="1" applyBorder="1" applyAlignment="1">
      <alignment vertical="center" wrapText="1"/>
    </xf>
    <xf numFmtId="0" fontId="2" fillId="0" borderId="0" xfId="0" quotePrefix="1" applyFont="1" applyBorder="1" applyAlignment="1">
      <alignment horizontal="justify" vertical="center" wrapText="1"/>
    </xf>
    <xf numFmtId="0" fontId="20" fillId="5" borderId="8" xfId="0" applyFont="1" applyFill="1" applyBorder="1" applyAlignment="1" applyProtection="1">
      <alignment horizontal="center" vertical="center"/>
      <protection locked="0"/>
    </xf>
    <xf numFmtId="0" fontId="0" fillId="4" borderId="0" xfId="0" applyFill="1" applyAlignment="1" applyProtection="1">
      <alignment horizontal="left" vertical="center" shrinkToFit="1"/>
      <protection locked="0"/>
    </xf>
    <xf numFmtId="0" fontId="19" fillId="6" borderId="9" xfId="0" applyFont="1" applyFill="1" applyBorder="1" applyAlignment="1" applyProtection="1">
      <alignment horizontal="center" vertical="center"/>
      <protection locked="0"/>
    </xf>
    <xf numFmtId="0" fontId="19" fillId="6" borderId="10" xfId="0" applyFont="1" applyFill="1" applyBorder="1" applyAlignment="1" applyProtection="1">
      <alignment horizontal="center" vertical="center"/>
      <protection locked="0"/>
    </xf>
    <xf numFmtId="0" fontId="17" fillId="5" borderId="14" xfId="0" applyFont="1" applyFill="1" applyBorder="1" applyAlignment="1" applyProtection="1">
      <alignment horizontal="center" vertical="center"/>
      <protection locked="0"/>
    </xf>
    <xf numFmtId="0" fontId="17" fillId="5" borderId="15" xfId="0" applyFont="1" applyFill="1" applyBorder="1" applyAlignment="1" applyProtection="1">
      <alignment horizontal="center" vertical="center"/>
      <protection locked="0"/>
    </xf>
    <xf numFmtId="0" fontId="20" fillId="5" borderId="10" xfId="0" applyFont="1" applyFill="1" applyBorder="1" applyAlignment="1" applyProtection="1">
      <alignment horizontal="right" vertical="center"/>
      <protection locked="0"/>
    </xf>
    <xf numFmtId="0" fontId="17" fillId="5" borderId="10" xfId="0" applyFont="1" applyFill="1" applyBorder="1" applyAlignment="1" applyProtection="1">
      <alignment horizontal="center" vertical="center"/>
      <protection locked="0"/>
    </xf>
    <xf numFmtId="0" fontId="17" fillId="5" borderId="8" xfId="0" applyFont="1" applyFill="1" applyBorder="1" applyAlignment="1" applyProtection="1">
      <alignment horizontal="center" vertical="center"/>
      <protection locked="0"/>
    </xf>
    <xf numFmtId="0" fontId="20" fillId="5" borderId="10" xfId="0" applyFont="1" applyFill="1" applyBorder="1" applyAlignment="1" applyProtection="1">
      <alignment horizontal="center" vertical="center"/>
      <protection locked="0"/>
    </xf>
    <xf numFmtId="0" fontId="19" fillId="6" borderId="13" xfId="0" applyFont="1" applyFill="1" applyBorder="1" applyAlignment="1" applyProtection="1">
      <alignment horizontal="center" vertical="center"/>
      <protection locked="0"/>
    </xf>
    <xf numFmtId="0" fontId="18" fillId="4" borderId="0" xfId="0" applyFont="1" applyFill="1" applyBorder="1" applyAlignment="1" applyProtection="1">
      <alignment horizontal="left" vertical="center" shrinkToFit="1"/>
    </xf>
    <xf numFmtId="0" fontId="0" fillId="4" borderId="0" xfId="0" quotePrefix="1" applyFill="1" applyBorder="1" applyAlignment="1" applyProtection="1">
      <alignment vertical="center" shrinkToFit="1"/>
      <protection locked="0"/>
    </xf>
    <xf numFmtId="0" fontId="0" fillId="8" borderId="11" xfId="0" applyFill="1" applyBorder="1" applyAlignment="1" applyProtection="1">
      <alignment horizontal="left" vertical="center"/>
      <protection locked="0"/>
    </xf>
    <xf numFmtId="0" fontId="0" fillId="8" borderId="12" xfId="0" applyFill="1" applyBorder="1" applyAlignment="1" applyProtection="1">
      <alignment horizontal="left" vertical="center"/>
      <protection locked="0"/>
    </xf>
    <xf numFmtId="0" fontId="47" fillId="0" borderId="0" xfId="0" applyFont="1">
      <alignment vertical="center"/>
    </xf>
  </cellXfs>
  <cellStyles count="1">
    <cellStyle name="표준"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581025</xdr:colOff>
          <xdr:row>0</xdr:row>
          <xdr:rowOff>457200</xdr:rowOff>
        </xdr:from>
        <xdr:to>
          <xdr:col>9</xdr:col>
          <xdr:colOff>542925</xdr:colOff>
          <xdr:row>0</xdr:row>
          <xdr:rowOff>1571625</xdr:rowOff>
        </xdr:to>
        <xdr:sp macro="" textlink="">
          <xdr:nvSpPr>
            <xdr:cNvPr id="7170" name="Button 2" hidden="1">
              <a:extLst>
                <a:ext uri="{63B3BB69-23CF-44E3-9099-C40C66FF867C}">
                  <a14:compatExt spid="_x0000_s717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단추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542925</xdr:colOff>
          <xdr:row>0</xdr:row>
          <xdr:rowOff>0</xdr:rowOff>
        </xdr:from>
        <xdr:to>
          <xdr:col>3</xdr:col>
          <xdr:colOff>1695450</xdr:colOff>
          <xdr:row>2</xdr:row>
          <xdr:rowOff>0</xdr:rowOff>
        </xdr:to>
        <xdr:sp macro="" textlink="">
          <xdr:nvSpPr>
            <xdr:cNvPr id="6146" name="Button 2" hidden="1">
              <a:extLst>
                <a:ext uri="{63B3BB69-23CF-44E3-9099-C40C66FF867C}">
                  <a14:compatExt spid="_x0000_s6146"/>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단추 2</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17609</xdr:colOff>
      <xdr:row>102</xdr:row>
      <xdr:rowOff>68036</xdr:rowOff>
    </xdr:from>
    <xdr:to>
      <xdr:col>1</xdr:col>
      <xdr:colOff>790815</xdr:colOff>
      <xdr:row>103</xdr:row>
      <xdr:rowOff>141673</xdr:rowOff>
    </xdr:to>
    <xdr:sp macro="" textlink="">
      <xdr:nvSpPr>
        <xdr:cNvPr id="2" name="직사각형 1"/>
        <xdr:cNvSpPr/>
      </xdr:nvSpPr>
      <xdr:spPr>
        <a:xfrm>
          <a:off x="1532084" y="21499286"/>
          <a:ext cx="773206" cy="283187"/>
        </a:xfrm>
        <a:prstGeom prst="rect">
          <a:avLst/>
        </a:prstGeom>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solidFill>
                <a:sysClr val="windowText" lastClr="000000"/>
              </a:solidFill>
            </a:rPr>
            <a:t>너비 </a:t>
          </a:r>
          <a:r>
            <a:rPr lang="en-US" altLang="ko-KR" sz="1100">
              <a:solidFill>
                <a:sysClr val="windowText" lastClr="000000"/>
              </a:solidFill>
            </a:rPr>
            <a:t>10</a:t>
          </a:r>
          <a:endParaRPr lang="ko-KR" altLang="en-US" sz="1100">
            <a:solidFill>
              <a:sysClr val="windowText" lastClr="000000"/>
            </a:solidFill>
          </a:endParaRPr>
        </a:p>
      </xdr:txBody>
    </xdr:sp>
    <xdr:clientData/>
  </xdr:twoCellAnchor>
  <xdr:twoCellAnchor>
    <xdr:from>
      <xdr:col>1</xdr:col>
      <xdr:colOff>17609</xdr:colOff>
      <xdr:row>102</xdr:row>
      <xdr:rowOff>68036</xdr:rowOff>
    </xdr:from>
    <xdr:to>
      <xdr:col>1</xdr:col>
      <xdr:colOff>790815</xdr:colOff>
      <xdr:row>103</xdr:row>
      <xdr:rowOff>141673</xdr:rowOff>
    </xdr:to>
    <xdr:sp macro="" textlink="">
      <xdr:nvSpPr>
        <xdr:cNvPr id="3" name="직사각형 2"/>
        <xdr:cNvSpPr/>
      </xdr:nvSpPr>
      <xdr:spPr>
        <a:xfrm>
          <a:off x="1532084" y="21499286"/>
          <a:ext cx="773206" cy="283187"/>
        </a:xfrm>
        <a:prstGeom prst="rect">
          <a:avLst/>
        </a:prstGeom>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solidFill>
                <a:sysClr val="windowText" lastClr="000000"/>
              </a:solidFill>
            </a:rPr>
            <a:t>너비 </a:t>
          </a:r>
          <a:r>
            <a:rPr lang="en-US" altLang="ko-KR" sz="1100">
              <a:solidFill>
                <a:sysClr val="windowText" lastClr="000000"/>
              </a:solidFill>
            </a:rPr>
            <a:t>10</a:t>
          </a:r>
          <a:endParaRPr lang="ko-KR" altLang="en-US" sz="1100">
            <a:solidFill>
              <a:sysClr val="windowText" lastClr="00000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donghun.lee\AppData\Roaming\Microsoft\AddIns\Smart%20Excel%202020.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gram Infor."/>
      <sheetName val="Excel"/>
      <sheetName val="엑셀 함수"/>
      <sheetName val="폴더이름"/>
      <sheetName val="폴더이름변경"/>
      <sheetName val="실행"/>
      <sheetName val="경로"/>
      <sheetName val="이름"/>
      <sheetName val="파일이름"/>
      <sheetName val="파일이름변경"/>
      <sheetName val="파일 이동_복사"/>
      <sheetName val="파일합치기"/>
      <sheetName val="파일별 시트 정보"/>
      <sheetName val="병합시트"/>
      <sheetName val="SendKey"/>
      <sheetName val="Ribbon 2006"/>
      <sheetName val="삼각함수"/>
      <sheetName val="Ribbon 2010"/>
      <sheetName val="Function"/>
      <sheetName val="Coding"/>
    </sheetNames>
    <definedNames>
      <definedName name="SplitText"/>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3.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FFC000"/>
  </sheetPr>
  <dimension ref="A1:H18"/>
  <sheetViews>
    <sheetView zoomScale="85" zoomScaleNormal="85" workbookViewId="0">
      <pane ySplit="4" topLeftCell="A5" activePane="bottomLeft" state="frozen"/>
      <selection activeCell="N79" sqref="N79"/>
      <selection pane="bottomLeft" activeCell="A14" sqref="A14:AX18"/>
    </sheetView>
  </sheetViews>
  <sheetFormatPr defaultColWidth="9" defaultRowHeight="16.5"/>
  <cols>
    <col min="1" max="1" width="19.875" style="36" customWidth="1"/>
    <col min="2" max="2" width="17.75" style="34" customWidth="1"/>
    <col min="3" max="3" width="20.75" style="34" customWidth="1"/>
    <col min="4" max="4" width="26" style="34" customWidth="1"/>
    <col min="5" max="5" width="18.25" style="35" customWidth="1"/>
    <col min="6" max="6" width="35.375" style="34" customWidth="1"/>
    <col min="7" max="7" width="28.375" style="34" customWidth="1"/>
    <col min="8" max="8" width="21.125" style="34" customWidth="1"/>
    <col min="9" max="12" width="12.625" style="34" customWidth="1"/>
    <col min="13" max="13" width="17.625" style="34" customWidth="1"/>
    <col min="14" max="15" width="9" style="34"/>
    <col min="16" max="16" width="13.75" style="34" bestFit="1" customWidth="1"/>
    <col min="17" max="16384" width="9" style="34"/>
  </cols>
  <sheetData>
    <row r="1" spans="1:8" ht="21" customHeight="1">
      <c r="A1" s="32" t="s">
        <v>1507</v>
      </c>
      <c r="B1" s="33" t="s">
        <v>1125</v>
      </c>
      <c r="C1" s="34" t="s">
        <v>1126</v>
      </c>
    </row>
    <row r="2" spans="1:8" ht="16.5" customHeight="1">
      <c r="E2" s="196"/>
      <c r="F2" s="196"/>
    </row>
    <row r="3" spans="1:8" ht="16.5" customHeight="1">
      <c r="E3" s="196"/>
      <c r="F3" s="196"/>
    </row>
    <row r="4" spans="1:8" ht="18" customHeight="1"/>
    <row r="8" spans="1:8">
      <c r="A8" s="73"/>
      <c r="B8" s="34" t="s">
        <v>1258</v>
      </c>
      <c r="C8" s="50"/>
      <c r="E8" s="34"/>
      <c r="F8" s="38"/>
    </row>
    <row r="9" spans="1:8">
      <c r="A9" s="73"/>
      <c r="B9" s="40" t="s">
        <v>1259</v>
      </c>
      <c r="C9" s="77" t="s">
        <v>1260</v>
      </c>
      <c r="D9" s="77" t="s">
        <v>1261</v>
      </c>
      <c r="E9" s="77" t="s">
        <v>1262</v>
      </c>
      <c r="F9" s="77" t="s">
        <v>1263</v>
      </c>
      <c r="G9" s="77" t="s">
        <v>1264</v>
      </c>
      <c r="H9" s="77" t="s">
        <v>1265</v>
      </c>
    </row>
    <row r="10" spans="1:8">
      <c r="A10" s="57" t="s">
        <v>1266</v>
      </c>
      <c r="B10" s="48" t="s">
        <v>1267</v>
      </c>
      <c r="C10" s="44" t="s">
        <v>1508</v>
      </c>
      <c r="D10" s="47" t="s">
        <v>501</v>
      </c>
      <c r="E10" s="47"/>
      <c r="F10" s="47"/>
      <c r="G10" s="47" t="s">
        <v>501</v>
      </c>
      <c r="H10" s="47" t="s">
        <v>1269</v>
      </c>
    </row>
    <row r="14" spans="1:8">
      <c r="A14" s="57"/>
      <c r="B14" s="34" t="s">
        <v>1196</v>
      </c>
      <c r="C14" s="58"/>
      <c r="D14" s="38"/>
      <c r="E14" s="34"/>
      <c r="F14" s="38"/>
      <c r="G14" s="38"/>
    </row>
    <row r="15" spans="1:8">
      <c r="A15" s="57"/>
      <c r="B15" s="40" t="s">
        <v>1178</v>
      </c>
      <c r="C15" s="59" t="s">
        <v>1197</v>
      </c>
      <c r="D15" s="59" t="s">
        <v>1198</v>
      </c>
      <c r="E15" s="40" t="s">
        <v>1199</v>
      </c>
      <c r="F15" s="59" t="s">
        <v>1200</v>
      </c>
      <c r="G15" s="195" t="s">
        <v>1201</v>
      </c>
      <c r="H15" s="195"/>
    </row>
    <row r="16" spans="1:8">
      <c r="A16" s="57" t="s">
        <v>1202</v>
      </c>
      <c r="B16" s="48" t="s">
        <v>1171</v>
      </c>
      <c r="C16" s="48" t="s">
        <v>1194</v>
      </c>
      <c r="D16" s="60" t="s">
        <v>1203</v>
      </c>
      <c r="E16" s="48"/>
      <c r="F16" s="48" t="s">
        <v>1172</v>
      </c>
      <c r="G16" s="61" t="str">
        <f>IF(ISERROR(MID(C16,2,1)*1),MID(C16,1,2),MID(C16,1,1))</f>
        <v>A</v>
      </c>
      <c r="H16" s="61" t="str">
        <f>IF(ISERROR(MID(C16,2,1)*1),MID(C16,3,5),MID(C16,2,5))</f>
        <v>1</v>
      </c>
    </row>
    <row r="17" spans="1:8">
      <c r="A17" s="57"/>
      <c r="B17" s="54"/>
      <c r="C17" s="62"/>
      <c r="D17" s="63"/>
      <c r="E17" s="64"/>
      <c r="F17" s="64"/>
      <c r="G17" s="65"/>
      <c r="H17" s="65"/>
    </row>
    <row r="18" spans="1:8">
      <c r="A18" s="57"/>
      <c r="B18" s="54"/>
      <c r="C18" s="62"/>
      <c r="D18" s="63"/>
      <c r="E18" s="64"/>
      <c r="F18" s="64"/>
      <c r="G18" s="65"/>
      <c r="H18" s="65"/>
    </row>
  </sheetData>
  <mergeCells count="2">
    <mergeCell ref="G15:H15"/>
    <mergeCell ref="E2:F3"/>
  </mergeCells>
  <phoneticPr fontId="4" type="noConversion"/>
  <dataValidations disablePrompts="1" count="1">
    <dataValidation type="list" allowBlank="1" showInputMessage="1" showErrorMessage="1" sqref="G10 D10 F16:F18">
      <formula1>"Y,N"</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G50"/>
  <sheetViews>
    <sheetView topLeftCell="A19" workbookViewId="0">
      <selection activeCell="G1" sqref="G1:G19"/>
    </sheetView>
  </sheetViews>
  <sheetFormatPr defaultRowHeight="16.5"/>
  <cols>
    <col min="1" max="1" width="18.375" customWidth="1"/>
    <col min="2" max="2" width="12.375" bestFit="1" customWidth="1"/>
    <col min="3" max="3" width="22.625" bestFit="1" customWidth="1"/>
    <col min="4" max="4" width="14.75" customWidth="1"/>
    <col min="5" max="5" width="43" customWidth="1"/>
    <col min="6" max="6" width="16.375" customWidth="1"/>
    <col min="7" max="7" width="51.625" customWidth="1"/>
  </cols>
  <sheetData>
    <row r="1" spans="1:7" ht="149.25" customHeight="1" thickBot="1">
      <c r="A1" s="92" t="s">
        <v>5055</v>
      </c>
      <c r="B1" s="8" t="s">
        <v>5037</v>
      </c>
      <c r="C1" s="91" t="s">
        <v>5028</v>
      </c>
      <c r="D1" s="5" t="s">
        <v>5111</v>
      </c>
      <c r="E1" t="s">
        <v>5111</v>
      </c>
      <c r="F1" t="s">
        <v>5069</v>
      </c>
      <c r="G1" s="90" t="str">
        <f>"{"&amp;CHAR(10)&amp;"""label"": """ &amp;A1&amp;""","&amp;CHAR(10)&amp;"""snippet"": """&amp;E1&amp;""","&amp;CHAR(10)&amp;"""md"": """&amp;C1&amp;""""&amp;CHAR(10)&amp;"},"</f>
        <v>{
"label": " UniqueID ",
"snippet": " UniqueID ",
"md": " Internal ID "
},</v>
      </c>
    </row>
    <row r="2" spans="1:7" ht="116.25" customHeight="1" thickBot="1">
      <c r="A2" s="92" t="s">
        <v>5056</v>
      </c>
      <c r="B2" s="8" t="s">
        <v>5037</v>
      </c>
      <c r="C2" s="91" t="s">
        <v>5057</v>
      </c>
      <c r="D2" s="7" t="s">
        <v>5112</v>
      </c>
      <c r="E2" t="s">
        <v>5112</v>
      </c>
      <c r="F2" t="s">
        <v>5113</v>
      </c>
      <c r="G2" s="90" t="str">
        <f t="shared" ref="G2:G50" si="0">"{"&amp;CHAR(10)&amp;"""label"": """ &amp;A2&amp;""","&amp;CHAR(10)&amp;"""snippet"": """&amp;E2&amp;""","&amp;CHAR(10)&amp;"""md"": """&amp;C2&amp;""""&amp;CHAR(10)&amp;"},"</f>
        <v>{
"label": " Name  ",
"snippet": " Name  ",
"md": " Session Name"
},</v>
      </c>
    </row>
    <row r="3" spans="1:7" ht="165.75" customHeight="1" thickBot="1">
      <c r="A3" s="92" t="s">
        <v>5029</v>
      </c>
      <c r="B3" s="8" t="s">
        <v>5037</v>
      </c>
      <c r="C3" s="91" t="s">
        <v>5058</v>
      </c>
      <c r="D3" s="6" t="s">
        <v>5114</v>
      </c>
      <c r="E3" t="s">
        <v>5115</v>
      </c>
      <c r="F3" t="s">
        <v>5113</v>
      </c>
      <c r="G3" s="90" t="str">
        <f t="shared" si="0"/>
        <v>{
"label": " Login  ",
"snippet": " Login  ",
"md": " User’s login ID"
},</v>
      </c>
    </row>
    <row r="4" spans="1:7" ht="115.5" customHeight="1" thickBot="1">
      <c r="A4" s="92" t="s">
        <v>5030</v>
      </c>
      <c r="B4" s="8" t="s">
        <v>4996</v>
      </c>
      <c r="C4" s="91" t="s">
        <v>4997</v>
      </c>
      <c r="D4" s="93" t="s">
        <v>5116</v>
      </c>
      <c r="E4" t="s">
        <v>5117</v>
      </c>
      <c r="F4" t="s">
        <v>5068</v>
      </c>
      <c r="G4" s="90" t="str">
        <f t="shared" si="0"/>
        <v>{
"label": " Host  ",
"snippet": " Host  ",
"md": " ID of the Machine running the session"
},</v>
      </c>
    </row>
    <row r="5" spans="1:7" ht="83.25" thickBot="1">
      <c r="A5" s="92" t="s">
        <v>4998</v>
      </c>
      <c r="B5" s="8" t="s">
        <v>5039</v>
      </c>
      <c r="C5" s="91" t="s">
        <v>5059</v>
      </c>
      <c r="D5" s="8" t="s">
        <v>5118</v>
      </c>
      <c r="E5" t="s">
        <v>5118</v>
      </c>
      <c r="F5" t="s">
        <v>5069</v>
      </c>
      <c r="G5" s="90" t="str">
        <f t="shared" si="0"/>
        <v>{
"label": " Entered  ",
"snippet": " Entered  ",
"md": " Time of entering the session"
},</v>
      </c>
    </row>
    <row r="6" spans="1:7" ht="83.25" thickBot="1">
      <c r="A6" s="92" t="s">
        <v>4999</v>
      </c>
      <c r="B6" s="8" t="s">
        <v>4996</v>
      </c>
      <c r="C6" s="8" t="s">
        <v>5000</v>
      </c>
      <c r="D6" s="8" t="s">
        <v>5119</v>
      </c>
      <c r="E6" t="s">
        <v>5120</v>
      </c>
      <c r="F6" t="s">
        <v>5121</v>
      </c>
      <c r="G6" s="90" t="str">
        <f t="shared" si="0"/>
        <v>{
"label": " LocationName ",
"snippet": " LocationName ",
"md": " Name  of  Location  for Session"
},</v>
      </c>
    </row>
    <row r="7" spans="1:7" ht="83.25" thickBot="1">
      <c r="A7" s="92" t="s">
        <v>5001</v>
      </c>
      <c r="B7" s="8" t="s">
        <v>5037</v>
      </c>
      <c r="C7" s="91" t="s">
        <v>5031</v>
      </c>
      <c r="D7" s="6" t="s">
        <v>5122</v>
      </c>
      <c r="E7" t="s">
        <v>5122</v>
      </c>
      <c r="F7" t="s">
        <v>5068</v>
      </c>
      <c r="G7" s="90" t="str">
        <f t="shared" si="0"/>
        <v>{
"label": " IsRemote ",
"snippet": " IsRemote ",
"md": " True for Sessions at Remote locations"
},</v>
      </c>
    </row>
    <row r="8" spans="1:7" ht="83.25" thickBot="1">
      <c r="A8" s="92" t="s">
        <v>5002</v>
      </c>
      <c r="B8" s="8" t="s">
        <v>4936</v>
      </c>
      <c r="C8" s="8" t="s">
        <v>5060</v>
      </c>
      <c r="D8" s="6" t="s">
        <v>5123</v>
      </c>
      <c r="E8" t="s">
        <v>5124</v>
      </c>
      <c r="F8" t="s">
        <v>5125</v>
      </c>
      <c r="G8" s="90" t="str">
        <f t="shared" si="0"/>
        <v>{
"label": " IsCurrent  ",
"snippet": " IsCurrent  ",
"md": " TRUE  for  User’s  own SESSION object"
},</v>
      </c>
    </row>
    <row r="9" spans="1:7" ht="99.75" thickBot="1">
      <c r="A9" s="4" t="s">
        <v>5003</v>
      </c>
      <c r="B9" s="5" t="s">
        <v>4995</v>
      </c>
      <c r="C9" s="6" t="s">
        <v>5004</v>
      </c>
      <c r="D9" s="5" t="s">
        <v>5126</v>
      </c>
      <c r="E9" t="s">
        <v>5127</v>
      </c>
      <c r="F9" t="s">
        <v>5128</v>
      </c>
      <c r="G9" s="90" t="str">
        <f t="shared" si="0"/>
        <v>{
"label": " SESSION (STRING)",
"snippet": " SESSION ( ${1:STRING}) ${2:is  SESSION}",
"md": " Returns a SESSION object, given a string containing a session's Unique-id."
},</v>
      </c>
    </row>
    <row r="10" spans="1:7" ht="116.25" thickBot="1">
      <c r="A10" s="145" t="s">
        <v>5005</v>
      </c>
      <c r="B10" s="5" t="s">
        <v>4889</v>
      </c>
      <c r="C10" s="6" t="s">
        <v>5006</v>
      </c>
      <c r="D10" s="6" t="s">
        <v>5129</v>
      </c>
      <c r="E10" t="s">
        <v>5130</v>
      </c>
      <c r="F10" t="s">
        <v>5131</v>
      </c>
      <c r="G10" s="90" t="str">
        <f t="shared" si="0"/>
        <v>{
"label": " ConfirmID (STRING)",
"snippet": " ConfirmID ( ${1:STRING}) ${2:is  BOOLEAN}",
"md": " Returns TRUE if the password specified by the STRING is correct for the currently logged-in user. (The STRING value must include the leading ‘/’ character)."
},</v>
      </c>
    </row>
    <row r="11" spans="1:7" ht="99.75" thickBot="1">
      <c r="A11" s="4" t="s">
        <v>4992</v>
      </c>
      <c r="B11" s="5" t="s">
        <v>4990</v>
      </c>
      <c r="C11" s="6" t="s">
        <v>5007</v>
      </c>
      <c r="D11" s="6" t="s">
        <v>5132</v>
      </c>
      <c r="E11" t="s">
        <v>5133</v>
      </c>
      <c r="F11" t="s">
        <v>5134</v>
      </c>
      <c r="G11" s="90" t="str">
        <f t="shared" si="0"/>
        <v>{
"label": " Current() ",
"snippet": " Current() ${1:is  ARRAY OF DB}",
"md": " List of Current DBs in the MDB of the SESSION object."
},</v>
      </c>
    </row>
    <row r="12" spans="1:7" ht="99.75" thickBot="1">
      <c r="A12" s="4" t="s">
        <v>5008</v>
      </c>
      <c r="B12" s="5" t="s">
        <v>4990</v>
      </c>
      <c r="C12" s="6" t="s">
        <v>5009</v>
      </c>
      <c r="D12" s="6" t="s">
        <v>5135</v>
      </c>
      <c r="E12" t="s">
        <v>5136</v>
      </c>
      <c r="F12" t="s">
        <v>5134</v>
      </c>
      <c r="G12" s="90" t="str">
        <f t="shared" si="0"/>
        <v>{
"label": " Deferred() ",
"snippet": " Deferred() ${1:is  ARRAY OF DB}",
"md": " List Deferred DB’s in the MDB of the SESSION object."
},</v>
      </c>
    </row>
    <row r="13" spans="1:7" ht="99.75" thickBot="1">
      <c r="A13" s="4" t="s">
        <v>5010</v>
      </c>
      <c r="B13" s="5" t="s">
        <v>4989</v>
      </c>
      <c r="C13" s="6" t="s">
        <v>5011</v>
      </c>
      <c r="D13" s="5" t="s">
        <v>5137</v>
      </c>
      <c r="E13" t="s">
        <v>5138</v>
      </c>
      <c r="F13" t="s">
        <v>5139</v>
      </c>
      <c r="G13" s="90" t="str">
        <f t="shared" si="0"/>
        <v>{
"label": " Location()",
"snippet": " Location() ${1:is  LOCATION}",
"md": " Return LOCATION to which the Session applies. In a non-Global project, returns NULL or error."
},</v>
      </c>
    </row>
    <row r="14" spans="1:7" ht="83.25" thickBot="1">
      <c r="A14" s="4" t="s">
        <v>5012</v>
      </c>
      <c r="B14" s="5" t="s">
        <v>4991</v>
      </c>
      <c r="C14" s="5" t="s">
        <v>5013</v>
      </c>
      <c r="D14" s="5" t="s">
        <v>5140</v>
      </c>
      <c r="E14" t="s">
        <v>5141</v>
      </c>
      <c r="F14" t="s">
        <v>5142</v>
      </c>
      <c r="G14" s="90" t="str">
        <f t="shared" si="0"/>
        <v>{
"label": " MDB() ",
"snippet": " MDB() ${1:is  MDB}",
"md": " The current MDB of the SESSION."
},</v>
      </c>
    </row>
    <row r="15" spans="1:7" ht="99.75" thickBot="1">
      <c r="A15" s="4" t="s">
        <v>4993</v>
      </c>
      <c r="B15" s="5" t="s">
        <v>4933</v>
      </c>
      <c r="C15" s="6" t="s">
        <v>5014</v>
      </c>
      <c r="D15" s="180" t="s">
        <v>5143</v>
      </c>
      <c r="E15" t="s">
        <v>5144</v>
      </c>
      <c r="F15" t="s">
        <v>5145</v>
      </c>
      <c r="G15" s="90" t="str">
        <f t="shared" si="0"/>
        <v>{
"label": " Mode() ",
"snippet": " Mode() ${1:is  ARRAY OF STRING}",
"md": " List of potential access modes as ‘R’ , ‘RW’  or ‘N’ for each of the current DBs."
},</v>
      </c>
    </row>
    <row r="16" spans="1:7" ht="83.25" thickBot="1">
      <c r="A16" s="4" t="s">
        <v>5015</v>
      </c>
      <c r="B16" s="5" t="s">
        <v>4889</v>
      </c>
      <c r="C16" s="5" t="s">
        <v>5016</v>
      </c>
      <c r="D16" s="5" t="s">
        <v>5146</v>
      </c>
      <c r="E16" t="s">
        <v>5147</v>
      </c>
      <c r="F16" t="s">
        <v>5148</v>
      </c>
      <c r="G16" s="90" t="str">
        <f t="shared" si="0"/>
        <v>{
"label": " Modified() ",
"snippet": " Modified() ${1:is  BOOLEAN}",
"md": " TRUE if database has been modified."
},</v>
      </c>
    </row>
    <row r="17" spans="1:7" ht="83.25" thickBot="1">
      <c r="A17" s="4" t="s">
        <v>5017</v>
      </c>
      <c r="B17" s="5" t="s">
        <v>4894</v>
      </c>
      <c r="C17" s="5" t="s">
        <v>5018</v>
      </c>
      <c r="D17" s="5" t="s">
        <v>5149</v>
      </c>
      <c r="E17" t="s">
        <v>5150</v>
      </c>
      <c r="F17" t="s">
        <v>5063</v>
      </c>
      <c r="G17" s="90" t="str">
        <f t="shared" si="0"/>
        <v>{
"label": " Module() ",
"snippet": " Module() ${1:is  STRING}",
"md": " Name of the current module."
},</v>
      </c>
    </row>
    <row r="18" spans="1:7" ht="99.75" thickBot="1">
      <c r="A18" s="4" t="s">
        <v>5019</v>
      </c>
      <c r="B18" s="5" t="s">
        <v>4932</v>
      </c>
      <c r="C18" s="6" t="s">
        <v>5020</v>
      </c>
      <c r="D18" s="6" t="s">
        <v>5151</v>
      </c>
      <c r="E18" t="s">
        <v>5152</v>
      </c>
      <c r="F18" t="s">
        <v>5153</v>
      </c>
      <c r="G18" s="90" t="str">
        <f t="shared" si="0"/>
        <v>{
"label": " Status() ",
"snippet": " Status() ${1:is  ARRAY OF STRINGS}",
"md": " List of current access modes as ‘R’ , ‘RW’  or ‘N’ for each of the current DBs."
},</v>
      </c>
    </row>
    <row r="19" spans="1:7" ht="83.25" thickBot="1">
      <c r="A19" s="4" t="s">
        <v>5021</v>
      </c>
      <c r="B19" s="5" t="s">
        <v>5022</v>
      </c>
      <c r="C19" s="5" t="s">
        <v>5023</v>
      </c>
      <c r="D19" s="6" t="s">
        <v>5154</v>
      </c>
      <c r="E19" t="s">
        <v>5155</v>
      </c>
      <c r="F19" t="s">
        <v>5156</v>
      </c>
      <c r="G19" s="90" t="str">
        <f t="shared" si="0"/>
        <v>{
"label": " User() ",
"snippet": " User() ${1:is  USER}",
"md": " The user of this SESSION object."
},</v>
      </c>
    </row>
    <row r="20" spans="1:7" ht="83.25" thickBot="1">
      <c r="A20" s="4"/>
      <c r="B20" s="6"/>
      <c r="C20" s="6"/>
      <c r="D20" t="s">
        <v>5095</v>
      </c>
      <c r="E20" t="s">
        <v>5072</v>
      </c>
      <c r="F20" t="s">
        <v>5061</v>
      </c>
      <c r="G20" s="90" t="str">
        <f t="shared" si="0"/>
        <v>{
"label": "",
"snippet": " RemovePopup( ${1:MENU menu})",
"md": ""
},</v>
      </c>
    </row>
    <row r="21" spans="1:7" ht="83.25" thickBot="1">
      <c r="A21" s="4"/>
      <c r="B21" s="5"/>
      <c r="C21" s="6"/>
      <c r="D21" t="s">
        <v>5096</v>
      </c>
      <c r="E21" t="s">
        <v>5097</v>
      </c>
      <c r="F21" t="s">
        <v>5098</v>
      </c>
      <c r="G21" s="90" t="str">
        <f t="shared" si="0"/>
        <v>{
"label": "",
"snippet": " GetPickedPopup() ${1:is  MENU}",
"md": ""
},</v>
      </c>
    </row>
    <row r="22" spans="1:7" ht="83.25" thickBot="1">
      <c r="A22" s="4"/>
      <c r="B22" s="5"/>
      <c r="C22" s="5"/>
      <c r="D22" t="s">
        <v>5064</v>
      </c>
      <c r="E22" t="s">
        <v>5099</v>
      </c>
      <c r="F22" t="s">
        <v>5071</v>
      </c>
      <c r="G22" s="90" t="str">
        <f t="shared" si="0"/>
        <v>{
"label": "",
"snippet": " Shown() ${1:is  BOOLEAN}",
"md": ""
},</v>
      </c>
    </row>
    <row r="23" spans="1:7" ht="83.25" thickBot="1">
      <c r="A23" s="4"/>
      <c r="B23" s="5"/>
      <c r="C23" s="5"/>
      <c r="D23" t="s">
        <v>5065</v>
      </c>
      <c r="E23" t="s">
        <v>5100</v>
      </c>
      <c r="F23" t="s">
        <v>5063</v>
      </c>
      <c r="G23" s="90" t="str">
        <f t="shared" si="0"/>
        <v>{
"label": "",
"snippet": " Type() ${1:is  STRING}",
"md": ""
},</v>
      </c>
    </row>
    <row r="24" spans="1:7" ht="82.5">
      <c r="A24" s="92"/>
      <c r="B24" s="91"/>
      <c r="C24" s="8"/>
      <c r="D24" t="s">
        <v>5070</v>
      </c>
      <c r="E24" t="s">
        <v>5101</v>
      </c>
      <c r="F24" t="s">
        <v>5102</v>
      </c>
      <c r="G24" s="90" t="str">
        <f t="shared" si="0"/>
        <v>{
"label": "",
"snippet": " Background() ${1:is  STRING }",
"md": ""
},</v>
      </c>
    </row>
    <row r="25" spans="1:7" ht="83.25" thickBot="1">
      <c r="A25" s="4"/>
      <c r="B25" s="5"/>
      <c r="C25" s="6"/>
      <c r="D25" t="s">
        <v>5103</v>
      </c>
      <c r="E25" t="s">
        <v>5066</v>
      </c>
      <c r="F25" t="s">
        <v>5067</v>
      </c>
      <c r="G25" s="90" t="str">
        <f t="shared" si="0"/>
        <v>{
"label": "",
"snippet": " DisplayText( ${1: }) ${2:is  STRING}",
"md": ""
},</v>
      </c>
    </row>
    <row r="26" spans="1:7" ht="83.25" thickBot="1">
      <c r="A26" s="4"/>
      <c r="B26" s="6"/>
      <c r="C26" s="6"/>
      <c r="D26" t="s">
        <v>5104</v>
      </c>
      <c r="E26" t="s">
        <v>5105</v>
      </c>
      <c r="F26" t="s">
        <v>5106</v>
      </c>
      <c r="G26" s="90" t="str">
        <f t="shared" si="0"/>
        <v>{
"label": "",
"snippet": " SetPopup( ${1:  !menu })",
"md": ""
},</v>
      </c>
    </row>
    <row r="27" spans="1:7" ht="83.25" thickBot="1">
      <c r="A27" s="4"/>
      <c r="B27" s="6"/>
      <c r="C27" s="6"/>
      <c r="D27" t="s">
        <v>5073</v>
      </c>
      <c r="E27" t="s">
        <v>5107</v>
      </c>
      <c r="F27" t="s">
        <v>5062</v>
      </c>
      <c r="G27" s="90" t="str">
        <f t="shared" si="0"/>
        <v>{
"label": "",
"snippet": " Clear( ${1: !dtext })",
"md": ""
},</v>
      </c>
    </row>
    <row r="28" spans="1:7" ht="83.25" thickBot="1">
      <c r="A28" s="4"/>
      <c r="B28" s="6"/>
      <c r="C28" s="5"/>
      <c r="D28" t="s">
        <v>5074</v>
      </c>
      <c r="E28" t="s">
        <v>5108</v>
      </c>
      <c r="F28" t="s">
        <v>5109</v>
      </c>
      <c r="G28" s="90" t="str">
        <f t="shared" si="0"/>
        <v>{
"label": "",
"snippet": " Clear( ${1: !fieldNumber })",
"md": ""
},</v>
      </c>
    </row>
    <row r="29" spans="1:7" ht="99.75" thickBot="1">
      <c r="A29" s="92"/>
      <c r="B29" s="91"/>
      <c r="C29" s="7"/>
      <c r="D29" t="s">
        <v>5091</v>
      </c>
      <c r="E29" t="s">
        <v>5092</v>
      </c>
      <c r="F29" t="s">
        <v>5089</v>
      </c>
      <c r="G29" s="90" t="str">
        <f t="shared" si="0"/>
        <v>{
"label": "",
"snippet": " SetActive( ${1:STRING Dtext},${2: BOOLEAN  active})",
"md": ""
},</v>
      </c>
    </row>
    <row r="30" spans="1:7" ht="99">
      <c r="A30" s="96"/>
      <c r="B30" s="91"/>
      <c r="C30" s="7"/>
      <c r="D30" t="s">
        <v>5093</v>
      </c>
      <c r="E30" t="s">
        <v>5094</v>
      </c>
      <c r="F30" t="s">
        <v>5090</v>
      </c>
      <c r="G30" s="90" t="str">
        <f t="shared" si="0"/>
        <v>{
"label": "",
"snippet": " SetFieldProperty( ${1:STRING menuField },${2: STRING property},${3:  BOOLEAN value})",
"md": ""
},</v>
      </c>
    </row>
    <row r="31" spans="1:7" ht="83.25" thickBot="1">
      <c r="A31" s="4"/>
      <c r="B31" s="5"/>
      <c r="C31" s="6"/>
      <c r="D31" t="s">
        <v>5079</v>
      </c>
      <c r="E31" t="s">
        <v>5080</v>
      </c>
      <c r="F31" t="s">
        <v>5076</v>
      </c>
      <c r="G31" s="90" t="str">
        <f t="shared" si="0"/>
        <v>{
"label": "",
"snippet": " Projected( ${1:PLANE plane}) ${2:is  LINE}",
"md": ""
},</v>
      </c>
    </row>
    <row r="32" spans="1:7" ht="83.25" thickBot="1">
      <c r="A32" s="4"/>
      <c r="B32" s="5"/>
      <c r="C32" s="6"/>
      <c r="D32" t="s">
        <v>5081</v>
      </c>
      <c r="E32" t="s">
        <v>5082</v>
      </c>
      <c r="F32" t="s">
        <v>5078</v>
      </c>
      <c r="G32" s="90" t="str">
        <f t="shared" si="0"/>
        <v>{
"label": "",
"snippet": " Parallel( ${1:POSITION position}) ${2:is  LINE}",
"md": ""
},</v>
      </c>
    </row>
    <row r="33" spans="1:7" ht="99.75" thickBot="1">
      <c r="A33" s="4"/>
      <c r="B33" s="5"/>
      <c r="C33" s="6"/>
      <c r="D33" t="s">
        <v>5083</v>
      </c>
      <c r="E33" t="s">
        <v>5084</v>
      </c>
      <c r="F33" t="s">
        <v>5075</v>
      </c>
      <c r="G33" s="90" t="str">
        <f t="shared" si="0"/>
        <v>{
"label": "",
"snippet": " Offset( ${1:DIRECTION direction},${2: REAL offset}) ${3:is  LINE}",
"md": ""
},</v>
      </c>
    </row>
    <row r="34" spans="1:7" ht="83.25" thickBot="1">
      <c r="A34" s="4"/>
      <c r="B34" s="5"/>
      <c r="C34" s="6"/>
      <c r="D34" t="s">
        <v>5085</v>
      </c>
      <c r="E34" t="s">
        <v>5086</v>
      </c>
      <c r="F34" t="s">
        <v>5075</v>
      </c>
      <c r="G34" s="90" t="str">
        <f t="shared" si="0"/>
        <v>{
"label": "",
"snippet": " Overlap( ${1:LINE other}) ${2:is  LINE}",
"md": ""
},</v>
      </c>
    </row>
    <row r="35" spans="1:7" ht="83.25" thickBot="1">
      <c r="A35" s="4"/>
      <c r="B35" s="5"/>
      <c r="C35" s="6"/>
      <c r="D35" t="s">
        <v>5087</v>
      </c>
      <c r="E35" t="s">
        <v>5088</v>
      </c>
      <c r="F35" t="s">
        <v>5077</v>
      </c>
      <c r="G35" s="90" t="str">
        <f t="shared" si="0"/>
        <v>{
"label": "",
"snippet": " Union( ${1:LINE other}) ${2:is  LINE}",
"md": ""
},</v>
      </c>
    </row>
    <row r="36" spans="1:7" ht="82.5">
      <c r="G36" s="90" t="str">
        <f t="shared" si="0"/>
        <v>{
"label": "",
"snippet": "",
"md": ""
},</v>
      </c>
    </row>
    <row r="37" spans="1:7" ht="82.5">
      <c r="G37" s="90" t="str">
        <f t="shared" si="0"/>
        <v>{
"label": "",
"snippet": "",
"md": ""
},</v>
      </c>
    </row>
    <row r="38" spans="1:7" ht="82.5">
      <c r="G38" s="90" t="str">
        <f t="shared" si="0"/>
        <v>{
"label": "",
"snippet": "",
"md": ""
},</v>
      </c>
    </row>
    <row r="39" spans="1:7" ht="82.5">
      <c r="G39" s="90" t="str">
        <f t="shared" si="0"/>
        <v>{
"label": "",
"snippet": "",
"md": ""
},</v>
      </c>
    </row>
    <row r="40" spans="1:7" ht="82.5">
      <c r="G40" s="90" t="str">
        <f t="shared" si="0"/>
        <v>{
"label": "",
"snippet": "",
"md": ""
},</v>
      </c>
    </row>
    <row r="41" spans="1:7" ht="82.5">
      <c r="G41" s="90" t="str">
        <f t="shared" si="0"/>
        <v>{
"label": "",
"snippet": "",
"md": ""
},</v>
      </c>
    </row>
    <row r="42" spans="1:7" ht="82.5">
      <c r="G42" s="90" t="str">
        <f t="shared" si="0"/>
        <v>{
"label": "",
"snippet": "",
"md": ""
},</v>
      </c>
    </row>
    <row r="43" spans="1:7" ht="82.5">
      <c r="G43" s="90" t="str">
        <f t="shared" si="0"/>
        <v>{
"label": "",
"snippet": "",
"md": ""
},</v>
      </c>
    </row>
    <row r="44" spans="1:7" ht="82.5">
      <c r="G44" s="90" t="str">
        <f t="shared" si="0"/>
        <v>{
"label": "",
"snippet": "",
"md": ""
},</v>
      </c>
    </row>
    <row r="45" spans="1:7" ht="82.5">
      <c r="G45" s="90" t="str">
        <f t="shared" si="0"/>
        <v>{
"label": "",
"snippet": "",
"md": ""
},</v>
      </c>
    </row>
    <row r="46" spans="1:7" ht="82.5">
      <c r="G46" s="90" t="str">
        <f t="shared" si="0"/>
        <v>{
"label": "",
"snippet": "",
"md": ""
},</v>
      </c>
    </row>
    <row r="47" spans="1:7" ht="82.5">
      <c r="G47" s="90" t="str">
        <f t="shared" si="0"/>
        <v>{
"label": "",
"snippet": "",
"md": ""
},</v>
      </c>
    </row>
    <row r="48" spans="1:7" ht="82.5">
      <c r="G48" s="90" t="str">
        <f t="shared" si="0"/>
        <v>{
"label": "",
"snippet": "",
"md": ""
},</v>
      </c>
    </row>
    <row r="49" spans="7:7" ht="82.5">
      <c r="G49" s="90" t="str">
        <f t="shared" si="0"/>
        <v>{
"label": "",
"snippet": "",
"md": ""
},</v>
      </c>
    </row>
    <row r="50" spans="7:7" ht="82.5">
      <c r="G50" s="90" t="str">
        <f t="shared" si="0"/>
        <v>{
"label": "",
"snippet": "",
"md": ""
},</v>
      </c>
    </row>
  </sheetData>
  <phoneticPr fontId="4" type="noConversion"/>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aa">
                <anchor moveWithCells="1" sizeWithCells="1">
                  <from>
                    <xdr:col>7</xdr:col>
                    <xdr:colOff>581025</xdr:colOff>
                    <xdr:row>0</xdr:row>
                    <xdr:rowOff>457200</xdr:rowOff>
                  </from>
                  <to>
                    <xdr:col>9</xdr:col>
                    <xdr:colOff>542925</xdr:colOff>
                    <xdr:row>0</xdr:row>
                    <xdr:rowOff>1571625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H1562"/>
  <sheetViews>
    <sheetView tabSelected="1" topLeftCell="A289" zoomScale="115" zoomScaleNormal="115" workbookViewId="0">
      <selection activeCell="C6" sqref="C6"/>
    </sheetView>
  </sheetViews>
  <sheetFormatPr defaultRowHeight="16.5"/>
  <cols>
    <col min="1" max="1" width="21.125" customWidth="1"/>
    <col min="2" max="2" width="27" customWidth="1"/>
    <col min="3" max="3" width="51.125" customWidth="1"/>
  </cols>
  <sheetData>
    <row r="1" spans="1:8" ht="17.25" thickBot="1">
      <c r="A1" s="115" t="s">
        <v>1644</v>
      </c>
      <c r="B1" s="115" t="s">
        <v>1645</v>
      </c>
      <c r="G1" t="str">
        <f t="shared" ref="G1:G20" si="0">IF(ISERROR(SEARCH("table 2:",A1&amp;B1&amp;C1&amp;D1&amp;E1&amp;F1,1)*1),"llll","o")</f>
        <v>llll</v>
      </c>
      <c r="H1" t="str">
        <f>[1]!SplitText(A1,"(",1)</f>
        <v>2.5.1</v>
      </c>
    </row>
    <row r="2" spans="1:8" ht="17.25" thickBot="1">
      <c r="A2" s="102" t="s">
        <v>1591</v>
      </c>
      <c r="B2" s="103" t="s">
        <v>1592</v>
      </c>
      <c r="C2" s="103" t="s">
        <v>1593</v>
      </c>
      <c r="G2" t="str">
        <f t="shared" si="0"/>
        <v>llll</v>
      </c>
      <c r="H2" t="str">
        <f>[1]!SplitText(A2,"(",1)</f>
        <v>Name</v>
      </c>
    </row>
    <row r="3" spans="1:8" ht="41.25" thickBot="1">
      <c r="A3" s="134" t="s">
        <v>5160</v>
      </c>
      <c r="B3" s="8" t="s">
        <v>5161</v>
      </c>
      <c r="C3" s="91" t="s">
        <v>5162</v>
      </c>
      <c r="G3" t="str">
        <f t="shared" si="0"/>
        <v>llll</v>
      </c>
      <c r="H3" t="str">
        <f>[1]!SplitText(A3,"(",1)</f>
        <v xml:space="preserve">  Confirm</v>
      </c>
    </row>
    <row r="4" spans="1:8" ht="41.25" thickBot="1">
      <c r="A4" s="96" t="s">
        <v>5163</v>
      </c>
      <c r="B4" s="8" t="s">
        <v>5164</v>
      </c>
      <c r="C4" s="91" t="s">
        <v>5165</v>
      </c>
      <c r="G4" t="str">
        <f t="shared" si="0"/>
        <v>llll</v>
      </c>
      <c r="H4" t="str">
        <f>[1]!SplitText(A4,"(",1)</f>
        <v xml:space="preserve">  Error</v>
      </c>
    </row>
    <row r="5" spans="1:8" ht="41.25" thickBot="1">
      <c r="A5" s="96" t="s">
        <v>5166</v>
      </c>
      <c r="B5" s="8" t="s">
        <v>5164</v>
      </c>
      <c r="C5" s="91" t="s">
        <v>5167</v>
      </c>
      <c r="F5" s="5"/>
      <c r="G5" t="str">
        <f t="shared" si="0"/>
        <v>llll</v>
      </c>
      <c r="H5" t="str">
        <f>[1]!SplitText(A5,"(",1)</f>
        <v xml:space="preserve">  Message</v>
      </c>
    </row>
    <row r="6" spans="1:8" ht="41.25" thickBot="1">
      <c r="A6" s="134" t="s">
        <v>5168</v>
      </c>
      <c r="B6" s="8" t="s">
        <v>5169</v>
      </c>
      <c r="C6" s="91" t="s">
        <v>5170</v>
      </c>
      <c r="G6" t="str">
        <f t="shared" si="0"/>
        <v>llll</v>
      </c>
      <c r="H6" t="str">
        <f>[1]!SplitText(A6,"(",1)</f>
        <v xml:space="preserve">  Question</v>
      </c>
    </row>
    <row r="7" spans="1:8" ht="41.25" thickBot="1">
      <c r="A7" s="96" t="s">
        <v>5171</v>
      </c>
      <c r="B7" s="8" t="s">
        <v>5164</v>
      </c>
      <c r="C7" s="91" t="s">
        <v>5172</v>
      </c>
      <c r="G7" t="str">
        <f t="shared" si="0"/>
        <v>llll</v>
      </c>
      <c r="H7" t="str">
        <f>[1]!SplitText(A7,"(",1)</f>
        <v xml:space="preserve">  Warning</v>
      </c>
    </row>
    <row r="8" spans="1:8" ht="40.5">
      <c r="A8" s="96" t="s">
        <v>5173</v>
      </c>
      <c r="B8" s="91" t="s">
        <v>5174</v>
      </c>
      <c r="C8" s="91" t="s">
        <v>5175</v>
      </c>
      <c r="G8" t="str">
        <f t="shared" si="0"/>
        <v>llll</v>
      </c>
      <c r="H8" t="str">
        <f>[1]!SplitText(A8,"(",1)</f>
        <v xml:space="preserve"> Input</v>
      </c>
    </row>
    <row r="9" spans="1:8" ht="68.25" thickBot="1">
      <c r="A9" s="135" t="s">
        <v>5176</v>
      </c>
      <c r="B9" s="5" t="s">
        <v>5177</v>
      </c>
      <c r="C9" s="6" t="s">
        <v>5178</v>
      </c>
      <c r="G9" t="str">
        <f t="shared" si="0"/>
        <v>llll</v>
      </c>
      <c r="H9" t="str">
        <f>[1]!SplitText(A9,"(",1)</f>
        <v xml:space="preserve"> Input</v>
      </c>
    </row>
    <row r="10" spans="1:8" ht="17.25" thickBot="1">
      <c r="A10" s="115" t="s">
        <v>1671</v>
      </c>
      <c r="B10" s="115" t="s">
        <v>1672</v>
      </c>
      <c r="G10" t="str">
        <f t="shared" si="0"/>
        <v>llll</v>
      </c>
      <c r="H10" t="str">
        <f>[1]!SplitText(A10,"(",1)</f>
        <v>2.5.2</v>
      </c>
    </row>
    <row r="11" spans="1:8" ht="17.25" thickBot="1">
      <c r="A11" s="102" t="s">
        <v>1591</v>
      </c>
      <c r="B11" s="103" t="s">
        <v>1635</v>
      </c>
      <c r="C11" s="103" t="s">
        <v>1593</v>
      </c>
      <c r="G11" t="str">
        <f t="shared" si="0"/>
        <v>llll</v>
      </c>
      <c r="H11" t="str">
        <f>[1]!SplitText(A11,"(",1)</f>
        <v>Name</v>
      </c>
    </row>
    <row r="12" spans="1:8" ht="17.25" thickBot="1">
      <c r="A12" s="92" t="s">
        <v>5179</v>
      </c>
      <c r="B12" s="8" t="s">
        <v>5180</v>
      </c>
      <c r="C12" s="91" t="s">
        <v>5181</v>
      </c>
      <c r="G12" t="str">
        <f t="shared" si="0"/>
        <v>llll</v>
      </c>
      <c r="H12" t="str">
        <f>[1]!SplitText(A12,"(",1)</f>
        <v xml:space="preserve">  Orientation  </v>
      </c>
    </row>
    <row r="13" spans="1:8" ht="17.25" thickBot="1">
      <c r="A13" s="92" t="s">
        <v>5182</v>
      </c>
      <c r="B13" s="8" t="s">
        <v>5183</v>
      </c>
      <c r="C13" s="91" t="s">
        <v>5184</v>
      </c>
      <c r="G13" t="str">
        <f t="shared" si="0"/>
        <v>llll</v>
      </c>
      <c r="H13" t="str">
        <f>[1]!SplitText(A13,"(",1)</f>
        <v xml:space="preserve">  Position </v>
      </c>
    </row>
    <row r="14" spans="1:8" ht="17.25" thickBot="1">
      <c r="A14" s="92" t="s">
        <v>5185</v>
      </c>
      <c r="B14" s="8" t="s">
        <v>5186</v>
      </c>
      <c r="C14" s="91" t="s">
        <v>5187</v>
      </c>
      <c r="G14" t="str">
        <f t="shared" si="0"/>
        <v>llll</v>
      </c>
      <c r="H14" t="str">
        <f>[1]!SplitText(A14,"(",1)</f>
        <v xml:space="preserve">  Radius </v>
      </c>
    </row>
    <row r="15" spans="1:8" ht="17.25" thickBot="1">
      <c r="A15" s="92" t="s">
        <v>5188</v>
      </c>
      <c r="B15" s="8" t="s">
        <v>5186</v>
      </c>
      <c r="C15" s="91" t="s">
        <v>5189</v>
      </c>
      <c r="G15" t="str">
        <f t="shared" si="0"/>
        <v>llll</v>
      </c>
      <c r="H15" t="str">
        <f>[1]!SplitText(A15,"(",1)</f>
        <v xml:space="preserve">  StartAngle </v>
      </c>
    </row>
    <row r="16" spans="1:8" ht="17.25" thickBot="1">
      <c r="A16" s="92" t="s">
        <v>5190</v>
      </c>
      <c r="B16" s="8" t="s">
        <v>5186</v>
      </c>
      <c r="C16" s="91" t="s">
        <v>5191</v>
      </c>
      <c r="G16" t="str">
        <f t="shared" si="0"/>
        <v>llll</v>
      </c>
      <c r="H16" t="str">
        <f>[1]!SplitText(A16,"(",1)</f>
        <v xml:space="preserve">  EndAngle </v>
      </c>
    </row>
    <row r="17" spans="1:8" ht="17.25" thickBot="1">
      <c r="A17" s="92" t="s">
        <v>5192</v>
      </c>
      <c r="B17" s="8" t="s">
        <v>5193</v>
      </c>
      <c r="C17" s="8" t="s">
        <v>5194</v>
      </c>
      <c r="G17" t="str">
        <f t="shared" si="0"/>
        <v>llll</v>
      </c>
      <c r="H17" t="str">
        <f>[1]!SplitText(A17,"(",1)</f>
        <v xml:space="preserve">  Sense  </v>
      </c>
    </row>
    <row r="18" spans="1:8" ht="40.5">
      <c r="A18" s="96" t="s">
        <v>5195</v>
      </c>
      <c r="B18" s="91" t="s">
        <v>5196</v>
      </c>
      <c r="C18" s="91" t="s">
        <v>5197</v>
      </c>
      <c r="G18" t="str">
        <f t="shared" si="0"/>
        <v>llll</v>
      </c>
      <c r="H18" t="str">
        <f>[1]!SplitText(A18,"(",1)</f>
        <v xml:space="preserve">  Arc</v>
      </c>
    </row>
    <row r="19" spans="1:8" ht="17.25" thickBot="1">
      <c r="A19" s="4" t="s">
        <v>5198</v>
      </c>
      <c r="B19" s="5" t="s">
        <v>5177</v>
      </c>
      <c r="C19" s="5" t="s">
        <v>5199</v>
      </c>
      <c r="G19" t="str">
        <f t="shared" si="0"/>
        <v>llll</v>
      </c>
      <c r="H19" t="str">
        <f>[1]!SplitText(A19,"(",1)</f>
        <v xml:space="preserve">  String</v>
      </c>
    </row>
    <row r="20" spans="1:8" ht="41.25" thickBot="1">
      <c r="A20" s="4" t="s">
        <v>5200</v>
      </c>
      <c r="B20" s="5" t="s">
        <v>5201</v>
      </c>
      <c r="C20" s="6" t="s">
        <v>5202</v>
      </c>
      <c r="G20" t="str">
        <f t="shared" si="0"/>
        <v>llll</v>
      </c>
      <c r="H20" t="str">
        <f>[1]!SplitText(A20,"(",1)</f>
        <v xml:space="preserve">  StartPosition</v>
      </c>
    </row>
    <row r="21" spans="1:8" ht="41.25" thickBot="1">
      <c r="A21" s="4" t="s">
        <v>5203</v>
      </c>
      <c r="B21" s="5" t="s">
        <v>5201</v>
      </c>
      <c r="C21" s="6" t="s">
        <v>5204</v>
      </c>
      <c r="G21" t="str">
        <f t="shared" ref="G21:G57" si="1">IF(ISERROR(SEARCH("table 2:",A21&amp;B21&amp;C21&amp;D21&amp;E21&amp;F21,1)*1),"llll","o")</f>
        <v>llll</v>
      </c>
      <c r="H21" t="str">
        <f>[1]!SplitText(A21,"(",1)</f>
        <v xml:space="preserve">  EndPosition</v>
      </c>
    </row>
    <row r="22" spans="1:8" ht="26.25" thickBot="1">
      <c r="A22" s="4" t="s">
        <v>5205</v>
      </c>
      <c r="B22" s="5" t="s">
        <v>5201</v>
      </c>
      <c r="C22" s="6" t="s">
        <v>5206</v>
      </c>
      <c r="G22" t="str">
        <f t="shared" si="1"/>
        <v>llll</v>
      </c>
      <c r="H22" t="str">
        <f>[1]!SplitText(A22,"(",1)</f>
        <v xml:space="preserve">  Through</v>
      </c>
    </row>
    <row r="23" spans="1:8" ht="51.75" thickBot="1">
      <c r="A23" s="92" t="s">
        <v>5207</v>
      </c>
      <c r="B23" s="91" t="s">
        <v>5208</v>
      </c>
      <c r="C23" s="8" t="s">
        <v>5209</v>
      </c>
      <c r="G23" t="str">
        <f t="shared" si="1"/>
        <v>llll</v>
      </c>
      <c r="H23" t="str">
        <f>[1]!SplitText(A23,"(",1)</f>
        <v xml:space="preserve">  ChordHeight</v>
      </c>
    </row>
    <row r="24" spans="1:8" ht="38.25">
      <c r="A24" s="92" t="s">
        <v>5210</v>
      </c>
      <c r="B24" s="91" t="s">
        <v>5211</v>
      </c>
      <c r="C24" s="7" t="s">
        <v>5212</v>
      </c>
      <c r="G24" t="str">
        <f t="shared" si="1"/>
        <v>llll</v>
      </c>
      <c r="H24" t="str">
        <f>[1]!SplitText(A24,"(",1)</f>
        <v xml:space="preserve">  Chord</v>
      </c>
    </row>
    <row r="25" spans="1:8" ht="17.25" thickBot="1">
      <c r="A25" s="4" t="s">
        <v>5213</v>
      </c>
      <c r="B25" s="5" t="s">
        <v>5201</v>
      </c>
      <c r="C25" s="6" t="s">
        <v>5214</v>
      </c>
      <c r="G25" t="str">
        <f t="shared" si="1"/>
        <v>llll</v>
      </c>
      <c r="H25" t="str">
        <f>[1]!SplitText(A25,"(",1)</f>
        <v xml:space="preserve">  Circle</v>
      </c>
    </row>
    <row r="26" spans="1:8" ht="26.25" thickBot="1">
      <c r="A26" s="4" t="s">
        <v>5215</v>
      </c>
      <c r="B26" s="5" t="s">
        <v>5201</v>
      </c>
      <c r="C26" s="6" t="s">
        <v>5216</v>
      </c>
      <c r="G26" t="str">
        <f t="shared" si="1"/>
        <v>llll</v>
      </c>
      <c r="H26" t="str">
        <f>[1]!SplitText(A26,"(",1)</f>
        <v xml:space="preserve">  Circle</v>
      </c>
    </row>
    <row r="27" spans="1:8" ht="26.25" thickBot="1">
      <c r="A27" s="4" t="s">
        <v>5217</v>
      </c>
      <c r="B27" s="5" t="s">
        <v>5201</v>
      </c>
      <c r="C27" s="6" t="s">
        <v>5218</v>
      </c>
      <c r="G27" t="str">
        <f t="shared" si="1"/>
        <v>llll</v>
      </c>
      <c r="H27" t="str">
        <f>[1]!SplitText(A27,"(",1)</f>
        <v xml:space="preserve">  Complement</v>
      </c>
    </row>
    <row r="28" spans="1:8" ht="27.75" thickBot="1">
      <c r="A28" s="4" t="s">
        <v>5219</v>
      </c>
      <c r="B28" s="6" t="s">
        <v>5220</v>
      </c>
      <c r="C28" s="6" t="s">
        <v>5221</v>
      </c>
      <c r="G28" t="str">
        <f t="shared" si="1"/>
        <v>llll</v>
      </c>
      <c r="H28" t="str">
        <f>[1]!SplitText(A28,"(",1)</f>
        <v xml:space="preserve">  AnglePosition</v>
      </c>
    </row>
    <row r="29" spans="1:8" ht="27.75" thickBot="1">
      <c r="A29" s="4" t="s">
        <v>5222</v>
      </c>
      <c r="B29" s="6" t="s">
        <v>5223</v>
      </c>
      <c r="C29" s="6" t="s">
        <v>5224</v>
      </c>
      <c r="G29" t="str">
        <f t="shared" si="1"/>
        <v>llll</v>
      </c>
      <c r="H29" t="str">
        <f>[1]!SplitText(A29,"(",1)</f>
        <v xml:space="preserve">  AngleDirection</v>
      </c>
    </row>
    <row r="30" spans="1:8" ht="26.25" thickBot="1">
      <c r="A30" s="4" t="s">
        <v>5225</v>
      </c>
      <c r="B30" s="6" t="s">
        <v>5223</v>
      </c>
      <c r="C30" s="6" t="s">
        <v>5226</v>
      </c>
      <c r="G30" t="str">
        <f t="shared" si="1"/>
        <v>llll</v>
      </c>
      <c r="H30" t="str">
        <f>[1]!SplitText(A30,"(",1)</f>
        <v xml:space="preserve">  StartTangent</v>
      </c>
    </row>
    <row r="31" spans="1:8" ht="26.25" thickBot="1">
      <c r="A31" s="4" t="s">
        <v>5227</v>
      </c>
      <c r="B31" s="6" t="s">
        <v>5223</v>
      </c>
      <c r="C31" s="6" t="s">
        <v>5228</v>
      </c>
      <c r="G31" t="str">
        <f t="shared" si="1"/>
        <v>llll</v>
      </c>
      <c r="H31" t="str">
        <f>[1]!SplitText(A31,"(",1)</f>
        <v xml:space="preserve">  EndTangent</v>
      </c>
    </row>
    <row r="32" spans="1:8" ht="17.25" thickBot="1">
      <c r="A32" s="4" t="s">
        <v>5229</v>
      </c>
      <c r="B32" s="6" t="s">
        <v>5223</v>
      </c>
      <c r="C32" s="6" t="s">
        <v>5230</v>
      </c>
      <c r="G32" t="str">
        <f t="shared" si="1"/>
        <v>llll</v>
      </c>
      <c r="H32" t="str">
        <f>[1]!SplitText(A32,"(",1)</f>
        <v xml:space="preserve">  AngleTangent</v>
      </c>
    </row>
    <row r="33" spans="1:8" ht="26.25" thickBot="1">
      <c r="A33" s="4" t="s">
        <v>5231</v>
      </c>
      <c r="B33" s="5" t="s">
        <v>5232</v>
      </c>
      <c r="C33" s="6" t="s">
        <v>5233</v>
      </c>
      <c r="G33" t="str">
        <f t="shared" si="1"/>
        <v>llll</v>
      </c>
      <c r="H33" t="str">
        <f>[1]!SplitText(A33,"(",1)</f>
        <v xml:space="preserve">  XYOffset</v>
      </c>
    </row>
    <row r="34" spans="1:8" ht="38.25">
      <c r="A34" s="92" t="s">
        <v>5234</v>
      </c>
      <c r="B34" s="91" t="s">
        <v>5235</v>
      </c>
      <c r="C34" s="7" t="s">
        <v>5236</v>
      </c>
      <c r="G34" t="str">
        <f t="shared" si="1"/>
        <v>llll</v>
      </c>
      <c r="H34" t="str">
        <f>[1]!SplitText(A34,"(",1)</f>
        <v xml:space="preserve">  Proportion</v>
      </c>
    </row>
    <row r="35" spans="1:8" ht="17.25" thickBot="1">
      <c r="A35" s="4" t="s">
        <v>5237</v>
      </c>
      <c r="B35" s="5" t="s">
        <v>5238</v>
      </c>
      <c r="C35" s="6" t="s">
        <v>5239</v>
      </c>
      <c r="G35" t="str">
        <f t="shared" si="1"/>
        <v>llll</v>
      </c>
      <c r="H35" t="str">
        <f>[1]!SplitText(A35,"(",1)</f>
        <v xml:space="preserve">  Angle</v>
      </c>
    </row>
    <row r="36" spans="1:8" ht="26.25" thickBot="1">
      <c r="A36" s="4" t="s">
        <v>5240</v>
      </c>
      <c r="B36" s="5" t="s">
        <v>5238</v>
      </c>
      <c r="C36" s="6" t="s">
        <v>5241</v>
      </c>
      <c r="G36" t="str">
        <f t="shared" si="1"/>
        <v>llll</v>
      </c>
      <c r="H36" t="str">
        <f>[1]!SplitText(A36,"(",1)</f>
        <v xml:space="preserve">  Near</v>
      </c>
    </row>
    <row r="37" spans="1:8" ht="26.25" thickBot="1">
      <c r="A37" s="4" t="s">
        <v>5242</v>
      </c>
      <c r="B37" s="5" t="s">
        <v>5235</v>
      </c>
      <c r="C37" s="6" t="s">
        <v>5243</v>
      </c>
      <c r="G37" t="str">
        <f t="shared" si="1"/>
        <v>llll</v>
      </c>
      <c r="H37" t="str">
        <f>[1]!SplitText(A37,"(",1)</f>
        <v xml:space="preserve">  Chord</v>
      </c>
    </row>
    <row r="38" spans="1:8" ht="17.25" thickBot="1">
      <c r="A38" s="4" t="s">
        <v>5244</v>
      </c>
      <c r="B38" s="5" t="s">
        <v>5238</v>
      </c>
      <c r="C38" s="5" t="s">
        <v>5245</v>
      </c>
      <c r="G38" t="str">
        <f t="shared" si="1"/>
        <v>llll</v>
      </c>
      <c r="H38" t="str">
        <f>[1]!SplitText(A38,"(",1)</f>
        <v xml:space="preserve">  Length</v>
      </c>
    </row>
    <row r="39" spans="1:8" ht="17.25" thickBot="1">
      <c r="A39" s="4" t="s">
        <v>5246</v>
      </c>
      <c r="B39" s="5" t="s">
        <v>5238</v>
      </c>
      <c r="C39" s="6" t="s">
        <v>5247</v>
      </c>
      <c r="G39" t="str">
        <f t="shared" si="1"/>
        <v>llll</v>
      </c>
      <c r="H39" t="str">
        <f>[1]!SplitText(A39,"(",1)</f>
        <v xml:space="preserve">  ChordHeight</v>
      </c>
    </row>
    <row r="40" spans="1:8" ht="39" thickBot="1">
      <c r="A40" s="4" t="s">
        <v>5248</v>
      </c>
      <c r="B40" s="5" t="s">
        <v>5249</v>
      </c>
      <c r="C40" s="6" t="s">
        <v>5250</v>
      </c>
      <c r="G40" t="str">
        <f t="shared" si="1"/>
        <v>llll</v>
      </c>
      <c r="H40" t="str">
        <f>[1]!SplitText(A40,"(",1)</f>
        <v xml:space="preserve">  Intersections</v>
      </c>
    </row>
    <row r="41" spans="1:8" ht="27.75" thickBot="1">
      <c r="A41" s="4" t="s">
        <v>5251</v>
      </c>
      <c r="B41" s="5" t="s">
        <v>5249</v>
      </c>
      <c r="C41" s="6" t="s">
        <v>5252</v>
      </c>
      <c r="G41" t="str">
        <f t="shared" si="1"/>
        <v>llll</v>
      </c>
      <c r="H41" t="str">
        <f>[1]!SplitText(A41,"(",1)</f>
        <v xml:space="preserve">  Intersections</v>
      </c>
    </row>
    <row r="42" spans="1:8" ht="51">
      <c r="A42" s="92" t="s">
        <v>5253</v>
      </c>
      <c r="B42" s="91" t="s">
        <v>5254</v>
      </c>
      <c r="C42" s="7" t="s">
        <v>5255</v>
      </c>
      <c r="G42" t="str">
        <f t="shared" si="1"/>
        <v>llll</v>
      </c>
      <c r="H42" t="str">
        <f>[1]!SplitText(A42,"(",1)</f>
        <v xml:space="preserve">  Intersections</v>
      </c>
    </row>
    <row r="43" spans="1:8" ht="26.25" thickBot="1">
      <c r="A43" s="4" t="s">
        <v>5256</v>
      </c>
      <c r="B43" s="5" t="s">
        <v>5249</v>
      </c>
      <c r="C43" s="6" t="s">
        <v>5257</v>
      </c>
      <c r="G43" t="str">
        <f t="shared" si="1"/>
        <v>llll</v>
      </c>
      <c r="H43" t="str">
        <f>[1]!SplitText(A43,"(",1)</f>
        <v xml:space="preserve">  Tangents</v>
      </c>
    </row>
    <row r="44" spans="1:8" ht="26.25" thickBot="1">
      <c r="A44" s="4" t="s">
        <v>5258</v>
      </c>
      <c r="B44" s="5" t="s">
        <v>5249</v>
      </c>
      <c r="C44" s="6" t="s">
        <v>5259</v>
      </c>
      <c r="G44" t="str">
        <f t="shared" si="1"/>
        <v>llll</v>
      </c>
      <c r="H44" t="str">
        <f>[1]!SplitText(A44,"(",1)</f>
        <v xml:space="preserve">  Tangents</v>
      </c>
    </row>
    <row r="45" spans="1:8" ht="17.25" thickBot="1">
      <c r="A45" s="4" t="s">
        <v>5260</v>
      </c>
      <c r="B45" s="5" t="s">
        <v>5249</v>
      </c>
      <c r="C45" s="6" t="s">
        <v>5261</v>
      </c>
      <c r="G45" t="str">
        <f t="shared" si="1"/>
        <v>llll</v>
      </c>
      <c r="H45" t="str">
        <f>[1]!SplitText(A45,"(",1)</f>
        <v xml:space="preserve">  Split</v>
      </c>
    </row>
    <row r="46" spans="1:8" ht="17.25" thickBot="1">
      <c r="A46" s="4" t="s">
        <v>5262</v>
      </c>
      <c r="B46" s="5" t="s">
        <v>5220</v>
      </c>
      <c r="C46" s="6" t="s">
        <v>5263</v>
      </c>
      <c r="G46" t="str">
        <f t="shared" si="1"/>
        <v>llll</v>
      </c>
      <c r="H46" t="str">
        <f>[1]!SplitText(A46,"(",1)</f>
        <v xml:space="preserve">  Pole</v>
      </c>
    </row>
    <row r="47" spans="1:8" ht="17.25" thickBot="1">
      <c r="A47" s="4" t="s">
        <v>5264</v>
      </c>
      <c r="B47" s="5" t="s">
        <v>5265</v>
      </c>
      <c r="C47" s="6" t="s">
        <v>5266</v>
      </c>
      <c r="G47" t="str">
        <f t="shared" si="1"/>
        <v>llll</v>
      </c>
      <c r="H47" t="str">
        <f>[1]!SplitText(A47,"(",1)</f>
        <v xml:space="preserve">  On</v>
      </c>
    </row>
    <row r="48" spans="1:8" ht="41.25" thickBot="1">
      <c r="A48" s="4" t="s">
        <v>5267</v>
      </c>
      <c r="B48" s="5" t="s">
        <v>5265</v>
      </c>
      <c r="C48" s="6" t="s">
        <v>5268</v>
      </c>
      <c r="G48" t="str">
        <f t="shared" si="1"/>
        <v>llll</v>
      </c>
      <c r="H48" t="str">
        <f>[1]!SplitText(A48,"(",1)</f>
        <v xml:space="preserve">  OnProjected</v>
      </c>
    </row>
    <row r="49" spans="1:8" ht="27">
      <c r="A49" s="92" t="s">
        <v>5269</v>
      </c>
      <c r="B49" s="91" t="s">
        <v>5270</v>
      </c>
      <c r="C49" s="7" t="s">
        <v>5271</v>
      </c>
      <c r="G49" t="str">
        <f t="shared" si="1"/>
        <v>llll</v>
      </c>
      <c r="H49" t="str">
        <f>[1]!SplitText(A49,"(",1)</f>
        <v xml:space="preserve">  OnExtended</v>
      </c>
    </row>
    <row r="50" spans="1:8" ht="17.25" thickBot="1">
      <c r="A50" s="115" t="s">
        <v>1769</v>
      </c>
      <c r="B50" s="115" t="s">
        <v>1770</v>
      </c>
      <c r="G50" t="str">
        <f t="shared" si="1"/>
        <v>llll</v>
      </c>
      <c r="H50" t="str">
        <f>[1]!SplitText(A50,"(",1)</f>
        <v>2.5.3</v>
      </c>
    </row>
    <row r="51" spans="1:8" ht="17.25" thickBot="1">
      <c r="A51" s="102" t="s">
        <v>1591</v>
      </c>
      <c r="B51" s="103" t="s">
        <v>1592</v>
      </c>
      <c r="C51" s="103" t="s">
        <v>1593</v>
      </c>
      <c r="G51" t="str">
        <f t="shared" si="1"/>
        <v>llll</v>
      </c>
      <c r="H51" t="str">
        <f>[1]!SplitText(A51,"(",1)</f>
        <v>Name</v>
      </c>
    </row>
    <row r="52" spans="1:8" ht="17.25" thickBot="1">
      <c r="A52" s="4" t="s">
        <v>5272</v>
      </c>
      <c r="B52" s="6" t="s">
        <v>5273</v>
      </c>
      <c r="C52" s="6" t="s">
        <v>5274</v>
      </c>
      <c r="G52" t="str">
        <f t="shared" si="1"/>
        <v>llll</v>
      </c>
      <c r="H52" t="str">
        <f>[1]!SplitText(A52,"(",1)</f>
        <v xml:space="preserve">  Append</v>
      </c>
    </row>
    <row r="53" spans="1:8" ht="27.75" thickBot="1">
      <c r="A53" s="4" t="s">
        <v>5275</v>
      </c>
      <c r="B53" s="6" t="s">
        <v>5273</v>
      </c>
      <c r="C53" s="6" t="s">
        <v>5276</v>
      </c>
      <c r="G53" t="str">
        <f t="shared" si="1"/>
        <v>llll</v>
      </c>
      <c r="H53" t="str">
        <f>[1]!SplitText(A53,"(",1)</f>
        <v xml:space="preserve">  AppendArray</v>
      </c>
    </row>
    <row r="54" spans="1:8" ht="17.25" thickBot="1">
      <c r="A54" s="4" t="s">
        <v>5277</v>
      </c>
      <c r="B54" s="6" t="s">
        <v>5273</v>
      </c>
      <c r="C54" s="5" t="s">
        <v>5278</v>
      </c>
      <c r="G54" t="str">
        <f t="shared" si="1"/>
        <v>llll</v>
      </c>
      <c r="H54" t="str">
        <f>[1]!SplitText(A54,"(",1)</f>
        <v xml:space="preserve">  Clear</v>
      </c>
    </row>
    <row r="55" spans="1:8" ht="17.25" thickBot="1">
      <c r="A55" s="4" t="s">
        <v>5279</v>
      </c>
      <c r="B55" s="6" t="s">
        <v>5273</v>
      </c>
      <c r="C55" s="6" t="s">
        <v>5280</v>
      </c>
      <c r="G55" t="str">
        <f t="shared" si="1"/>
        <v>llll</v>
      </c>
      <c r="H55" t="str">
        <f>[1]!SplitText(A55,"(",1)</f>
        <v xml:space="preserve">  Compress</v>
      </c>
    </row>
    <row r="56" spans="1:8" ht="39" thickBot="1">
      <c r="A56" s="92" t="s">
        <v>5281</v>
      </c>
      <c r="B56" s="91" t="s">
        <v>5282</v>
      </c>
      <c r="C56" s="7" t="s">
        <v>5283</v>
      </c>
      <c r="G56" t="str">
        <f t="shared" si="1"/>
        <v>llll</v>
      </c>
      <c r="H56" t="str">
        <f>[1]!SplitText(A56,"(",1)</f>
        <v xml:space="preserve">  DeleteFrom</v>
      </c>
    </row>
    <row r="57" spans="1:8" ht="27">
      <c r="A57" s="92" t="s">
        <v>5284</v>
      </c>
      <c r="B57" s="91" t="s">
        <v>5285</v>
      </c>
      <c r="C57" s="7" t="s">
        <v>5286</v>
      </c>
      <c r="G57" t="str">
        <f t="shared" si="1"/>
        <v>llll</v>
      </c>
      <c r="H57" t="str">
        <f>[1]!SplitText(A57,"(",1)</f>
        <v xml:space="preserve">  DeleteFrom</v>
      </c>
    </row>
    <row r="58" spans="1:8" ht="27.75" thickBot="1">
      <c r="A58" s="4" t="s">
        <v>5287</v>
      </c>
      <c r="B58" s="5" t="s">
        <v>5288</v>
      </c>
      <c r="C58" s="6" t="s">
        <v>5289</v>
      </c>
      <c r="G58" t="str">
        <f t="shared" ref="G58:G87" si="2">IF(ISERROR(SEARCH("table 2:",A58&amp;B58&amp;C58&amp;D58&amp;E58&amp;F58,1)*1),"llll","o")</f>
        <v>llll</v>
      </c>
      <c r="H58" t="str">
        <f>[1]!SplitText(A58,"(",1)</f>
        <v xml:space="preserve">  DeleteTo</v>
      </c>
    </row>
    <row r="59" spans="1:8" ht="27.75" thickBot="1">
      <c r="A59" s="4" t="s">
        <v>5290</v>
      </c>
      <c r="B59" s="5" t="s">
        <v>5288</v>
      </c>
      <c r="C59" s="6" t="s">
        <v>5291</v>
      </c>
      <c r="G59" t="str">
        <f t="shared" si="2"/>
        <v>llll</v>
      </c>
      <c r="H59" t="str">
        <f>[1]!SplitText(A59,"(",1)</f>
        <v xml:space="preserve">  DeleteTo</v>
      </c>
    </row>
    <row r="60" spans="1:8" ht="27.75" thickBot="1">
      <c r="A60" s="4" t="s">
        <v>5292</v>
      </c>
      <c r="B60" s="5" t="s">
        <v>5288</v>
      </c>
      <c r="C60" s="6" t="s">
        <v>5293</v>
      </c>
      <c r="G60" t="str">
        <f t="shared" si="2"/>
        <v>llll</v>
      </c>
      <c r="H60" t="str">
        <f>[1]!SplitText(A60,"(",1)</f>
        <v xml:space="preserve">  Difference</v>
      </c>
    </row>
    <row r="61" spans="1:8" ht="17.25" thickBot="1">
      <c r="A61" s="4" t="s">
        <v>5294</v>
      </c>
      <c r="B61" s="5" t="s">
        <v>5265</v>
      </c>
      <c r="C61" s="5" t="s">
        <v>5295</v>
      </c>
      <c r="G61" t="str">
        <f t="shared" si="2"/>
        <v>llll</v>
      </c>
      <c r="H61" t="str">
        <f>[1]!SplitText(A61,"(",1)</f>
        <v xml:space="preserve">  Empty</v>
      </c>
    </row>
    <row r="62" spans="1:8" ht="27.75" thickBot="1">
      <c r="A62" s="4" t="s">
        <v>5296</v>
      </c>
      <c r="B62" s="5" t="s">
        <v>5297</v>
      </c>
      <c r="C62" s="6" t="s">
        <v>5298</v>
      </c>
      <c r="G62" t="str">
        <f t="shared" si="2"/>
        <v>llll</v>
      </c>
      <c r="H62" t="str">
        <f>[1]!SplitText(A62,"(",1)</f>
        <v xml:space="preserve">  Evaluate</v>
      </c>
    </row>
    <row r="63" spans="1:8" ht="26.25" thickBot="1">
      <c r="A63" s="4" t="s">
        <v>5299</v>
      </c>
      <c r="B63" s="5" t="s">
        <v>5297</v>
      </c>
      <c r="C63" s="6" t="s">
        <v>5300</v>
      </c>
      <c r="G63" t="str">
        <f t="shared" si="2"/>
        <v>llll</v>
      </c>
      <c r="H63" t="str">
        <f>[1]!SplitText(A63,"(",1)</f>
        <v xml:space="preserve">  Find</v>
      </c>
    </row>
    <row r="64" spans="1:8" ht="27.75" thickBot="1">
      <c r="A64" s="4" t="s">
        <v>5301</v>
      </c>
      <c r="B64" s="5" t="s">
        <v>5238</v>
      </c>
      <c r="C64" s="6" t="s">
        <v>5302</v>
      </c>
      <c r="G64" t="str">
        <f t="shared" si="2"/>
        <v>llll</v>
      </c>
      <c r="H64" t="str">
        <f>[1]!SplitText(A64,"(",1)</f>
        <v xml:space="preserve">  FindFirst</v>
      </c>
    </row>
    <row r="65" spans="1:8" ht="17.25" thickBot="1">
      <c r="A65" s="4" t="s">
        <v>5303</v>
      </c>
      <c r="B65" s="5" t="s">
        <v>5304</v>
      </c>
      <c r="C65" s="5" t="s">
        <v>5305</v>
      </c>
      <c r="G65" t="str">
        <f t="shared" si="2"/>
        <v>llll</v>
      </c>
      <c r="H65" t="str">
        <f>[1]!SplitText(A65,"(",1)</f>
        <v xml:space="preserve">  First</v>
      </c>
    </row>
    <row r="66" spans="1:8" ht="27.75" thickBot="1">
      <c r="A66" s="4" t="s">
        <v>5306</v>
      </c>
      <c r="B66" s="5" t="s">
        <v>5288</v>
      </c>
      <c r="C66" s="6" t="s">
        <v>5307</v>
      </c>
      <c r="G66" t="str">
        <f t="shared" si="2"/>
        <v>llll</v>
      </c>
      <c r="H66" t="str">
        <f>[1]!SplitText(A66,"(",1)</f>
        <v xml:space="preserve">  From</v>
      </c>
    </row>
    <row r="67" spans="1:8" ht="17.25" thickBot="1">
      <c r="A67" s="4" t="s">
        <v>5308</v>
      </c>
      <c r="B67" s="5" t="s">
        <v>5288</v>
      </c>
      <c r="C67" s="6" t="s">
        <v>5309</v>
      </c>
      <c r="G67" t="str">
        <f t="shared" si="2"/>
        <v>llll</v>
      </c>
      <c r="H67" t="str">
        <f>[1]!SplitText(A67,"(",1)</f>
        <v xml:space="preserve">  From</v>
      </c>
    </row>
    <row r="68" spans="1:8" ht="27">
      <c r="A68" s="92" t="s">
        <v>5310</v>
      </c>
      <c r="B68" s="91" t="s">
        <v>5311</v>
      </c>
      <c r="C68" s="8" t="s">
        <v>5312</v>
      </c>
      <c r="G68" t="str">
        <f t="shared" si="2"/>
        <v>llll</v>
      </c>
      <c r="H68" t="str">
        <f>[1]!SplitText(A68,"(",1)</f>
        <v xml:space="preserve">  GetIndexed</v>
      </c>
    </row>
    <row r="69" spans="1:8" ht="26.25" thickBot="1">
      <c r="A69" s="4" t="s">
        <v>5313</v>
      </c>
      <c r="B69" s="5" t="s">
        <v>5297</v>
      </c>
      <c r="C69" s="6" t="s">
        <v>5314</v>
      </c>
      <c r="G69" t="str">
        <f t="shared" si="2"/>
        <v>llll</v>
      </c>
      <c r="H69" t="str">
        <f>[1]!SplitText(A69,"(",1)</f>
        <v xml:space="preserve">  Indices</v>
      </c>
    </row>
    <row r="70" spans="1:8" ht="27.75" thickBot="1">
      <c r="A70" s="92" t="s">
        <v>5315</v>
      </c>
      <c r="B70" s="91" t="s">
        <v>5316</v>
      </c>
      <c r="C70" s="8" t="s">
        <v>5317</v>
      </c>
      <c r="G70" t="str">
        <f t="shared" si="2"/>
        <v>llll</v>
      </c>
      <c r="H70" t="str">
        <f>[1]!SplitText(A70,"(",1)</f>
        <v xml:space="preserve">  Insert</v>
      </c>
    </row>
    <row r="71" spans="1:8" ht="40.5">
      <c r="A71" s="96" t="s">
        <v>5318</v>
      </c>
      <c r="B71" s="91" t="s">
        <v>5316</v>
      </c>
      <c r="C71" s="7" t="s">
        <v>5319</v>
      </c>
      <c r="G71" t="str">
        <f t="shared" si="2"/>
        <v>llll</v>
      </c>
      <c r="H71" t="str">
        <f>[1]!SplitText(A71,"(",1)</f>
        <v xml:space="preserve">  InsertArray</v>
      </c>
    </row>
    <row r="72" spans="1:8" ht="27.75" thickBot="1">
      <c r="A72" s="4" t="s">
        <v>5320</v>
      </c>
      <c r="B72" s="5" t="s">
        <v>5297</v>
      </c>
      <c r="C72" s="6" t="s">
        <v>5321</v>
      </c>
      <c r="G72" t="str">
        <f t="shared" si="2"/>
        <v>llll</v>
      </c>
      <c r="H72" t="str">
        <f>[1]!SplitText(A72,"(",1)</f>
        <v xml:space="preserve">  Intersect</v>
      </c>
    </row>
    <row r="73" spans="1:8" ht="17.25" thickBot="1">
      <c r="A73" s="4" t="s">
        <v>5322</v>
      </c>
      <c r="B73" s="5" t="s">
        <v>5297</v>
      </c>
      <c r="C73" s="6" t="s">
        <v>5323</v>
      </c>
      <c r="G73" t="str">
        <f t="shared" si="2"/>
        <v>llll</v>
      </c>
      <c r="H73" t="str">
        <f>[1]!SplitText(A73,"(",1)</f>
        <v xml:space="preserve">  Invert</v>
      </c>
    </row>
    <row r="74" spans="1:8" ht="17.25" thickBot="1">
      <c r="A74" s="4" t="s">
        <v>5324</v>
      </c>
      <c r="B74" s="5" t="s">
        <v>5304</v>
      </c>
      <c r="C74" s="5" t="s">
        <v>5325</v>
      </c>
      <c r="G74" t="str">
        <f t="shared" si="2"/>
        <v>llll</v>
      </c>
      <c r="H74" t="str">
        <f>[1]!SplitText(A74,"(",1)</f>
        <v xml:space="preserve">  Last</v>
      </c>
    </row>
    <row r="75" spans="1:8" ht="17.25" thickBot="1">
      <c r="A75" s="4" t="s">
        <v>5326</v>
      </c>
      <c r="B75" s="5" t="s">
        <v>5238</v>
      </c>
      <c r="C75" s="5" t="s">
        <v>5327</v>
      </c>
      <c r="G75" t="str">
        <f t="shared" si="2"/>
        <v>llll</v>
      </c>
      <c r="H75" t="str">
        <f>[1]!SplitText(A75,"(",1)</f>
        <v xml:space="preserve">  MaxIndex</v>
      </c>
    </row>
    <row r="76" spans="1:8" ht="17.25" thickBot="1">
      <c r="A76" s="4" t="s">
        <v>5328</v>
      </c>
      <c r="B76" s="5" t="s">
        <v>5238</v>
      </c>
      <c r="C76" s="5" t="s">
        <v>5329</v>
      </c>
      <c r="G76" t="str">
        <f t="shared" si="2"/>
        <v>llll</v>
      </c>
      <c r="H76" t="str">
        <f>[1]!SplitText(A76,"(",1)</f>
        <v xml:space="preserve">  MinIndex</v>
      </c>
    </row>
    <row r="77" spans="1:8" ht="39" thickBot="1">
      <c r="A77" s="4" t="s">
        <v>5330</v>
      </c>
      <c r="B77" s="5" t="s">
        <v>5297</v>
      </c>
      <c r="C77" s="6" t="s">
        <v>5331</v>
      </c>
      <c r="G77" t="str">
        <f t="shared" si="2"/>
        <v>llll</v>
      </c>
      <c r="H77" t="str">
        <f>[1]!SplitText(A77,"(",1)</f>
        <v xml:space="preserve">  Overlay</v>
      </c>
    </row>
    <row r="78" spans="1:8" ht="27.75" thickBot="1">
      <c r="A78" s="92" t="s">
        <v>5332</v>
      </c>
      <c r="B78" s="91" t="s">
        <v>5316</v>
      </c>
      <c r="C78" s="8" t="s">
        <v>5333</v>
      </c>
      <c r="G78" t="str">
        <f t="shared" si="2"/>
        <v>llll</v>
      </c>
      <c r="H78" t="str">
        <f>[1]!SplitText(A78,"(",1)</f>
        <v xml:space="preserve">  ReIndex</v>
      </c>
    </row>
    <row r="79" spans="1:8" ht="26.25" thickBot="1">
      <c r="A79" s="92" t="s">
        <v>5334</v>
      </c>
      <c r="B79" s="91" t="s">
        <v>5311</v>
      </c>
      <c r="C79" s="7" t="s">
        <v>5335</v>
      </c>
      <c r="G79" t="str">
        <f t="shared" si="2"/>
        <v>llll</v>
      </c>
      <c r="H79" t="str">
        <f>[1]!SplitText(A79,"(",1)</f>
        <v xml:space="preserve">  Remove</v>
      </c>
    </row>
    <row r="80" spans="1:8" ht="26.25" thickBot="1">
      <c r="A80" s="92" t="s">
        <v>5336</v>
      </c>
      <c r="B80" s="91" t="s">
        <v>5311</v>
      </c>
      <c r="C80" s="7" t="s">
        <v>5337</v>
      </c>
      <c r="G80" t="str">
        <f t="shared" si="2"/>
        <v>llll</v>
      </c>
      <c r="H80" t="str">
        <f>[1]!SplitText(A80,"(",1)</f>
        <v xml:space="preserve">  RemoveFirst</v>
      </c>
    </row>
    <row r="81" spans="1:8" ht="39" thickBot="1">
      <c r="A81" s="92" t="s">
        <v>5338</v>
      </c>
      <c r="B81" s="91" t="s">
        <v>5339</v>
      </c>
      <c r="C81" s="7" t="s">
        <v>5340</v>
      </c>
      <c r="G81" t="str">
        <f t="shared" si="2"/>
        <v>llll</v>
      </c>
      <c r="H81" t="str">
        <f>[1]!SplitText(A81,"(",1)</f>
        <v xml:space="preserve">  RemoveFrom</v>
      </c>
    </row>
    <row r="82" spans="1:8" ht="39" thickBot="1">
      <c r="A82" s="92" t="s">
        <v>5341</v>
      </c>
      <c r="B82" s="91" t="s">
        <v>5339</v>
      </c>
      <c r="C82" s="7" t="s">
        <v>5342</v>
      </c>
      <c r="G82" t="str">
        <f t="shared" si="2"/>
        <v>llll</v>
      </c>
      <c r="H82" t="str">
        <f>[1]!SplitText(A82,"(",1)</f>
        <v xml:space="preserve">  RemoveFrom</v>
      </c>
    </row>
    <row r="83" spans="1:8" ht="26.25" thickBot="1">
      <c r="A83" s="92" t="s">
        <v>5343</v>
      </c>
      <c r="B83" s="91" t="s">
        <v>5311</v>
      </c>
      <c r="C83" s="7" t="s">
        <v>5344</v>
      </c>
      <c r="G83" t="str">
        <f t="shared" si="2"/>
        <v>llll</v>
      </c>
      <c r="H83" t="str">
        <f>[1]!SplitText(A83,"(",1)</f>
        <v xml:space="preserve">  RemoveLast</v>
      </c>
    </row>
    <row r="84" spans="1:8" ht="27.75" thickBot="1">
      <c r="A84" s="92" t="s">
        <v>5345</v>
      </c>
      <c r="B84" s="91" t="s">
        <v>5339</v>
      </c>
      <c r="C84" s="7" t="s">
        <v>5346</v>
      </c>
      <c r="G84" t="str">
        <f t="shared" si="2"/>
        <v>llll</v>
      </c>
      <c r="H84" t="str">
        <f>[1]!SplitText(A84,"(",1)</f>
        <v xml:space="preserve">  RemoveTo</v>
      </c>
    </row>
    <row r="85" spans="1:8" ht="27">
      <c r="A85" s="92" t="s">
        <v>5347</v>
      </c>
      <c r="B85" s="91" t="s">
        <v>5339</v>
      </c>
      <c r="C85" s="7" t="s">
        <v>5348</v>
      </c>
      <c r="G85" t="str">
        <f t="shared" si="2"/>
        <v>llll</v>
      </c>
      <c r="H85" t="str">
        <f>[1]!SplitText(A85,"(",1)</f>
        <v xml:space="preserve">  RemoveTo</v>
      </c>
    </row>
    <row r="86" spans="1:8" ht="17.25" thickBot="1">
      <c r="A86" s="4" t="s">
        <v>5349</v>
      </c>
      <c r="B86" s="5" t="s">
        <v>5238</v>
      </c>
      <c r="C86" s="6" t="s">
        <v>5350</v>
      </c>
      <c r="G86" t="str">
        <f t="shared" si="2"/>
        <v>llll</v>
      </c>
      <c r="H86" t="str">
        <f>[1]!SplitText(A86,"(",1)</f>
        <v xml:space="preserve">  Size</v>
      </c>
    </row>
    <row r="87" spans="1:8" ht="17.25" thickBot="1">
      <c r="A87" s="4" t="s">
        <v>5351</v>
      </c>
      <c r="B87" s="6" t="s">
        <v>5273</v>
      </c>
      <c r="C87" s="5" t="s">
        <v>5352</v>
      </c>
      <c r="G87" t="str">
        <f t="shared" si="2"/>
        <v>llll</v>
      </c>
      <c r="H87" t="str">
        <f>[1]!SplitText(A87,"(",1)</f>
        <v xml:space="preserve">  Sort</v>
      </c>
    </row>
    <row r="88" spans="1:8" ht="17.25" thickBot="1">
      <c r="A88" s="92" t="s">
        <v>5353</v>
      </c>
      <c r="B88" s="8" t="s">
        <v>5339</v>
      </c>
      <c r="C88" s="91" t="s">
        <v>5354</v>
      </c>
      <c r="G88" t="str">
        <f t="shared" ref="G88:G117" si="3">IF(ISERROR(SEARCH("table 2:",A88&amp;B88&amp;C88&amp;D88&amp;E88&amp;F88,1)*1),"llll","o")</f>
        <v>llll</v>
      </c>
      <c r="H88" t="str">
        <f>[1]!SplitText(A88,"(",1)</f>
        <v xml:space="preserve">  SortUnique</v>
      </c>
    </row>
    <row r="89" spans="1:8" ht="25.5">
      <c r="A89" s="92" t="s">
        <v>5355</v>
      </c>
      <c r="B89" s="91" t="s">
        <v>5356</v>
      </c>
      <c r="C89" s="7" t="s">
        <v>5357</v>
      </c>
      <c r="G89" t="str">
        <f t="shared" si="3"/>
        <v>llll</v>
      </c>
      <c r="H89" t="str">
        <f>[1]!SplitText(A89,"(",1)</f>
        <v xml:space="preserve">  SortedIndices</v>
      </c>
    </row>
    <row r="90" spans="1:8" ht="27.75" thickBot="1">
      <c r="A90" s="4" t="s">
        <v>5358</v>
      </c>
      <c r="B90" s="5" t="s">
        <v>5288</v>
      </c>
      <c r="C90" s="6" t="s">
        <v>5359</v>
      </c>
      <c r="G90" t="str">
        <f t="shared" si="3"/>
        <v>llll</v>
      </c>
      <c r="H90" t="str">
        <f>[1]!SplitText(A90,"(",1)</f>
        <v xml:space="preserve">  To</v>
      </c>
    </row>
    <row r="91" spans="1:8" ht="17.25" thickBot="1">
      <c r="A91" s="4" t="s">
        <v>5360</v>
      </c>
      <c r="B91" s="5" t="s">
        <v>5288</v>
      </c>
      <c r="C91" s="6" t="s">
        <v>5361</v>
      </c>
      <c r="G91" t="str">
        <f t="shared" si="3"/>
        <v>llll</v>
      </c>
      <c r="H91" t="str">
        <f>[1]!SplitText(A91,"(",1)</f>
        <v xml:space="preserve">  To</v>
      </c>
    </row>
    <row r="92" spans="1:8" ht="26.25" thickBot="1">
      <c r="A92" s="4" t="s">
        <v>5362</v>
      </c>
      <c r="B92" s="5" t="s">
        <v>5297</v>
      </c>
      <c r="C92" s="6" t="s">
        <v>5363</v>
      </c>
      <c r="G92" t="str">
        <f t="shared" si="3"/>
        <v>llll</v>
      </c>
      <c r="H92" t="str">
        <f>[1]!SplitText(A92,"(",1)</f>
        <v xml:space="preserve">  Union</v>
      </c>
    </row>
    <row r="93" spans="1:8" ht="17.25" thickBot="1">
      <c r="A93" s="4" t="s">
        <v>5364</v>
      </c>
      <c r="B93" s="6" t="s">
        <v>5273</v>
      </c>
      <c r="C93" s="6" t="s">
        <v>5365</v>
      </c>
      <c r="G93" t="str">
        <f t="shared" si="3"/>
        <v>llll</v>
      </c>
      <c r="H93" t="str">
        <f>[1]!SplitText(A93,"(",1)</f>
        <v xml:space="preserve">  Unique</v>
      </c>
    </row>
    <row r="94" spans="1:8" ht="26.25" thickBot="1">
      <c r="A94" s="4" t="s">
        <v>5366</v>
      </c>
      <c r="B94" s="5" t="s">
        <v>5238</v>
      </c>
      <c r="C94" s="6" t="s">
        <v>5367</v>
      </c>
      <c r="G94" t="str">
        <f t="shared" si="3"/>
        <v>llll</v>
      </c>
      <c r="H94" t="str">
        <f>[1]!SplitText(A94,"(",1)</f>
        <v xml:space="preserve">  Width</v>
      </c>
    </row>
    <row r="95" spans="1:8" ht="17.25" thickBot="1">
      <c r="A95" s="115" t="s">
        <v>1872</v>
      </c>
      <c r="B95" s="115" t="s">
        <v>1873</v>
      </c>
      <c r="G95" t="str">
        <f t="shared" si="3"/>
        <v>llll</v>
      </c>
      <c r="H95" t="str">
        <f>[1]!SplitText(A95,"(",1)</f>
        <v>2.5.4</v>
      </c>
    </row>
    <row r="96" spans="1:8" ht="17.25" thickBot="1">
      <c r="A96" s="102" t="s">
        <v>1591</v>
      </c>
      <c r="B96" s="103" t="s">
        <v>1635</v>
      </c>
      <c r="C96" s="103" t="s">
        <v>1593</v>
      </c>
      <c r="G96" t="str">
        <f t="shared" si="3"/>
        <v>llll</v>
      </c>
      <c r="H96" t="str">
        <f>[1]!SplitText(A96,"(",1)</f>
        <v>Name</v>
      </c>
    </row>
    <row r="97" spans="1:8" ht="17.25" thickBot="1">
      <c r="A97" s="4" t="s">
        <v>5368</v>
      </c>
      <c r="B97" s="5" t="s">
        <v>5177</v>
      </c>
      <c r="C97" s="5" t="s">
        <v>5369</v>
      </c>
      <c r="G97" t="str">
        <f t="shared" si="3"/>
        <v>llll</v>
      </c>
      <c r="H97" t="str">
        <f>[1]!SplitText(A97,"(",1)</f>
        <v xml:space="preserve">  Company</v>
      </c>
    </row>
    <row r="98" spans="1:8" ht="17.25" thickBot="1">
      <c r="A98" s="4" t="s">
        <v>5370</v>
      </c>
      <c r="B98" s="5" t="s">
        <v>5177</v>
      </c>
      <c r="C98" s="5" t="s">
        <v>5371</v>
      </c>
      <c r="G98" t="str">
        <f t="shared" si="3"/>
        <v>llll</v>
      </c>
      <c r="H98" t="str">
        <f>[1]!SplitText(A98,"(",1)</f>
        <v xml:space="preserve">  Copyright</v>
      </c>
    </row>
    <row r="99" spans="1:8" ht="17.25" thickBot="1">
      <c r="A99" s="4" t="s">
        <v>5372</v>
      </c>
      <c r="B99" s="5" t="s">
        <v>5373</v>
      </c>
      <c r="C99" s="5" t="s">
        <v>5374</v>
      </c>
      <c r="G99" t="str">
        <f t="shared" si="3"/>
        <v>llll</v>
      </c>
      <c r="H99" t="str">
        <f>[1]!SplitText(A99,"(",1)</f>
        <v xml:space="preserve">  Libraries</v>
      </c>
    </row>
    <row r="100" spans="1:8" ht="17.25" thickBot="1">
      <c r="A100" s="4" t="s">
        <v>5375</v>
      </c>
      <c r="B100" s="5" t="s">
        <v>5177</v>
      </c>
      <c r="C100" s="6" t="s">
        <v>5376</v>
      </c>
      <c r="G100" t="str">
        <f t="shared" si="3"/>
        <v>llll</v>
      </c>
      <c r="H100" t="str">
        <f>[1]!SplitText(A100,"(",1)</f>
        <v xml:space="preserve">  Name</v>
      </c>
    </row>
    <row r="101" spans="1:8" ht="17.25" thickBot="1">
      <c r="A101" s="4" t="s">
        <v>5377</v>
      </c>
      <c r="B101" s="5" t="s">
        <v>5177</v>
      </c>
      <c r="C101" s="6" t="s">
        <v>5378</v>
      </c>
      <c r="G101" t="str">
        <f t="shared" si="3"/>
        <v>llll</v>
      </c>
      <c r="H101" t="str">
        <f>[1]!SplitText(A101,"(",1)</f>
        <v xml:space="preserve">  Short</v>
      </c>
    </row>
    <row r="102" spans="1:8" ht="17.25" thickBot="1">
      <c r="A102" s="4" t="s">
        <v>5379</v>
      </c>
      <c r="B102" s="5" t="s">
        <v>5177</v>
      </c>
      <c r="C102" s="5" t="s">
        <v>5380</v>
      </c>
      <c r="G102" t="str">
        <f t="shared" si="3"/>
        <v>llll</v>
      </c>
      <c r="H102" t="str">
        <f>[1]!SplitText(A102,"(",1)</f>
        <v xml:space="preserve">  Status</v>
      </c>
    </row>
    <row r="103" spans="1:8" ht="17.25" thickBot="1">
      <c r="A103" s="115" t="s">
        <v>1890</v>
      </c>
      <c r="B103" s="115" t="s">
        <v>1891</v>
      </c>
      <c r="G103" t="str">
        <f t="shared" si="3"/>
        <v>llll</v>
      </c>
      <c r="H103" t="str">
        <f>[1]!SplitText(A103,"(",1)</f>
        <v>2.5.5</v>
      </c>
    </row>
    <row r="104" spans="1:8" ht="17.25" thickBot="1">
      <c r="A104" s="102" t="s">
        <v>1591</v>
      </c>
      <c r="B104" s="103" t="s">
        <v>1592</v>
      </c>
      <c r="C104" s="103" t="s">
        <v>1593</v>
      </c>
      <c r="G104" t="str">
        <f t="shared" si="3"/>
        <v>llll</v>
      </c>
      <c r="H104" t="str">
        <f>[1]!SplitText(A104,"(",1)</f>
        <v>Name</v>
      </c>
    </row>
    <row r="105" spans="1:8" ht="38.25">
      <c r="A105" s="92" t="s">
        <v>5381</v>
      </c>
      <c r="B105" s="91" t="s">
        <v>5316</v>
      </c>
      <c r="C105" s="7" t="s">
        <v>5382</v>
      </c>
      <c r="G105" t="str">
        <f t="shared" si="3"/>
        <v>llll</v>
      </c>
      <c r="H105" t="str">
        <f>[1]!SplitText(A105,"(",1)</f>
        <v xml:space="preserve">  Add</v>
      </c>
    </row>
    <row r="106" spans="1:8" ht="17.25" thickBot="1">
      <c r="A106" s="4" t="s">
        <v>5277</v>
      </c>
      <c r="B106" s="6" t="s">
        <v>5273</v>
      </c>
      <c r="C106" s="6" t="s">
        <v>5383</v>
      </c>
      <c r="G106" t="str">
        <f t="shared" si="3"/>
        <v>llll</v>
      </c>
      <c r="H106" t="str">
        <f>[1]!SplitText(A106,"(",1)</f>
        <v xml:space="preserve">  Clear</v>
      </c>
    </row>
    <row r="107" spans="1:8" ht="27.75" thickBot="1">
      <c r="A107" s="92" t="s">
        <v>5384</v>
      </c>
      <c r="B107" s="91" t="s">
        <v>5316</v>
      </c>
      <c r="C107" s="7" t="s">
        <v>5385</v>
      </c>
      <c r="G107" t="str">
        <f t="shared" si="3"/>
        <v>llll</v>
      </c>
      <c r="H107" t="str">
        <f>[1]!SplitText(A107,"(",1)</f>
        <v xml:space="preserve">  Clear</v>
      </c>
    </row>
    <row r="108" spans="1:8" ht="54">
      <c r="A108" s="96" t="s">
        <v>5386</v>
      </c>
      <c r="B108" s="91" t="s">
        <v>5270</v>
      </c>
      <c r="C108" s="7" t="s">
        <v>5387</v>
      </c>
      <c r="G108" t="str">
        <f t="shared" si="3"/>
        <v>llll</v>
      </c>
      <c r="H108" t="str">
        <f>[1]!SplitText(A108,"(",1)</f>
        <v xml:space="preserve">  FieldProperty</v>
      </c>
    </row>
    <row r="109" spans="1:8" ht="17.25" thickBot="1">
      <c r="A109" s="4" t="s">
        <v>5388</v>
      </c>
      <c r="B109" s="5" t="s">
        <v>5177</v>
      </c>
      <c r="C109" s="6" t="s">
        <v>5389</v>
      </c>
      <c r="G109" t="str">
        <f t="shared" si="3"/>
        <v>llll</v>
      </c>
      <c r="H109" t="str">
        <f>[1]!SplitText(A109,"(",1)</f>
        <v xml:space="preserve">  FullName</v>
      </c>
    </row>
    <row r="110" spans="1:8" ht="41.25" thickBot="1">
      <c r="A110" s="92" t="s">
        <v>5390</v>
      </c>
      <c r="B110" s="91" t="s">
        <v>5316</v>
      </c>
      <c r="C110" s="7" t="s">
        <v>5391</v>
      </c>
      <c r="G110" t="str">
        <f t="shared" si="3"/>
        <v>llll</v>
      </c>
      <c r="H110" t="str">
        <f>[1]!SplitText(A110,"(",1)</f>
        <v xml:space="preserve">  InsertAfter</v>
      </c>
    </row>
    <row r="111" spans="1:8" ht="54.75" thickBot="1">
      <c r="A111" s="96" t="s">
        <v>5392</v>
      </c>
      <c r="B111" s="91" t="s">
        <v>5316</v>
      </c>
      <c r="C111" s="7" t="s">
        <v>5393</v>
      </c>
      <c r="G111" t="str">
        <f t="shared" si="3"/>
        <v>llll</v>
      </c>
      <c r="H111" t="str">
        <f>[1]!SplitText(A111,"(",1)</f>
        <v xml:space="preserve">  InsertBefore</v>
      </c>
    </row>
    <row r="112" spans="1:8">
      <c r="A112" s="92" t="s">
        <v>5394</v>
      </c>
      <c r="B112" s="91" t="s">
        <v>5174</v>
      </c>
      <c r="C112" s="7" t="s">
        <v>5395</v>
      </c>
      <c r="G112" t="str">
        <f t="shared" si="3"/>
        <v>llll</v>
      </c>
      <c r="H112" t="str">
        <f>[1]!SplitText(A112,"(",1)</f>
        <v xml:space="preserve">  Name</v>
      </c>
    </row>
    <row r="113" spans="1:8" ht="17.25" thickBot="1">
      <c r="A113" s="4" t="s">
        <v>5396</v>
      </c>
      <c r="B113" s="5" t="s">
        <v>4994</v>
      </c>
      <c r="C113" s="5" t="s">
        <v>5397</v>
      </c>
      <c r="G113" t="str">
        <f t="shared" si="3"/>
        <v>llll</v>
      </c>
      <c r="H113" t="str">
        <f>[1]!SplitText(A113,"(",1)</f>
        <v xml:space="preserve">  Owner</v>
      </c>
    </row>
    <row r="114" spans="1:8" ht="17.25" thickBot="1">
      <c r="A114" s="99" t="s">
        <v>5375</v>
      </c>
      <c r="B114" s="100" t="s">
        <v>5398</v>
      </c>
      <c r="C114" s="100" t="s">
        <v>5399</v>
      </c>
      <c r="G114" t="str">
        <f t="shared" si="3"/>
        <v>llll</v>
      </c>
      <c r="H114" t="str">
        <f>[1]!SplitText(A114,"(",1)</f>
        <v xml:space="preserve">  Name</v>
      </c>
    </row>
    <row r="115" spans="1:8" ht="41.25" thickBot="1">
      <c r="A115" s="92" t="s">
        <v>5400</v>
      </c>
      <c r="B115" s="91" t="s">
        <v>5316</v>
      </c>
      <c r="C115" s="8" t="s">
        <v>5401</v>
      </c>
      <c r="G115" t="str">
        <f t="shared" si="3"/>
        <v>llll</v>
      </c>
      <c r="H115" t="str">
        <f>[1]!SplitText(A115,"(",1)</f>
        <v xml:space="preserve">  SetActive</v>
      </c>
    </row>
    <row r="116" spans="1:8" ht="67.5">
      <c r="A116" s="96" t="s">
        <v>5402</v>
      </c>
      <c r="B116" s="91" t="s">
        <v>5316</v>
      </c>
      <c r="C116" s="7" t="s">
        <v>5403</v>
      </c>
      <c r="G116" t="str">
        <f t="shared" si="3"/>
        <v>llll</v>
      </c>
      <c r="H116" t="str">
        <f>[1]!SplitText(A116,"(",1)</f>
        <v xml:space="preserve">  SetFieldProperty</v>
      </c>
    </row>
    <row r="117" spans="1:8" ht="17.25" thickBot="1">
      <c r="A117" s="4" t="s">
        <v>5404</v>
      </c>
      <c r="B117" s="5" t="s">
        <v>5265</v>
      </c>
      <c r="C117" s="5" t="s">
        <v>5405</v>
      </c>
      <c r="G117" t="str">
        <f t="shared" si="3"/>
        <v>llll</v>
      </c>
      <c r="H117" t="str">
        <f>[1]!SplitText(A117,"(",1)</f>
        <v xml:space="preserve">  Shown</v>
      </c>
    </row>
    <row r="118" spans="1:8" ht="17.25" thickBot="1">
      <c r="A118" s="4" t="s">
        <v>5406</v>
      </c>
      <c r="B118" s="5" t="s">
        <v>5177</v>
      </c>
      <c r="C118" s="5" t="s">
        <v>5407</v>
      </c>
      <c r="G118" t="str">
        <f t="shared" ref="G118:G138" si="4">IF(ISERROR(SEARCH("table 2:",A118&amp;B118&amp;C118&amp;D118&amp;E118&amp;F118,1)*1),"llll","o")</f>
        <v>llll</v>
      </c>
      <c r="H118" t="str">
        <f>[1]!SplitText(A118,"(",1)</f>
        <v xml:space="preserve">  Type</v>
      </c>
    </row>
    <row r="119" spans="1:8" ht="17.25" thickBot="1">
      <c r="A119" s="115" t="s">
        <v>1928</v>
      </c>
      <c r="B119" s="115" t="s">
        <v>1929</v>
      </c>
      <c r="G119" t="str">
        <f t="shared" si="4"/>
        <v>llll</v>
      </c>
      <c r="H119" t="str">
        <f>[1]!SplitText(A119,"(",1)</f>
        <v>2.5.6</v>
      </c>
    </row>
    <row r="120" spans="1:8" ht="17.25" thickBot="1">
      <c r="A120" s="102" t="s">
        <v>1591</v>
      </c>
      <c r="B120" s="103" t="s">
        <v>1592</v>
      </c>
      <c r="C120" s="103" t="s">
        <v>1593</v>
      </c>
      <c r="G120" t="str">
        <f t="shared" si="4"/>
        <v>llll</v>
      </c>
      <c r="H120" t="str">
        <f>[1]!SplitText(A120,"(",1)</f>
        <v>Name</v>
      </c>
    </row>
    <row r="121" spans="1:8" ht="27.75" thickBot="1">
      <c r="A121" s="4" t="s">
        <v>5408</v>
      </c>
      <c r="B121" s="5" t="s">
        <v>5409</v>
      </c>
      <c r="C121" s="5" t="s">
        <v>5410</v>
      </c>
      <c r="G121" t="str">
        <f t="shared" si="4"/>
        <v>llll</v>
      </c>
      <c r="H121" t="str">
        <f>[1]!SplitText(A121,"(",1)</f>
        <v xml:space="preserve">  Block</v>
      </c>
    </row>
    <row r="122" spans="1:8" ht="17.25" thickBot="1">
      <c r="A122" s="4" t="s">
        <v>5411</v>
      </c>
      <c r="B122" s="5" t="s">
        <v>5304</v>
      </c>
      <c r="C122" s="6" t="s">
        <v>5412</v>
      </c>
      <c r="G122" t="str">
        <f t="shared" si="4"/>
        <v>llll</v>
      </c>
      <c r="H122" t="str">
        <f>[1]!SplitText(A122,"(",1)</f>
        <v xml:space="preserve">  Evaluate</v>
      </c>
    </row>
    <row r="123" spans="1:8" ht="17.25" thickBot="1">
      <c r="A123" s="4" t="s">
        <v>5411</v>
      </c>
      <c r="B123" s="5" t="s">
        <v>5304</v>
      </c>
      <c r="C123" s="6" t="s">
        <v>5413</v>
      </c>
      <c r="G123" t="str">
        <f t="shared" si="4"/>
        <v>llll</v>
      </c>
      <c r="H123" t="str">
        <f>[1]!SplitText(A123,"(",1)</f>
        <v xml:space="preserve">  Evaluate</v>
      </c>
    </row>
    <row r="124" spans="1:8" ht="27.75" thickBot="1">
      <c r="A124" s="4" t="s">
        <v>5414</v>
      </c>
      <c r="B124" s="5" t="s">
        <v>5304</v>
      </c>
      <c r="C124" s="6" t="s">
        <v>5415</v>
      </c>
      <c r="G124" t="str">
        <f t="shared" si="4"/>
        <v>llll</v>
      </c>
      <c r="H124" t="str">
        <f>[1]!SplitText(A124,"(",1)</f>
        <v xml:space="preserve">  Evaluate</v>
      </c>
    </row>
    <row r="125" spans="1:8" ht="17.25" thickBot="1">
      <c r="A125" s="115" t="s">
        <v>1939</v>
      </c>
      <c r="B125" s="115" t="s">
        <v>1940</v>
      </c>
      <c r="G125" t="str">
        <f t="shared" si="4"/>
        <v>llll</v>
      </c>
      <c r="H125" t="str">
        <f>[1]!SplitText(A125,"(",1)</f>
        <v>2.5.7</v>
      </c>
    </row>
    <row r="126" spans="1:8" ht="17.25" thickBot="1">
      <c r="A126" s="102" t="s">
        <v>1591</v>
      </c>
      <c r="B126" s="103" t="s">
        <v>1592</v>
      </c>
      <c r="C126" s="103" t="s">
        <v>1593</v>
      </c>
      <c r="G126" t="str">
        <f t="shared" si="4"/>
        <v>llll</v>
      </c>
      <c r="H126" t="str">
        <f>[1]!SplitText(A126,"(",1)</f>
        <v>Name</v>
      </c>
    </row>
    <row r="127" spans="1:8" ht="27.75" thickBot="1">
      <c r="A127" s="4" t="s">
        <v>5416</v>
      </c>
      <c r="B127" s="5" t="s">
        <v>5265</v>
      </c>
      <c r="C127" s="6" t="s">
        <v>5417</v>
      </c>
      <c r="G127" t="str">
        <f t="shared" si="4"/>
        <v>llll</v>
      </c>
      <c r="H127" t="str">
        <f>[1]!SplitText(A127,"(",1)</f>
        <v xml:space="preserve">  BOOLEAN</v>
      </c>
    </row>
    <row r="128" spans="1:8" ht="38.25">
      <c r="A128" s="92" t="s">
        <v>5418</v>
      </c>
      <c r="B128" s="91" t="s">
        <v>5419</v>
      </c>
      <c r="C128" s="7" t="s">
        <v>5420</v>
      </c>
      <c r="G128" t="str">
        <f t="shared" si="4"/>
        <v>llll</v>
      </c>
      <c r="H128" t="str">
        <f>[1]!SplitText(A128,"(",1)</f>
        <v xml:space="preserve">  BOOLEAN</v>
      </c>
    </row>
    <row r="129" spans="1:8" ht="41.25" thickBot="1">
      <c r="A129" s="4" t="s">
        <v>5421</v>
      </c>
      <c r="B129" s="5" t="s">
        <v>5265</v>
      </c>
      <c r="C129" s="6" t="s">
        <v>5422</v>
      </c>
      <c r="G129" t="str">
        <f t="shared" si="4"/>
        <v>llll</v>
      </c>
      <c r="H129" t="str">
        <f>[1]!SplitText(A129,"(",1)</f>
        <v xml:space="preserve">  BOOLEAN</v>
      </c>
    </row>
    <row r="130" spans="1:8" ht="17.25" thickBot="1">
      <c r="A130" s="4" t="s">
        <v>5423</v>
      </c>
      <c r="B130" s="5" t="s">
        <v>5265</v>
      </c>
      <c r="C130" s="5" t="s">
        <v>5424</v>
      </c>
      <c r="G130" t="str">
        <f t="shared" si="4"/>
        <v>llll</v>
      </c>
      <c r="H130" t="str">
        <f>[1]!SplitText(A130,"(",1)</f>
        <v xml:space="preserve">  AND</v>
      </c>
    </row>
    <row r="131" spans="1:8" ht="17.25" thickBot="1">
      <c r="A131" s="4" t="s">
        <v>5425</v>
      </c>
      <c r="B131" s="5" t="s">
        <v>5265</v>
      </c>
      <c r="C131" s="5" t="s">
        <v>5426</v>
      </c>
      <c r="G131" t="str">
        <f t="shared" si="4"/>
        <v>llll</v>
      </c>
      <c r="H131" t="str">
        <f>[1]!SplitText(A131,"(",1)</f>
        <v xml:space="preserve">  NOT</v>
      </c>
    </row>
    <row r="132" spans="1:8" ht="17.25" thickBot="1">
      <c r="A132" s="4" t="s">
        <v>5427</v>
      </c>
      <c r="B132" s="5" t="s">
        <v>5265</v>
      </c>
      <c r="C132" s="6" t="s">
        <v>5428</v>
      </c>
      <c r="G132" t="str">
        <f t="shared" si="4"/>
        <v>llll</v>
      </c>
      <c r="H132" t="str">
        <f>[1]!SplitText(A132,"(",1)</f>
        <v xml:space="preserve">  OR</v>
      </c>
    </row>
    <row r="133" spans="1:8" ht="17.25" thickBot="1">
      <c r="A133" s="4" t="s">
        <v>5429</v>
      </c>
      <c r="B133" s="5" t="s">
        <v>5238</v>
      </c>
      <c r="C133" s="6" t="s">
        <v>5430</v>
      </c>
      <c r="G133" t="str">
        <f t="shared" si="4"/>
        <v>llll</v>
      </c>
      <c r="H133" t="str">
        <f>[1]!SplitText(A133,"(",1)</f>
        <v xml:space="preserve">  Real</v>
      </c>
    </row>
    <row r="134" spans="1:8">
      <c r="A134" s="92" t="s">
        <v>5431</v>
      </c>
      <c r="B134" s="91" t="s">
        <v>5174</v>
      </c>
      <c r="C134" s="8" t="s">
        <v>5432</v>
      </c>
      <c r="G134" t="str">
        <f t="shared" si="4"/>
        <v>llll</v>
      </c>
      <c r="H134" t="str">
        <f>[1]!SplitText(A134,"(",1)</f>
        <v xml:space="preserve">  String</v>
      </c>
    </row>
    <row r="135" spans="1:8" ht="17.25" thickBot="1">
      <c r="A135" s="115" t="s">
        <v>1961</v>
      </c>
      <c r="B135" s="115" t="s">
        <v>1962</v>
      </c>
      <c r="G135" t="str">
        <f t="shared" si="4"/>
        <v>llll</v>
      </c>
      <c r="H135" t="str">
        <f>[1]!SplitText(A135,"(",1)</f>
        <v>2.5.8</v>
      </c>
    </row>
    <row r="136" spans="1:8" ht="17.25" thickBot="1">
      <c r="A136" s="102" t="s">
        <v>1591</v>
      </c>
      <c r="B136" s="103" t="s">
        <v>1635</v>
      </c>
      <c r="C136" s="103" t="s">
        <v>1593</v>
      </c>
      <c r="G136" t="str">
        <f t="shared" si="4"/>
        <v>llll</v>
      </c>
      <c r="H136" t="str">
        <f>[1]!SplitText(A136,"(",1)</f>
        <v>Name</v>
      </c>
    </row>
    <row r="137" spans="1:8">
      <c r="A137" s="92" t="s">
        <v>5433</v>
      </c>
      <c r="B137" s="8" t="s">
        <v>5434</v>
      </c>
      <c r="C137" s="91" t="s">
        <v>5435</v>
      </c>
      <c r="G137" t="str">
        <f t="shared" si="4"/>
        <v>llll</v>
      </c>
      <c r="H137" t="str">
        <f>[1]!SplitText(A137,"(",1)</f>
        <v xml:space="preserve">  Size  </v>
      </c>
    </row>
    <row r="138" spans="1:8" ht="17.25" thickBot="1">
      <c r="A138" s="4" t="s">
        <v>5436</v>
      </c>
      <c r="B138" s="5" t="s">
        <v>5265</v>
      </c>
      <c r="C138" s="6" t="s">
        <v>5437</v>
      </c>
      <c r="G138" t="str">
        <f t="shared" si="4"/>
        <v>llll</v>
      </c>
      <c r="H138" t="str">
        <f>[1]!SplitText(A138,"(",1)</f>
        <v xml:space="preserve">  BORE</v>
      </c>
    </row>
    <row r="139" spans="1:8" ht="17.25" thickBot="1">
      <c r="A139" s="4" t="s">
        <v>5438</v>
      </c>
      <c r="B139" s="5" t="s">
        <v>5265</v>
      </c>
      <c r="C139" s="6" t="s">
        <v>5437</v>
      </c>
      <c r="G139" t="str">
        <f t="shared" ref="G139:G172" si="5">IF(ISERROR(SEARCH("table 2:",A139&amp;B139&amp;C139&amp;D139&amp;E139&amp;F139,1)*1),"llll","o")</f>
        <v>llll</v>
      </c>
      <c r="H139" t="str">
        <f>[1]!SplitText(A139,"(",1)</f>
        <v xml:space="preserve">  BORE</v>
      </c>
    </row>
    <row r="140" spans="1:8" ht="27.75" thickBot="1">
      <c r="A140" s="4" t="s">
        <v>5439</v>
      </c>
      <c r="B140" s="5" t="s">
        <v>5265</v>
      </c>
      <c r="C140" s="6" t="s">
        <v>5440</v>
      </c>
      <c r="G140" t="str">
        <f t="shared" si="5"/>
        <v>llll</v>
      </c>
      <c r="H140" t="str">
        <f>[1]!SplitText(A140,"(",1)</f>
        <v xml:space="preserve">  BORE</v>
      </c>
    </row>
    <row r="141" spans="1:8" ht="26.25" thickBot="1">
      <c r="A141" s="4" t="s">
        <v>5441</v>
      </c>
      <c r="B141" s="5" t="s">
        <v>5265</v>
      </c>
      <c r="C141" s="6" t="s">
        <v>5442</v>
      </c>
      <c r="G141" t="str">
        <f t="shared" si="5"/>
        <v>llll</v>
      </c>
      <c r="H141" t="str">
        <f>[1]!SplitText(A141,"(",1)</f>
        <v xml:space="preserve">  EQ</v>
      </c>
    </row>
    <row r="142" spans="1:8" ht="17.25" thickBot="1">
      <c r="A142" s="4" t="s">
        <v>5443</v>
      </c>
      <c r="B142" s="5" t="s">
        <v>5265</v>
      </c>
      <c r="C142" s="6" t="s">
        <v>5444</v>
      </c>
      <c r="G142" t="str">
        <f t="shared" si="5"/>
        <v>llll</v>
      </c>
      <c r="H142" t="str">
        <f>[1]!SplitText(A142,"(",1)</f>
        <v xml:space="preserve">  GEQ</v>
      </c>
    </row>
    <row r="143" spans="1:8" ht="26.25" thickBot="1">
      <c r="A143" s="4" t="s">
        <v>5445</v>
      </c>
      <c r="B143" s="5" t="s">
        <v>5265</v>
      </c>
      <c r="C143" s="6" t="s">
        <v>5442</v>
      </c>
      <c r="G143" t="str">
        <f t="shared" si="5"/>
        <v>llll</v>
      </c>
      <c r="H143" t="str">
        <f>[1]!SplitText(A143,"(",1)</f>
        <v xml:space="preserve">  GEQ</v>
      </c>
    </row>
    <row r="144" spans="1:8">
      <c r="A144" s="92" t="s">
        <v>5446</v>
      </c>
      <c r="B144" s="91" t="s">
        <v>5270</v>
      </c>
      <c r="C144" s="7" t="s">
        <v>5447</v>
      </c>
      <c r="G144" t="str">
        <f t="shared" si="5"/>
        <v>llll</v>
      </c>
      <c r="H144" t="str">
        <f>[1]!SplitText(A144,"(",1)</f>
        <v xml:space="preserve">  GT</v>
      </c>
    </row>
    <row r="145" spans="1:8" ht="26.25" thickBot="1">
      <c r="A145" s="4" t="s">
        <v>5448</v>
      </c>
      <c r="B145" s="5" t="s">
        <v>5265</v>
      </c>
      <c r="C145" s="6" t="s">
        <v>5449</v>
      </c>
      <c r="G145" t="str">
        <f t="shared" si="5"/>
        <v>llll</v>
      </c>
      <c r="H145" t="str">
        <f>[1]!SplitText(A145,"(",1)</f>
        <v xml:space="preserve">  GT</v>
      </c>
    </row>
    <row r="146" spans="1:8" ht="17.25" thickBot="1">
      <c r="A146" s="4" t="s">
        <v>5450</v>
      </c>
      <c r="B146" s="5" t="s">
        <v>5265</v>
      </c>
      <c r="C146" s="6" t="s">
        <v>5451</v>
      </c>
      <c r="G146" t="str">
        <f t="shared" si="5"/>
        <v>llll</v>
      </c>
      <c r="H146" t="str">
        <f>[1]!SplitText(A146,"(",1)</f>
        <v xml:space="preserve">  LEQ</v>
      </c>
    </row>
    <row r="147" spans="1:8" ht="26.25" thickBot="1">
      <c r="A147" s="4" t="s">
        <v>5452</v>
      </c>
      <c r="B147" s="5" t="s">
        <v>5265</v>
      </c>
      <c r="C147" s="6" t="s">
        <v>5449</v>
      </c>
      <c r="G147" t="str">
        <f t="shared" si="5"/>
        <v>llll</v>
      </c>
      <c r="H147" t="str">
        <f>[1]!SplitText(A147,"(",1)</f>
        <v xml:space="preserve">  LEQ</v>
      </c>
    </row>
    <row r="148" spans="1:8" ht="17.25" thickBot="1">
      <c r="A148" s="4" t="s">
        <v>5453</v>
      </c>
      <c r="B148" s="5" t="s">
        <v>5265</v>
      </c>
      <c r="C148" s="6" t="s">
        <v>5454</v>
      </c>
      <c r="G148" t="str">
        <f t="shared" si="5"/>
        <v>llll</v>
      </c>
      <c r="H148" t="str">
        <f>[1]!SplitText(A148,"(",1)</f>
        <v xml:space="preserve">  LT</v>
      </c>
    </row>
    <row r="149" spans="1:8" ht="26.25" thickBot="1">
      <c r="A149" s="4" t="s">
        <v>5455</v>
      </c>
      <c r="B149" s="5" t="s">
        <v>5265</v>
      </c>
      <c r="C149" s="6" t="s">
        <v>5449</v>
      </c>
      <c r="G149" t="str">
        <f t="shared" si="5"/>
        <v>llll</v>
      </c>
      <c r="H149" t="str">
        <f>[1]!SplitText(A149,"(",1)</f>
        <v xml:space="preserve">  LT</v>
      </c>
    </row>
    <row r="150" spans="1:8" ht="17.25" thickBot="1">
      <c r="A150" s="4" t="s">
        <v>5429</v>
      </c>
      <c r="B150" s="5" t="s">
        <v>5238</v>
      </c>
      <c r="C150" s="5" t="s">
        <v>5456</v>
      </c>
      <c r="G150" t="str">
        <f t="shared" si="5"/>
        <v>llll</v>
      </c>
      <c r="H150" t="str">
        <f>[1]!SplitText(A150,"(",1)</f>
        <v xml:space="preserve">  Real</v>
      </c>
    </row>
    <row r="151" spans="1:8" ht="27.75" thickBot="1">
      <c r="A151" s="4" t="s">
        <v>5457</v>
      </c>
      <c r="B151" s="5" t="s">
        <v>5177</v>
      </c>
      <c r="C151" s="6" t="s">
        <v>5458</v>
      </c>
      <c r="G151" t="str">
        <f t="shared" si="5"/>
        <v>llll</v>
      </c>
      <c r="H151" t="str">
        <f>[1]!SplitText(A151,"(",1)</f>
        <v xml:space="preserve">  String</v>
      </c>
    </row>
    <row r="152" spans="1:8" ht="17.25" thickBot="1">
      <c r="A152" s="115" t="s">
        <v>1994</v>
      </c>
      <c r="B152" s="115" t="s">
        <v>1995</v>
      </c>
      <c r="G152" t="str">
        <f t="shared" si="5"/>
        <v>llll</v>
      </c>
      <c r="H152" t="str">
        <f>[1]!SplitText(A152,"(",1)</f>
        <v>2.5.9</v>
      </c>
    </row>
    <row r="153" spans="1:8" ht="17.25" thickBot="1">
      <c r="A153" s="102" t="s">
        <v>1591</v>
      </c>
      <c r="B153" s="103" t="s">
        <v>1635</v>
      </c>
      <c r="C153" s="103" t="s">
        <v>1593</v>
      </c>
      <c r="G153" t="str">
        <f t="shared" si="5"/>
        <v>llll</v>
      </c>
      <c r="H153" t="str">
        <f>[1]!SplitText(A153,"(",1)</f>
        <v>Name</v>
      </c>
    </row>
    <row r="154" spans="1:8" ht="17.25" thickBot="1">
      <c r="A154" s="92" t="s">
        <v>5459</v>
      </c>
      <c r="B154" s="8" t="s">
        <v>5460</v>
      </c>
      <c r="C154" s="8" t="s">
        <v>5461</v>
      </c>
      <c r="G154" t="str">
        <f t="shared" si="5"/>
        <v>llll</v>
      </c>
      <c r="H154" t="str">
        <f>[1]!SplitText(A154,"(",1)</f>
        <v xml:space="preserve">  Background </v>
      </c>
    </row>
    <row r="155" spans="1:8" ht="17.25" thickBot="1">
      <c r="A155" s="92" t="s">
        <v>5459</v>
      </c>
      <c r="B155" s="8" t="s">
        <v>5462</v>
      </c>
      <c r="C155" s="91" t="s">
        <v>5463</v>
      </c>
      <c r="G155" t="str">
        <f t="shared" si="5"/>
        <v>llll</v>
      </c>
      <c r="H155" t="str">
        <f>[1]!SplitText(A155,"(",1)</f>
        <v xml:space="preserve">  Background </v>
      </c>
    </row>
    <row r="156" spans="1:8" ht="17.25" thickBot="1">
      <c r="A156" s="92" t="s">
        <v>5464</v>
      </c>
      <c r="B156" s="91" t="s">
        <v>5419</v>
      </c>
      <c r="C156" s="7" t="s">
        <v>5465</v>
      </c>
      <c r="G156" t="str">
        <f t="shared" si="5"/>
        <v>llll</v>
      </c>
      <c r="H156" t="str">
        <f>[1]!SplitText(A156,"(",1)</f>
        <v xml:space="preserve">  Val  </v>
      </c>
    </row>
    <row r="157" spans="1:8" ht="94.5">
      <c r="A157" s="96" t="s">
        <v>5466</v>
      </c>
      <c r="B157" s="91" t="s">
        <v>5467</v>
      </c>
      <c r="C157" s="91" t="s">
        <v>5468</v>
      </c>
      <c r="G157" t="str">
        <f t="shared" si="5"/>
        <v>llll</v>
      </c>
      <c r="H157" t="str">
        <f>[1]!SplitText(A157,"(",1)</f>
        <v xml:space="preserve">  AddPixmap</v>
      </c>
    </row>
    <row r="158" spans="1:8" ht="17.25" thickBot="1">
      <c r="A158" s="4" t="s">
        <v>5388</v>
      </c>
      <c r="B158" s="5" t="s">
        <v>5177</v>
      </c>
      <c r="C158" s="5" t="s">
        <v>5469</v>
      </c>
      <c r="G158" t="str">
        <f t="shared" si="5"/>
        <v>llll</v>
      </c>
      <c r="H158" t="str">
        <f>[1]!SplitText(A158,"(",1)</f>
        <v xml:space="preserve">  FullName</v>
      </c>
    </row>
    <row r="159" spans="1:8" ht="17.25" thickBot="1">
      <c r="A159" s="4" t="s">
        <v>5470</v>
      </c>
      <c r="B159" s="5" t="s">
        <v>5177</v>
      </c>
      <c r="C159" s="5" t="s">
        <v>5471</v>
      </c>
      <c r="G159" t="str">
        <f t="shared" si="5"/>
        <v>llll</v>
      </c>
      <c r="H159" t="str">
        <f>[1]!SplitText(A159,"(",1)</f>
        <v xml:space="preserve">  Name</v>
      </c>
    </row>
    <row r="160" spans="1:8" ht="17.25" thickBot="1">
      <c r="A160" s="4" t="s">
        <v>5396</v>
      </c>
      <c r="B160" s="5" t="s">
        <v>4994</v>
      </c>
      <c r="C160" s="5" t="s">
        <v>5472</v>
      </c>
      <c r="G160" t="str">
        <f t="shared" si="5"/>
        <v>llll</v>
      </c>
      <c r="H160" t="str">
        <f>[1]!SplitText(A160,"(",1)</f>
        <v xml:space="preserve">  Owner</v>
      </c>
    </row>
    <row r="161" spans="1:8" ht="27.75" thickBot="1">
      <c r="A161" s="4" t="s">
        <v>5473</v>
      </c>
      <c r="B161" s="6" t="s">
        <v>5273</v>
      </c>
      <c r="C161" s="6" t="s">
        <v>5474</v>
      </c>
      <c r="G161" t="str">
        <f t="shared" si="5"/>
        <v>llll</v>
      </c>
      <c r="H161" t="str">
        <f>[1]!SplitText(A161,"(",1)</f>
        <v xml:space="preserve">  SetPopup</v>
      </c>
    </row>
    <row r="162" spans="1:8" ht="27.75" thickBot="1">
      <c r="A162" s="4" t="s">
        <v>5475</v>
      </c>
      <c r="B162" s="6" t="s">
        <v>5273</v>
      </c>
      <c r="C162" s="6" t="s">
        <v>5476</v>
      </c>
      <c r="G162" t="str">
        <f t="shared" si="5"/>
        <v>llll</v>
      </c>
      <c r="H162" t="str">
        <f>[1]!SplitText(A162,"(",1)</f>
        <v xml:space="preserve">  RemovePopup</v>
      </c>
    </row>
    <row r="163" spans="1:8" ht="17.25" thickBot="1">
      <c r="A163" s="4" t="s">
        <v>5477</v>
      </c>
      <c r="B163" s="5" t="s">
        <v>5478</v>
      </c>
      <c r="C163" s="6" t="s">
        <v>5479</v>
      </c>
      <c r="G163" t="str">
        <f t="shared" si="5"/>
        <v>llll</v>
      </c>
      <c r="H163" t="str">
        <f>[1]!SplitText(A163,"(",1)</f>
        <v xml:space="preserve">  GetPickedPopup</v>
      </c>
    </row>
    <row r="164" spans="1:8" ht="17.25" thickBot="1">
      <c r="A164" s="4" t="s">
        <v>5404</v>
      </c>
      <c r="B164" s="5" t="s">
        <v>5265</v>
      </c>
      <c r="C164" s="5" t="s">
        <v>5405</v>
      </c>
      <c r="G164" t="str">
        <f t="shared" si="5"/>
        <v>llll</v>
      </c>
      <c r="H164" t="str">
        <f>[1]!SplitText(A164,"(",1)</f>
        <v xml:space="preserve">  Shown</v>
      </c>
    </row>
    <row r="165" spans="1:8" ht="17.25" thickBot="1">
      <c r="A165" s="4" t="s">
        <v>5480</v>
      </c>
      <c r="B165" s="6" t="s">
        <v>5273</v>
      </c>
      <c r="C165" s="5" t="s">
        <v>5481</v>
      </c>
      <c r="G165" t="str">
        <f t="shared" si="5"/>
        <v>llll</v>
      </c>
      <c r="H165" t="str">
        <f>[1]!SplitText(A165,"(",1)</f>
        <v xml:space="preserve">  SetFocus</v>
      </c>
    </row>
    <row r="166" spans="1:8" ht="17.25" thickBot="1">
      <c r="A166" s="4" t="s">
        <v>5482</v>
      </c>
      <c r="B166" s="6" t="s">
        <v>5273</v>
      </c>
      <c r="C166" s="5" t="s">
        <v>5483</v>
      </c>
      <c r="G166" t="str">
        <f t="shared" si="5"/>
        <v>llll</v>
      </c>
      <c r="H166" t="str">
        <f>[1]!SplitText(A166,"(",1)</f>
        <v xml:space="preserve">  Refresh</v>
      </c>
    </row>
    <row r="167" spans="1:8" ht="63.75">
      <c r="A167" s="92" t="s">
        <v>5484</v>
      </c>
      <c r="B167" s="91" t="s">
        <v>5174</v>
      </c>
      <c r="C167" s="8" t="s">
        <v>5485</v>
      </c>
      <c r="G167" t="str">
        <f t="shared" si="5"/>
        <v>llll</v>
      </c>
      <c r="H167" t="str">
        <f>[1]!SplitText(A167,"(",1)</f>
        <v xml:space="preserve">  Background</v>
      </c>
    </row>
    <row r="168" spans="1:8" ht="17.25" thickBot="1">
      <c r="A168" s="4" t="s">
        <v>5486</v>
      </c>
      <c r="B168" s="6" t="s">
        <v>5273</v>
      </c>
      <c r="C168" s="5" t="s">
        <v>5487</v>
      </c>
      <c r="G168" t="str">
        <f t="shared" si="5"/>
        <v>llll</v>
      </c>
      <c r="H168" t="str">
        <f>[1]!SplitText(A168,"(",1)</f>
        <v xml:space="preserve">  SetToolTip</v>
      </c>
    </row>
    <row r="169" spans="1:8" ht="17.25" thickBot="1">
      <c r="A169" s="4" t="s">
        <v>5406</v>
      </c>
      <c r="B169" s="5" t="s">
        <v>5177</v>
      </c>
      <c r="C169" s="5" t="s">
        <v>5488</v>
      </c>
      <c r="G169" t="str">
        <f t="shared" si="5"/>
        <v>llll</v>
      </c>
      <c r="H169" t="str">
        <f>[1]!SplitText(A169,"(",1)</f>
        <v xml:space="preserve">  Type</v>
      </c>
    </row>
    <row r="170" spans="1:8" ht="17.25" thickBot="1">
      <c r="A170" s="115" t="s">
        <v>2036</v>
      </c>
      <c r="B170" s="115" t="s">
        <v>2037</v>
      </c>
      <c r="G170" t="str">
        <f t="shared" si="5"/>
        <v>llll</v>
      </c>
      <c r="H170" t="str">
        <f>[1]!SplitText(A170,"(",1)</f>
        <v>2.5.10</v>
      </c>
    </row>
    <row r="171" spans="1:8" ht="17.25" thickBot="1">
      <c r="A171" s="102" t="s">
        <v>1591</v>
      </c>
      <c r="B171" s="103" t="s">
        <v>1592</v>
      </c>
      <c r="C171" s="103" t="s">
        <v>1593</v>
      </c>
      <c r="G171" t="str">
        <f t="shared" si="5"/>
        <v>llll</v>
      </c>
      <c r="H171" t="str">
        <f>[1]!SplitText(A171,"(",1)</f>
        <v>Name</v>
      </c>
    </row>
    <row r="172" spans="1:8" ht="122.25" thickBot="1">
      <c r="A172" s="4" t="s">
        <v>5489</v>
      </c>
      <c r="B172" s="5" t="s">
        <v>5490</v>
      </c>
      <c r="C172" s="6" t="s">
        <v>5491</v>
      </c>
      <c r="G172" t="str">
        <f t="shared" si="5"/>
        <v>llll</v>
      </c>
      <c r="H172" t="str">
        <f>[1]!SplitText(A172,"(",1)</f>
        <v xml:space="preserve">  Collection</v>
      </c>
    </row>
    <row r="173" spans="1:8" ht="77.25" thickBot="1">
      <c r="A173" s="99" t="s">
        <v>5492</v>
      </c>
      <c r="B173" s="100" t="s">
        <v>5493</v>
      </c>
      <c r="C173" s="100" t="s">
        <v>5494</v>
      </c>
      <c r="G173" t="str">
        <f t="shared" ref="G173:G187" si="6">IF(ISERROR(SEARCH("table 2:",A173&amp;B173&amp;C173&amp;D173&amp;E173&amp;F173,1)*1),"llll","o")</f>
        <v>llll</v>
      </c>
      <c r="H173" t="str">
        <f>[1]!SplitText(A173,"(",1)</f>
        <v xml:space="preserve">  Name AddType</v>
      </c>
    </row>
    <row r="174" spans="1:8" ht="17.25" thickBot="1">
      <c r="A174" s="92" t="s">
        <v>5495</v>
      </c>
      <c r="B174" s="8" t="s">
        <v>5496</v>
      </c>
      <c r="C174" s="91" t="s">
        <v>5497</v>
      </c>
      <c r="G174" t="str">
        <f t="shared" si="6"/>
        <v>llll</v>
      </c>
      <c r="H174" t="str">
        <f>[1]!SplitText(A174,"(",1)</f>
        <v xml:space="preserve">  Filter</v>
      </c>
    </row>
    <row r="175" spans="1:8">
      <c r="A175" s="92" t="s">
        <v>5498</v>
      </c>
      <c r="B175" s="8" t="s">
        <v>5499</v>
      </c>
      <c r="C175" s="91" t="s">
        <v>5500</v>
      </c>
      <c r="G175" t="str">
        <f t="shared" si="6"/>
        <v>llll</v>
      </c>
      <c r="H175" t="str">
        <f>[1]!SplitText(A175,"(",1)</f>
        <v xml:space="preserve">  Scope</v>
      </c>
    </row>
    <row r="176" spans="1:8" ht="17.25" thickBot="1">
      <c r="A176" s="4" t="s">
        <v>5501</v>
      </c>
      <c r="B176" s="5" t="s">
        <v>5502</v>
      </c>
      <c r="C176" s="6" t="s">
        <v>5503</v>
      </c>
      <c r="G176" t="str">
        <f t="shared" si="6"/>
        <v>llll</v>
      </c>
      <c r="H176" t="str">
        <f>[1]!SplitText(A176,"(",1)</f>
        <v xml:space="preserve">  Types</v>
      </c>
    </row>
    <row r="177" spans="1:8" ht="17.25" thickBot="1">
      <c r="A177" s="92" t="s">
        <v>5504</v>
      </c>
      <c r="B177" s="8" t="s">
        <v>5499</v>
      </c>
      <c r="C177" s="91" t="s">
        <v>5505</v>
      </c>
      <c r="G177" t="str">
        <f t="shared" si="6"/>
        <v>llll</v>
      </c>
      <c r="H177" t="str">
        <f>[1]!SplitText(A177,"(",1)</f>
        <v xml:space="preserve">  Results</v>
      </c>
    </row>
    <row r="178" spans="1:8" ht="26.25" thickBot="1">
      <c r="A178" s="92" t="s">
        <v>5506</v>
      </c>
      <c r="B178" s="8" t="s">
        <v>5499</v>
      </c>
      <c r="C178" s="91" t="s">
        <v>5507</v>
      </c>
      <c r="G178" t="str">
        <f t="shared" si="6"/>
        <v>llll</v>
      </c>
      <c r="H178" t="str">
        <f>[1]!SplitText(A178,"(",1)</f>
        <v xml:space="preserve">  Next</v>
      </c>
    </row>
    <row r="179" spans="1:8">
      <c r="A179" s="92" t="s">
        <v>5508</v>
      </c>
      <c r="B179" s="91" t="s">
        <v>5235</v>
      </c>
      <c r="C179" s="7" t="s">
        <v>5509</v>
      </c>
      <c r="G179" t="str">
        <f t="shared" si="6"/>
        <v>llll</v>
      </c>
      <c r="H179" t="str">
        <f>[1]!SplitText(A179,"(",1)</f>
        <v xml:space="preserve">  Index</v>
      </c>
    </row>
    <row r="180" spans="1:8" ht="17.25" thickBot="1">
      <c r="A180" s="4" t="s">
        <v>5510</v>
      </c>
      <c r="B180" s="5" t="s">
        <v>5238</v>
      </c>
      <c r="C180" s="6" t="s">
        <v>5511</v>
      </c>
      <c r="G180" t="str">
        <f t="shared" si="6"/>
        <v>llll</v>
      </c>
      <c r="H180" t="str">
        <f>[1]!SplitText(A180,"(",1)</f>
        <v xml:space="preserve">  Size </v>
      </c>
    </row>
    <row r="181" spans="1:8" ht="17.25" thickBot="1">
      <c r="A181" s="115" t="s">
        <v>2047</v>
      </c>
      <c r="B181" s="115" t="s">
        <v>2048</v>
      </c>
      <c r="G181" t="str">
        <f t="shared" si="6"/>
        <v>llll</v>
      </c>
      <c r="H181" t="str">
        <f>[1]!SplitText(A181,"(",1)</f>
        <v>2.5.11</v>
      </c>
    </row>
    <row r="182" spans="1:8" ht="17.25" thickBot="1">
      <c r="A182" s="102" t="s">
        <v>1591</v>
      </c>
      <c r="B182" s="103" t="s">
        <v>1592</v>
      </c>
      <c r="C182" s="103" t="s">
        <v>1593</v>
      </c>
      <c r="G182" t="str">
        <f t="shared" si="6"/>
        <v>llll</v>
      </c>
      <c r="H182" t="str">
        <f>[1]!SplitText(A182,"(",1)</f>
        <v>Name</v>
      </c>
    </row>
    <row r="183" spans="1:8" ht="108.75" thickBot="1">
      <c r="A183" s="4" t="s">
        <v>5512</v>
      </c>
      <c r="B183" s="5" t="s">
        <v>5513</v>
      </c>
      <c r="C183" s="6" t="s">
        <v>5514</v>
      </c>
      <c r="G183" t="str">
        <f t="shared" si="6"/>
        <v>llll</v>
      </c>
      <c r="H183" t="str">
        <f>[1]!SplitText(A183,"(",1)</f>
        <v xml:space="preserve">  Column</v>
      </c>
    </row>
    <row r="184" spans="1:8" ht="17.25" thickBot="1">
      <c r="A184" s="4" t="s">
        <v>5515</v>
      </c>
      <c r="B184" s="5" t="s">
        <v>5177</v>
      </c>
      <c r="C184" s="6" t="s">
        <v>5516</v>
      </c>
      <c r="G184" t="str">
        <f t="shared" si="6"/>
        <v>llll</v>
      </c>
      <c r="H184" t="str">
        <f>[1]!SplitText(A184,"(",1)</f>
        <v xml:space="preserve">  Key</v>
      </c>
    </row>
    <row r="185" spans="1:8">
      <c r="A185" s="92" t="s">
        <v>5517</v>
      </c>
      <c r="B185" s="8" t="s">
        <v>5496</v>
      </c>
      <c r="C185" s="91" t="s">
        <v>5518</v>
      </c>
      <c r="G185" t="str">
        <f t="shared" si="6"/>
        <v>llll</v>
      </c>
      <c r="H185" t="str">
        <f>[1]!SplitText(A185,"(",1)</f>
        <v xml:space="preserve">  Expression</v>
      </c>
    </row>
    <row r="186" spans="1:8" ht="17.25" thickBot="1">
      <c r="A186" s="4" t="s">
        <v>5519</v>
      </c>
      <c r="B186" s="5" t="s">
        <v>5265</v>
      </c>
      <c r="C186" s="6" t="s">
        <v>5520</v>
      </c>
      <c r="G186" t="str">
        <f t="shared" si="6"/>
        <v>llll</v>
      </c>
      <c r="H186" t="str">
        <f>[1]!SplitText(A186,"(",1)</f>
        <v xml:space="preserve">  IsSorted</v>
      </c>
    </row>
    <row r="187" spans="1:8">
      <c r="A187" s="92" t="s">
        <v>5521</v>
      </c>
      <c r="B187" s="91" t="s">
        <v>5174</v>
      </c>
      <c r="C187" s="7" t="s">
        <v>5522</v>
      </c>
      <c r="G187" t="str">
        <f t="shared" si="6"/>
        <v>llll</v>
      </c>
      <c r="H187" t="str">
        <f>[1]!SplitText(A187,"(",1)</f>
        <v xml:space="preserve">  SortType</v>
      </c>
    </row>
    <row r="188" spans="1:8" ht="17.25" thickBot="1">
      <c r="A188" s="115" t="s">
        <v>2079</v>
      </c>
      <c r="B188" s="115" t="s">
        <v>2080</v>
      </c>
      <c r="G188" t="str">
        <f t="shared" ref="G188:G217" si="7">IF(ISERROR(SEARCH("table 2:",A188&amp;B188&amp;C188&amp;D188&amp;E188&amp;F188,1)*1),"llll","o")</f>
        <v>llll</v>
      </c>
      <c r="H188" t="str">
        <f>[1]!SplitText(A188,"(",1)</f>
        <v>2.5.12</v>
      </c>
    </row>
    <row r="189" spans="1:8" ht="17.25" thickBot="1">
      <c r="A189" s="102" t="s">
        <v>1591</v>
      </c>
      <c r="B189" s="103" t="s">
        <v>1592</v>
      </c>
      <c r="C189" s="103" t="s">
        <v>1593</v>
      </c>
      <c r="G189" t="str">
        <f t="shared" si="7"/>
        <v>llll</v>
      </c>
      <c r="H189" t="str">
        <f>[1]!SplitText(A189,"(",1)</f>
        <v>Name</v>
      </c>
    </row>
    <row r="190" spans="1:8" ht="102.75" thickBot="1">
      <c r="A190" s="4" t="s">
        <v>5523</v>
      </c>
      <c r="B190" s="5" t="s">
        <v>5524</v>
      </c>
      <c r="C190" s="6" t="s">
        <v>5525</v>
      </c>
      <c r="G190" t="str">
        <f t="shared" si="7"/>
        <v>llll</v>
      </c>
      <c r="H190" t="str">
        <f>[1]!SplitText(A190,"(",1)</f>
        <v xml:space="preserve">  ColumnFormat</v>
      </c>
    </row>
    <row r="191" spans="1:8" ht="17.25" thickBot="1">
      <c r="A191" s="4" t="s">
        <v>5526</v>
      </c>
      <c r="B191" s="5" t="s">
        <v>5527</v>
      </c>
      <c r="C191" s="6" t="s">
        <v>5528</v>
      </c>
      <c r="G191" t="str">
        <f t="shared" si="7"/>
        <v>llll</v>
      </c>
      <c r="H191" t="str">
        <f>[1]!SplitText(A191,"(",1)</f>
        <v xml:space="preserve">  Format</v>
      </c>
    </row>
    <row r="192" spans="1:8" ht="39" thickBot="1">
      <c r="A192" s="4" t="s">
        <v>5366</v>
      </c>
      <c r="B192" s="5" t="s">
        <v>5238</v>
      </c>
      <c r="C192" s="6" t="s">
        <v>5529</v>
      </c>
      <c r="G192" t="str">
        <f t="shared" si="7"/>
        <v>llll</v>
      </c>
      <c r="H192" t="str">
        <f>[1]!SplitText(A192,"(",1)</f>
        <v xml:space="preserve">  Width</v>
      </c>
    </row>
    <row r="193" spans="1:8" ht="17.25" thickBot="1">
      <c r="A193" s="4" t="s">
        <v>5530</v>
      </c>
      <c r="B193" s="5" t="s">
        <v>5265</v>
      </c>
      <c r="C193" s="5" t="s">
        <v>5531</v>
      </c>
      <c r="G193" t="str">
        <f t="shared" si="7"/>
        <v>llll</v>
      </c>
      <c r="H193" t="str">
        <f>[1]!SplitText(A193,"(",1)</f>
        <v xml:space="preserve">  GetWidest</v>
      </c>
    </row>
    <row r="194" spans="1:8">
      <c r="A194" s="92" t="s">
        <v>5532</v>
      </c>
      <c r="B194" s="91" t="s">
        <v>5174</v>
      </c>
      <c r="C194" s="8" t="s">
        <v>5533</v>
      </c>
      <c r="G194" t="str">
        <f t="shared" si="7"/>
        <v>llll</v>
      </c>
      <c r="H194" t="str">
        <f>[1]!SplitText(A194,"(",1)</f>
        <v xml:space="preserve">  Justification</v>
      </c>
    </row>
    <row r="195" spans="1:8" ht="17.25" thickBot="1">
      <c r="A195" s="4" t="s">
        <v>5534</v>
      </c>
      <c r="B195" s="5" t="s">
        <v>5238</v>
      </c>
      <c r="C195" s="6" t="s">
        <v>5535</v>
      </c>
      <c r="G195" t="str">
        <f t="shared" si="7"/>
        <v>llll</v>
      </c>
      <c r="H195" t="str">
        <f>[1]!SplitText(A195,"(",1)</f>
        <v xml:space="preserve">  LeftIndent</v>
      </c>
    </row>
    <row r="196" spans="1:8">
      <c r="A196" s="92" t="s">
        <v>5536</v>
      </c>
      <c r="B196" s="91" t="s">
        <v>5235</v>
      </c>
      <c r="C196" s="8" t="s">
        <v>5537</v>
      </c>
      <c r="G196" t="str">
        <f t="shared" si="7"/>
        <v>llll</v>
      </c>
      <c r="H196" t="str">
        <f>[1]!SplitText(A196,"(",1)</f>
        <v xml:space="preserve">  RightIndent</v>
      </c>
    </row>
    <row r="197" spans="1:8" ht="17.25" thickBot="1">
      <c r="A197" s="115" t="s">
        <v>2109</v>
      </c>
      <c r="B197" s="115" t="s">
        <v>2110</v>
      </c>
      <c r="G197" t="str">
        <f t="shared" si="7"/>
        <v>llll</v>
      </c>
      <c r="H197" t="str">
        <f>[1]!SplitText(A197,"(",1)</f>
        <v>2.5.13</v>
      </c>
    </row>
    <row r="198" spans="1:8" ht="17.25" thickBot="1">
      <c r="A198" s="102" t="s">
        <v>1591</v>
      </c>
      <c r="B198" s="103" t="s">
        <v>1635</v>
      </c>
      <c r="C198" s="103" t="s">
        <v>1593</v>
      </c>
      <c r="G198" t="str">
        <f t="shared" si="7"/>
        <v>llll</v>
      </c>
      <c r="H198" t="str">
        <f>[1]!SplitText(A198,"(",1)</f>
        <v>Name</v>
      </c>
    </row>
    <row r="199" spans="1:8" ht="17.25" thickBot="1">
      <c r="A199" s="92" t="s">
        <v>5464</v>
      </c>
      <c r="B199" s="8" t="s">
        <v>5538</v>
      </c>
      <c r="C199" s="91" t="s">
        <v>5539</v>
      </c>
      <c r="G199" t="str">
        <f t="shared" si="7"/>
        <v>llll</v>
      </c>
      <c r="H199" t="str">
        <f>[1]!SplitText(A199,"(",1)</f>
        <v xml:space="preserve">  Val  </v>
      </c>
    </row>
    <row r="200" spans="1:8">
      <c r="A200" s="92" t="s">
        <v>5540</v>
      </c>
      <c r="B200" s="7" t="s">
        <v>5541</v>
      </c>
      <c r="C200" s="91" t="s">
        <v>5542</v>
      </c>
      <c r="G200" t="str">
        <f t="shared" si="7"/>
        <v>llll</v>
      </c>
      <c r="H200" t="str">
        <f>[1]!SplitText(A200,"(",1)</f>
        <v xml:space="preserve">  DText  </v>
      </c>
    </row>
    <row r="201" spans="1:8" ht="17.25" thickBot="1">
      <c r="A201" s="4" t="s">
        <v>5543</v>
      </c>
      <c r="B201" s="5" t="s">
        <v>5544</v>
      </c>
      <c r="C201" s="6" t="s">
        <v>5545</v>
      </c>
      <c r="G201" t="str">
        <f t="shared" si="7"/>
        <v>llll</v>
      </c>
      <c r="H201" t="str">
        <f>[1]!SplitText(A201,"(",1)</f>
        <v xml:space="preserve">  DText[n]</v>
      </c>
    </row>
    <row r="202" spans="1:8" ht="17.25" thickBot="1">
      <c r="A202" s="92" t="s">
        <v>5546</v>
      </c>
      <c r="B202" s="7" t="s">
        <v>5541</v>
      </c>
      <c r="C202" s="91" t="s">
        <v>5547</v>
      </c>
      <c r="G202" t="str">
        <f t="shared" si="7"/>
        <v>llll</v>
      </c>
      <c r="H202" t="str">
        <f>[1]!SplitText(A202,"(",1)</f>
        <v xml:space="preserve">  RText  </v>
      </c>
    </row>
    <row r="203" spans="1:8" ht="17.25" thickBot="1">
      <c r="A203" s="92" t="s">
        <v>5548</v>
      </c>
      <c r="B203" s="7" t="s">
        <v>5549</v>
      </c>
      <c r="C203" s="91" t="s">
        <v>5550</v>
      </c>
      <c r="G203" t="str">
        <f t="shared" si="7"/>
        <v>llll</v>
      </c>
      <c r="H203" t="str">
        <f>[1]!SplitText(A203,"(",1)</f>
        <v xml:space="preserve">  RText[n] </v>
      </c>
    </row>
    <row r="204" spans="1:8" ht="17.25" thickBot="1">
      <c r="A204" s="176" t="s">
        <v>5551</v>
      </c>
      <c r="B204" s="8" t="s">
        <v>5552</v>
      </c>
      <c r="C204" s="91" t="s">
        <v>5553</v>
      </c>
      <c r="G204" t="str">
        <f t="shared" si="7"/>
        <v>llll</v>
      </c>
      <c r="H204" t="str">
        <f>[1]!SplitText(A204,"(",1)</f>
        <v xml:space="preserve">  Editable </v>
      </c>
    </row>
    <row r="205" spans="1:8" ht="26.25" thickBot="1">
      <c r="A205" s="176" t="s">
        <v>5554</v>
      </c>
      <c r="B205" s="8" t="s">
        <v>5555</v>
      </c>
      <c r="C205" s="91" t="s">
        <v>5556</v>
      </c>
      <c r="G205" t="str">
        <f t="shared" si="7"/>
        <v>llll</v>
      </c>
      <c r="H205" t="str">
        <f>[1]!SplitText(A205,"(",1)</f>
        <v xml:space="preserve">  Scroll </v>
      </c>
    </row>
    <row r="206" spans="1:8" ht="17.25" thickBot="1">
      <c r="A206" s="176" t="s">
        <v>5557</v>
      </c>
      <c r="B206" s="8" t="s">
        <v>5558</v>
      </c>
      <c r="C206" s="91" t="s">
        <v>5559</v>
      </c>
      <c r="G206" t="str">
        <f t="shared" si="7"/>
        <v>llll</v>
      </c>
      <c r="H206" t="str">
        <f>[1]!SplitText(A206,"(",1)</f>
        <v xml:space="preserve">  Count </v>
      </c>
    </row>
    <row r="207" spans="1:8" ht="25.5">
      <c r="A207" s="176" t="s">
        <v>5560</v>
      </c>
      <c r="B207" s="8" t="s">
        <v>5186</v>
      </c>
      <c r="C207" s="91" t="s">
        <v>5561</v>
      </c>
      <c r="G207" t="str">
        <f t="shared" si="7"/>
        <v>llll</v>
      </c>
      <c r="H207" t="str">
        <f>[1]!SplitText(A207,"(",1)</f>
        <v xml:space="preserve">  Val </v>
      </c>
    </row>
    <row r="208" spans="1:8" ht="26.25" thickBot="1">
      <c r="A208" s="4" t="s">
        <v>5562</v>
      </c>
      <c r="B208" s="6" t="s">
        <v>5273</v>
      </c>
      <c r="C208" s="6" t="s">
        <v>5563</v>
      </c>
      <c r="G208" t="str">
        <f t="shared" si="7"/>
        <v>llll</v>
      </c>
      <c r="H208" t="str">
        <f>[1]!SplitText(A208,"(",1)</f>
        <v xml:space="preserve">  Add</v>
      </c>
    </row>
    <row r="209" spans="1:8" ht="39" thickBot="1">
      <c r="A209" s="4" t="s">
        <v>5564</v>
      </c>
      <c r="B209" s="6" t="s">
        <v>5273</v>
      </c>
      <c r="C209" s="6" t="s">
        <v>5565</v>
      </c>
      <c r="G209" t="str">
        <f t="shared" si="7"/>
        <v>llll</v>
      </c>
      <c r="H209" t="str">
        <f>[1]!SplitText(A209,"(",1)</f>
        <v xml:space="preserve">  Add</v>
      </c>
    </row>
    <row r="210" spans="1:8" ht="17.25" thickBot="1">
      <c r="A210" s="4" t="s">
        <v>5277</v>
      </c>
      <c r="B210" s="6" t="s">
        <v>5273</v>
      </c>
      <c r="C210" s="5" t="s">
        <v>5566</v>
      </c>
      <c r="G210" t="str">
        <f t="shared" si="7"/>
        <v>llll</v>
      </c>
      <c r="H210" t="str">
        <f>[1]!SplitText(A210,"(",1)</f>
        <v xml:space="preserve">  Clear</v>
      </c>
    </row>
    <row r="211" spans="1:8" ht="17.25" thickBot="1">
      <c r="A211" s="4" t="s">
        <v>5567</v>
      </c>
      <c r="B211" s="6" t="s">
        <v>5273</v>
      </c>
      <c r="C211" s="6" t="s">
        <v>5568</v>
      </c>
      <c r="G211" t="str">
        <f t="shared" si="7"/>
        <v>llll</v>
      </c>
      <c r="H211" t="str">
        <f>[1]!SplitText(A211,"(",1)</f>
        <v xml:space="preserve">  ClearSelection</v>
      </c>
    </row>
    <row r="212" spans="1:8" ht="17.25" thickBot="1">
      <c r="A212" s="4" t="s">
        <v>5388</v>
      </c>
      <c r="B212" s="5" t="s">
        <v>5177</v>
      </c>
      <c r="C212" s="5" t="s">
        <v>5569</v>
      </c>
      <c r="G212" t="str">
        <f t="shared" si="7"/>
        <v>llll</v>
      </c>
      <c r="H212" t="str">
        <f>[1]!SplitText(A212,"(",1)</f>
        <v xml:space="preserve">  FullName</v>
      </c>
    </row>
    <row r="213" spans="1:8" ht="17.25" thickBot="1">
      <c r="A213" s="4" t="s">
        <v>5470</v>
      </c>
      <c r="B213" s="5" t="s">
        <v>5177</v>
      </c>
      <c r="C213" s="5" t="s">
        <v>5570</v>
      </c>
      <c r="G213" t="str">
        <f t="shared" si="7"/>
        <v>llll</v>
      </c>
      <c r="H213" t="str">
        <f>[1]!SplitText(A213,"(",1)</f>
        <v xml:space="preserve">  Name</v>
      </c>
    </row>
    <row r="214" spans="1:8" ht="17.25" thickBot="1">
      <c r="A214" s="4" t="s">
        <v>5396</v>
      </c>
      <c r="B214" s="5" t="s">
        <v>4994</v>
      </c>
      <c r="C214" s="5" t="s">
        <v>5472</v>
      </c>
      <c r="G214" t="str">
        <f t="shared" si="7"/>
        <v>llll</v>
      </c>
      <c r="H214" t="str">
        <f>[1]!SplitText(A214,"(",1)</f>
        <v xml:space="preserve">  Owner</v>
      </c>
    </row>
    <row r="215" spans="1:8" ht="40.5">
      <c r="A215" s="134" t="s">
        <v>5571</v>
      </c>
      <c r="B215" s="91" t="s">
        <v>5316</v>
      </c>
      <c r="C215" s="91" t="s">
        <v>5572</v>
      </c>
      <c r="G215" t="str">
        <f t="shared" si="7"/>
        <v>llll</v>
      </c>
      <c r="H215" t="str">
        <f>[1]!SplitText(A215,"(",1)</f>
        <v xml:space="preserve">  Select</v>
      </c>
    </row>
    <row r="216" spans="1:8" ht="17.25" thickBot="1">
      <c r="A216" s="4" t="s">
        <v>5573</v>
      </c>
      <c r="B216" s="5" t="s">
        <v>5177</v>
      </c>
      <c r="C216" s="5" t="s">
        <v>5574</v>
      </c>
      <c r="G216" t="str">
        <f t="shared" si="7"/>
        <v>llll</v>
      </c>
      <c r="H216" t="str">
        <f>[1]!SplitText(A216,"(",1)</f>
        <v xml:space="preserve">  Selection</v>
      </c>
    </row>
    <row r="217" spans="1:8" ht="27.75" thickBot="1">
      <c r="A217" s="4" t="s">
        <v>5575</v>
      </c>
      <c r="B217" s="5" t="s">
        <v>5177</v>
      </c>
      <c r="C217" s="6" t="s">
        <v>5576</v>
      </c>
      <c r="G217" t="str">
        <f t="shared" si="7"/>
        <v>llll</v>
      </c>
      <c r="H217" t="str">
        <f>[1]!SplitText(A217,"(",1)</f>
        <v xml:space="preserve">  Selection</v>
      </c>
    </row>
    <row r="218" spans="1:8" ht="30.75" thickBot="1">
      <c r="A218" s="145" t="s">
        <v>5577</v>
      </c>
      <c r="B218" s="6" t="s">
        <v>5273</v>
      </c>
      <c r="C218" s="6" t="s">
        <v>5578</v>
      </c>
      <c r="G218" t="str">
        <f t="shared" ref="G218:G249" si="8">IF(ISERROR(SEARCH("table 2:",A218&amp;B218&amp;C218&amp;D218&amp;E218&amp;F218,1)*1),"llll","o")</f>
        <v>llll</v>
      </c>
      <c r="H218" t="str">
        <f>[1]!SplitText(A218,"(",1)</f>
        <v xml:space="preserve">  SetDisplayText</v>
      </c>
    </row>
    <row r="219" spans="1:8" ht="27.75" thickBot="1">
      <c r="A219" s="4" t="s">
        <v>5473</v>
      </c>
      <c r="B219" s="6" t="s">
        <v>5273</v>
      </c>
      <c r="C219" s="6" t="s">
        <v>5579</v>
      </c>
      <c r="G219" t="str">
        <f t="shared" si="8"/>
        <v>llll</v>
      </c>
      <c r="H219" t="str">
        <f>[1]!SplitText(A219,"(",1)</f>
        <v xml:space="preserve">  SetPopup</v>
      </c>
    </row>
    <row r="220" spans="1:8">
      <c r="A220" s="92" t="s">
        <v>5580</v>
      </c>
      <c r="B220" s="8" t="s">
        <v>5581</v>
      </c>
      <c r="C220" s="91" t="s">
        <v>5582</v>
      </c>
      <c r="G220" t="str">
        <f t="shared" si="8"/>
        <v>llll</v>
      </c>
      <c r="H220" t="str">
        <f>[1]!SplitText(A220,"(",1)</f>
        <v xml:space="preserve">  Refresh</v>
      </c>
    </row>
    <row r="221" spans="1:8" ht="17.25" thickBot="1">
      <c r="A221" s="4" t="s">
        <v>5480</v>
      </c>
      <c r="B221" s="6" t="s">
        <v>5273</v>
      </c>
      <c r="C221" s="5" t="s">
        <v>5481</v>
      </c>
      <c r="G221" t="str">
        <f t="shared" si="8"/>
        <v>llll</v>
      </c>
      <c r="H221" t="str">
        <f>[1]!SplitText(A221,"(",1)</f>
        <v xml:space="preserve">  SetFocus</v>
      </c>
    </row>
    <row r="222" spans="1:8" ht="27.75" thickBot="1">
      <c r="A222" s="4" t="s">
        <v>5475</v>
      </c>
      <c r="B222" s="6" t="s">
        <v>5273</v>
      </c>
      <c r="C222" s="6" t="s">
        <v>5583</v>
      </c>
      <c r="G222" t="str">
        <f t="shared" si="8"/>
        <v>llll</v>
      </c>
      <c r="H222" t="str">
        <f>[1]!SplitText(A222,"(",1)</f>
        <v xml:space="preserve">  RemovePopup</v>
      </c>
    </row>
    <row r="223" spans="1:8" ht="17.25" thickBot="1">
      <c r="A223" s="4" t="s">
        <v>5477</v>
      </c>
      <c r="B223" s="5" t="s">
        <v>5478</v>
      </c>
      <c r="C223" s="6" t="s">
        <v>5584</v>
      </c>
      <c r="G223" t="str">
        <f t="shared" si="8"/>
        <v>llll</v>
      </c>
      <c r="H223" t="str">
        <f>[1]!SplitText(A223,"(",1)</f>
        <v xml:space="preserve">  GetPickedPopup</v>
      </c>
    </row>
    <row r="224" spans="1:8" ht="17.25" thickBot="1">
      <c r="A224" s="4" t="s">
        <v>5404</v>
      </c>
      <c r="B224" s="5" t="s">
        <v>5265</v>
      </c>
      <c r="C224" s="5" t="s">
        <v>5585</v>
      </c>
      <c r="G224" t="str">
        <f t="shared" si="8"/>
        <v>llll</v>
      </c>
      <c r="H224" t="str">
        <f>[1]!SplitText(A224,"(",1)</f>
        <v xml:space="preserve">  Shown</v>
      </c>
    </row>
    <row r="225" spans="1:8" ht="17.25" thickBot="1">
      <c r="A225" s="4" t="s">
        <v>5406</v>
      </c>
      <c r="B225" s="5" t="s">
        <v>5177</v>
      </c>
      <c r="C225" s="5" t="s">
        <v>5586</v>
      </c>
      <c r="G225" t="str">
        <f t="shared" si="8"/>
        <v>llll</v>
      </c>
      <c r="H225" t="str">
        <f>[1]!SplitText(A225,"(",1)</f>
        <v xml:space="preserve">  Type</v>
      </c>
    </row>
    <row r="226" spans="1:8" ht="63.75">
      <c r="A226" s="92" t="s">
        <v>5484</v>
      </c>
      <c r="B226" s="91" t="s">
        <v>5174</v>
      </c>
      <c r="C226" s="8" t="s">
        <v>5485</v>
      </c>
      <c r="G226" t="str">
        <f t="shared" si="8"/>
        <v>llll</v>
      </c>
      <c r="H226" t="str">
        <f>[1]!SplitText(A226,"(",1)</f>
        <v xml:space="preserve">  Background</v>
      </c>
    </row>
    <row r="227" spans="1:8" ht="26.25" thickBot="1">
      <c r="A227" s="4" t="s">
        <v>5587</v>
      </c>
      <c r="B227" s="5" t="s">
        <v>5177</v>
      </c>
      <c r="C227" s="6" t="s">
        <v>5588</v>
      </c>
      <c r="G227" t="str">
        <f t="shared" si="8"/>
        <v>llll</v>
      </c>
      <c r="H227" t="str">
        <f>[1]!SplitText(A227,"(",1)</f>
        <v xml:space="preserve">  DisplayText</v>
      </c>
    </row>
    <row r="228" spans="1:8" ht="17.25" thickBot="1">
      <c r="A228" s="4" t="s">
        <v>5589</v>
      </c>
      <c r="B228" s="6" t="s">
        <v>5273</v>
      </c>
      <c r="C228" s="6" t="s">
        <v>5590</v>
      </c>
      <c r="G228" t="str">
        <f t="shared" si="8"/>
        <v>llll</v>
      </c>
      <c r="H228" t="str">
        <f>[1]!SplitText(A228,"(",1)</f>
        <v xml:space="preserve">  SetPopup</v>
      </c>
    </row>
    <row r="229" spans="1:8" ht="17.25" thickBot="1">
      <c r="A229" s="4" t="s">
        <v>5591</v>
      </c>
      <c r="B229" s="6" t="s">
        <v>5273</v>
      </c>
      <c r="C229" s="6" t="s">
        <v>5592</v>
      </c>
      <c r="G229" t="str">
        <f t="shared" si="8"/>
        <v>llll</v>
      </c>
      <c r="H229" t="str">
        <f>[1]!SplitText(A229,"(",1)</f>
        <v xml:space="preserve">  Clear</v>
      </c>
    </row>
    <row r="230" spans="1:8" ht="27.75" thickBot="1">
      <c r="A230" s="4" t="s">
        <v>5593</v>
      </c>
      <c r="B230" s="6" t="s">
        <v>5273</v>
      </c>
      <c r="C230" s="5" t="s">
        <v>5594</v>
      </c>
      <c r="G230" t="str">
        <f t="shared" si="8"/>
        <v>llll</v>
      </c>
      <c r="H230" t="str">
        <f>[1]!SplitText(A230,"(",1)</f>
        <v xml:space="preserve">  Clear</v>
      </c>
    </row>
    <row r="231" spans="1:8" ht="17.25" thickBot="1">
      <c r="A231" s="115" t="s">
        <v>2178</v>
      </c>
      <c r="B231" s="115" t="s">
        <v>2179</v>
      </c>
      <c r="G231" t="str">
        <f t="shared" si="8"/>
        <v>llll</v>
      </c>
      <c r="H231" t="str">
        <f>[1]!SplitText(A231,"(",1)</f>
        <v>2.5.14</v>
      </c>
    </row>
    <row r="232" spans="1:8" ht="17.25" thickBot="1">
      <c r="A232" s="102" t="s">
        <v>4929</v>
      </c>
      <c r="B232" s="103" t="s">
        <v>1635</v>
      </c>
      <c r="C232" s="103" t="s">
        <v>1593</v>
      </c>
      <c r="G232" t="str">
        <f t="shared" si="8"/>
        <v>llll</v>
      </c>
      <c r="H232" t="str">
        <f>[1]!SplitText(A232,"(",1)</f>
        <v>Name</v>
      </c>
    </row>
    <row r="233" spans="1:8" ht="17.25" thickBot="1">
      <c r="A233" s="104" t="s">
        <v>5595</v>
      </c>
      <c r="B233" s="5" t="s">
        <v>5596</v>
      </c>
      <c r="C233" s="5" t="s">
        <v>5597</v>
      </c>
      <c r="G233" t="str">
        <f t="shared" si="8"/>
        <v>llll</v>
      </c>
      <c r="H233" t="str">
        <f>[1]!SplitText(A233,"(",1)</f>
        <v xml:space="preserve">  type</v>
      </c>
    </row>
    <row r="234" spans="1:8" ht="17.25" thickBot="1">
      <c r="A234" s="104" t="s">
        <v>5598</v>
      </c>
      <c r="B234" s="5" t="s">
        <v>5186</v>
      </c>
      <c r="C234" s="5" t="s">
        <v>5599</v>
      </c>
      <c r="G234" t="str">
        <f t="shared" si="8"/>
        <v>llll</v>
      </c>
      <c r="H234" t="str">
        <f>[1]!SplitText(A234,"(",1)</f>
        <v xml:space="preserve">  control</v>
      </c>
    </row>
    <row r="235" spans="1:8" ht="17.25" thickBot="1">
      <c r="A235" s="104" t="s">
        <v>5600</v>
      </c>
      <c r="B235" s="5" t="s">
        <v>5601</v>
      </c>
      <c r="C235" s="5" t="s">
        <v>5602</v>
      </c>
      <c r="G235" t="str">
        <f t="shared" si="8"/>
        <v>llll</v>
      </c>
      <c r="H235" t="str">
        <f>[1]!SplitText(A235,"(",1)</f>
        <v xml:space="preserve">  popup</v>
      </c>
    </row>
    <row r="236" spans="1:8" ht="26.25" thickBot="1">
      <c r="A236" s="104" t="s">
        <v>5603</v>
      </c>
      <c r="B236" s="5" t="s">
        <v>5273</v>
      </c>
      <c r="C236" s="6" t="s">
        <v>5604</v>
      </c>
      <c r="G236" t="str">
        <f t="shared" si="8"/>
        <v>llll</v>
      </c>
      <c r="H236" t="str">
        <f>[1]!SplitText(A236,"(",1)</f>
        <v xml:space="preserve">  ShowPopup</v>
      </c>
    </row>
    <row r="237" spans="1:8" ht="17.25" thickBot="1">
      <c r="A237" s="104" t="s">
        <v>5605</v>
      </c>
      <c r="B237" s="5" t="s">
        <v>5177</v>
      </c>
      <c r="C237" s="5" t="s">
        <v>5606</v>
      </c>
      <c r="G237" t="str">
        <f t="shared" si="8"/>
        <v>llll</v>
      </c>
      <c r="H237" t="str">
        <f>[1]!SplitText(A237,"(",1)</f>
        <v xml:space="preserve">  FullName</v>
      </c>
    </row>
    <row r="238" spans="1:8" ht="17.25" thickBot="1">
      <c r="A238" s="104" t="s">
        <v>5607</v>
      </c>
      <c r="B238" s="5" t="s">
        <v>5177</v>
      </c>
      <c r="C238" s="5" t="s">
        <v>5608</v>
      </c>
      <c r="G238" t="str">
        <f t="shared" si="8"/>
        <v>llll</v>
      </c>
      <c r="H238" t="str">
        <f>[1]!SplitText(A238,"(",1)</f>
        <v xml:space="preserve">  Name</v>
      </c>
    </row>
    <row r="239" spans="1:8" ht="17.25" thickBot="1">
      <c r="A239" s="104" t="s">
        <v>5609</v>
      </c>
      <c r="B239" s="5" t="s">
        <v>4994</v>
      </c>
      <c r="C239" s="5" t="s">
        <v>5610</v>
      </c>
      <c r="G239" t="str">
        <f t="shared" si="8"/>
        <v>llll</v>
      </c>
      <c r="H239" t="str">
        <f>[1]!SplitText(A239,"(",1)</f>
        <v xml:space="preserve">  Owner</v>
      </c>
    </row>
    <row r="240" spans="1:8" ht="17.25" thickBot="1">
      <c r="A240" s="104" t="s">
        <v>5611</v>
      </c>
      <c r="B240" s="5" t="s">
        <v>5478</v>
      </c>
      <c r="C240" s="5" t="s">
        <v>5584</v>
      </c>
      <c r="G240" t="str">
        <f t="shared" si="8"/>
        <v>llll</v>
      </c>
      <c r="H240" t="str">
        <f>[1]!SplitText(A240,"(",1)</f>
        <v xml:space="preserve">  GetPickedPopup</v>
      </c>
    </row>
    <row r="241" spans="1:8" ht="17.25" thickBot="1">
      <c r="A241" s="104" t="s">
        <v>5612</v>
      </c>
      <c r="B241" s="5" t="s">
        <v>5265</v>
      </c>
      <c r="C241" s="5" t="s">
        <v>5613</v>
      </c>
      <c r="G241" t="str">
        <f t="shared" si="8"/>
        <v>llll</v>
      </c>
      <c r="H241" t="str">
        <f>[1]!SplitText(A241,"(",1)</f>
        <v xml:space="preserve">  Shown</v>
      </c>
    </row>
    <row r="242" spans="1:8" ht="17.25" thickBot="1">
      <c r="A242" s="115" t="s">
        <v>2202</v>
      </c>
      <c r="B242" s="115" t="s">
        <v>2203</v>
      </c>
      <c r="G242" t="str">
        <f t="shared" si="8"/>
        <v>llll</v>
      </c>
      <c r="H242" t="str">
        <f>[1]!SplitText(A242,"(",1)</f>
        <v>2.5.15</v>
      </c>
    </row>
    <row r="243" spans="1:8" ht="17.25" thickBot="1">
      <c r="A243" s="102" t="s">
        <v>1591</v>
      </c>
      <c r="B243" s="103" t="s">
        <v>1592</v>
      </c>
      <c r="C243" s="103" t="s">
        <v>1593</v>
      </c>
      <c r="G243" t="str">
        <f t="shared" si="8"/>
        <v>llll</v>
      </c>
      <c r="H243" t="str">
        <f>[1]!SplitText(A243,"(",1)</f>
        <v>Name</v>
      </c>
    </row>
    <row r="244" spans="1:8" ht="89.25">
      <c r="A244" s="92" t="s">
        <v>5614</v>
      </c>
      <c r="B244" s="91" t="s">
        <v>5524</v>
      </c>
      <c r="C244" s="8" t="s">
        <v>5615</v>
      </c>
      <c r="G244" t="str">
        <f t="shared" si="8"/>
        <v>llll</v>
      </c>
      <c r="H244" t="str">
        <f>[1]!SplitText(A244,"(",1)</f>
        <v xml:space="preserve">  DateFormat</v>
      </c>
    </row>
    <row r="245" spans="1:8" ht="17.25" thickBot="1">
      <c r="A245" s="4" t="s">
        <v>5616</v>
      </c>
      <c r="B245" s="5" t="s">
        <v>5177</v>
      </c>
      <c r="C245" s="6" t="s">
        <v>5617</v>
      </c>
      <c r="G245" t="str">
        <f t="shared" si="8"/>
        <v>llll</v>
      </c>
      <c r="H245" t="str">
        <f>[1]!SplitText(A245,"(",1)</f>
        <v xml:space="preserve">  String</v>
      </c>
    </row>
    <row r="246" spans="1:8" ht="17.25" thickBot="1">
      <c r="A246" s="4" t="s">
        <v>5618</v>
      </c>
      <c r="B246" s="5" t="s">
        <v>5177</v>
      </c>
      <c r="C246" s="5" t="s">
        <v>5619</v>
      </c>
      <c r="G246" t="str">
        <f t="shared" si="8"/>
        <v>llll</v>
      </c>
      <c r="H246" t="str">
        <f>[1]!SplitText(A246,"(",1)</f>
        <v xml:space="preserve">  String</v>
      </c>
    </row>
    <row r="247" spans="1:8" ht="17.25" thickBot="1">
      <c r="A247" s="115" t="s">
        <v>2221</v>
      </c>
      <c r="B247" s="115" t="s">
        <v>2222</v>
      </c>
      <c r="G247" t="str">
        <f t="shared" si="8"/>
        <v>llll</v>
      </c>
      <c r="H247" t="str">
        <f>[1]!SplitText(A247,"(",1)</f>
        <v>2.5.16</v>
      </c>
    </row>
    <row r="248" spans="1:8" ht="17.25" thickBot="1">
      <c r="A248" s="102" t="s">
        <v>1591</v>
      </c>
      <c r="B248" s="103" t="s">
        <v>1592</v>
      </c>
      <c r="C248" s="103" t="s">
        <v>1593</v>
      </c>
      <c r="G248" t="str">
        <f t="shared" si="8"/>
        <v>llll</v>
      </c>
      <c r="H248" t="str">
        <f>[1]!SplitText(A248,"(",1)</f>
        <v>Name</v>
      </c>
    </row>
    <row r="249" spans="1:8" ht="17.25" thickBot="1">
      <c r="A249" s="4" t="s">
        <v>5620</v>
      </c>
      <c r="B249" s="5" t="s">
        <v>5621</v>
      </c>
      <c r="C249" s="6" t="s">
        <v>5622</v>
      </c>
      <c r="G249" t="str">
        <f t="shared" si="8"/>
        <v>llll</v>
      </c>
      <c r="H249" t="str">
        <f>[1]!SplitText(A249,"(",1)</f>
        <v xml:space="preserve">  DateTime</v>
      </c>
    </row>
    <row r="250" spans="1:8" ht="41.25" thickBot="1">
      <c r="A250" s="96" t="s">
        <v>5623</v>
      </c>
      <c r="B250" s="91" t="s">
        <v>5624</v>
      </c>
      <c r="C250" s="7" t="s">
        <v>5625</v>
      </c>
      <c r="G250" t="str">
        <f t="shared" ref="G250:G277" si="9">IF(ISERROR(SEARCH("table 2:",A250&amp;B250&amp;C250&amp;D250&amp;E250&amp;F250,1)*1),"llll","o")</f>
        <v>llll</v>
      </c>
      <c r="H250" t="str">
        <f>[1]!SplitText(A250,"(",1)</f>
        <v xml:space="preserve">  DateTime</v>
      </c>
    </row>
    <row r="251" spans="1:8" ht="41.25" thickBot="1">
      <c r="A251" s="96" t="s">
        <v>5626</v>
      </c>
      <c r="B251" s="91" t="s">
        <v>5627</v>
      </c>
      <c r="C251" s="7" t="s">
        <v>5628</v>
      </c>
      <c r="G251" t="str">
        <f t="shared" si="9"/>
        <v>llll</v>
      </c>
      <c r="H251" t="str">
        <f>[1]!SplitText(A251,"(",1)</f>
        <v xml:space="preserve">  DateTime</v>
      </c>
    </row>
    <row r="252" spans="1:8" ht="54.75" thickBot="1">
      <c r="A252" s="96" t="s">
        <v>5629</v>
      </c>
      <c r="B252" s="91" t="s">
        <v>5627</v>
      </c>
      <c r="C252" s="91" t="s">
        <v>5630</v>
      </c>
      <c r="G252" t="str">
        <f t="shared" si="9"/>
        <v>llll</v>
      </c>
      <c r="H252" t="str">
        <f>[1]!SplitText(A252,"(",1)</f>
        <v xml:space="preserve">  DateTime</v>
      </c>
    </row>
    <row r="253" spans="1:8" ht="54">
      <c r="A253" s="96" t="s">
        <v>5631</v>
      </c>
      <c r="B253" s="91" t="s">
        <v>5624</v>
      </c>
      <c r="C253" s="7" t="s">
        <v>5628</v>
      </c>
      <c r="G253" t="str">
        <f t="shared" si="9"/>
        <v>llll</v>
      </c>
      <c r="H253" t="str">
        <f>[1]!SplitText(A253,"(",1)</f>
        <v xml:space="preserve">  DateTime</v>
      </c>
    </row>
    <row r="254" spans="1:8" ht="68.25" thickBot="1">
      <c r="A254" s="4" t="s">
        <v>5632</v>
      </c>
      <c r="B254" s="5" t="s">
        <v>5621</v>
      </c>
      <c r="C254" s="6" t="s">
        <v>5633</v>
      </c>
      <c r="G254" t="str">
        <f t="shared" si="9"/>
        <v>llll</v>
      </c>
      <c r="H254" t="str">
        <f>[1]!SplitText(A254,"(",1)</f>
        <v xml:space="preserve">  DateTime</v>
      </c>
    </row>
    <row r="255" spans="1:8" ht="67.5">
      <c r="A255" s="96" t="s">
        <v>5634</v>
      </c>
      <c r="B255" s="91" t="s">
        <v>5627</v>
      </c>
      <c r="C255" s="7" t="s">
        <v>5628</v>
      </c>
      <c r="G255" t="str">
        <f t="shared" si="9"/>
        <v>llll</v>
      </c>
      <c r="H255" t="str">
        <f>[1]!SplitText(A255,"(",1)</f>
        <v xml:space="preserve">  DateTime</v>
      </c>
    </row>
    <row r="256" spans="1:8" ht="17.25" thickBot="1">
      <c r="A256" s="4" t="s">
        <v>5635</v>
      </c>
      <c r="B256" s="5" t="s">
        <v>5238</v>
      </c>
      <c r="C256" s="6" t="s">
        <v>5636</v>
      </c>
      <c r="G256" t="str">
        <f t="shared" si="9"/>
        <v>llll</v>
      </c>
      <c r="H256" t="str">
        <f>[1]!SplitText(A256,"(",1)</f>
        <v xml:space="preserve">  Date</v>
      </c>
    </row>
    <row r="257" spans="1:8" ht="26.25" thickBot="1">
      <c r="A257" s="4" t="s">
        <v>5637</v>
      </c>
      <c r="B257" s="5" t="s">
        <v>5265</v>
      </c>
      <c r="C257" s="6" t="s">
        <v>5638</v>
      </c>
      <c r="G257" t="str">
        <f t="shared" si="9"/>
        <v>llll</v>
      </c>
      <c r="H257" t="str">
        <f>[1]!SplitText(A257,"(",1)</f>
        <v xml:space="preserve">  GEQ</v>
      </c>
    </row>
    <row r="258" spans="1:8" ht="17.25" thickBot="1">
      <c r="A258" s="4" t="s">
        <v>5639</v>
      </c>
      <c r="B258" s="5" t="s">
        <v>5265</v>
      </c>
      <c r="C258" s="6" t="s">
        <v>5640</v>
      </c>
      <c r="G258" t="str">
        <f t="shared" si="9"/>
        <v>llll</v>
      </c>
      <c r="H258" t="str">
        <f>[1]!SplitText(A258,"(",1)</f>
        <v xml:space="preserve">  GT</v>
      </c>
    </row>
    <row r="259" spans="1:8" ht="17.25" thickBot="1">
      <c r="A259" s="4" t="s">
        <v>5641</v>
      </c>
      <c r="B259" s="5" t="s">
        <v>5238</v>
      </c>
      <c r="C259" s="6" t="s">
        <v>5642</v>
      </c>
      <c r="G259" t="str">
        <f t="shared" si="9"/>
        <v>llll</v>
      </c>
      <c r="H259" t="str">
        <f>[1]!SplitText(A259,"(",1)</f>
        <v xml:space="preserve">  HOUR</v>
      </c>
    </row>
    <row r="260" spans="1:8" ht="26.25" thickBot="1">
      <c r="A260" s="4" t="s">
        <v>5643</v>
      </c>
      <c r="B260" s="5" t="s">
        <v>5265</v>
      </c>
      <c r="C260" s="6" t="s">
        <v>5644</v>
      </c>
      <c r="G260" t="str">
        <f t="shared" si="9"/>
        <v>llll</v>
      </c>
      <c r="H260" t="str">
        <f>[1]!SplitText(A260,"(",1)</f>
        <v xml:space="preserve">  LEQ</v>
      </c>
    </row>
    <row r="261" spans="1:8" ht="17.25" thickBot="1">
      <c r="A261" s="4" t="s">
        <v>5645</v>
      </c>
      <c r="B261" s="5" t="s">
        <v>5265</v>
      </c>
      <c r="C261" s="6" t="s">
        <v>5646</v>
      </c>
      <c r="G261" t="str">
        <f t="shared" si="9"/>
        <v>llll</v>
      </c>
      <c r="H261" t="str">
        <f>[1]!SplitText(A261,"(",1)</f>
        <v xml:space="preserve">  LT</v>
      </c>
    </row>
    <row r="262" spans="1:8" ht="17.25" thickBot="1">
      <c r="A262" s="4" t="s">
        <v>5647</v>
      </c>
      <c r="B262" s="5" t="s">
        <v>5238</v>
      </c>
      <c r="C262" s="6" t="s">
        <v>5648</v>
      </c>
      <c r="G262" t="str">
        <f t="shared" si="9"/>
        <v>llll</v>
      </c>
      <c r="H262" t="str">
        <f>[1]!SplitText(A262,"(",1)</f>
        <v xml:space="preserve">  Minute</v>
      </c>
    </row>
    <row r="263" spans="1:8" ht="17.25" thickBot="1">
      <c r="A263" s="4" t="s">
        <v>5649</v>
      </c>
      <c r="B263" s="5" t="s">
        <v>5238</v>
      </c>
      <c r="C263" s="6" t="s">
        <v>5650</v>
      </c>
      <c r="G263" t="str">
        <f t="shared" si="9"/>
        <v>llll</v>
      </c>
      <c r="H263" t="str">
        <f>[1]!SplitText(A263,"(",1)</f>
        <v xml:space="preserve">  Month</v>
      </c>
    </row>
    <row r="264" spans="1:8" ht="26.25" thickBot="1">
      <c r="A264" s="4" t="s">
        <v>5651</v>
      </c>
      <c r="B264" s="5" t="s">
        <v>5177</v>
      </c>
      <c r="C264" s="6" t="s">
        <v>5652</v>
      </c>
      <c r="G264" t="str">
        <f t="shared" si="9"/>
        <v>llll</v>
      </c>
      <c r="H264" t="str">
        <f>[1]!SplitText(A264,"(",1)</f>
        <v xml:space="preserve">  MonthString</v>
      </c>
    </row>
    <row r="265" spans="1:8" ht="26.25" thickBot="1">
      <c r="A265" s="4" t="s">
        <v>5653</v>
      </c>
      <c r="B265" s="5" t="s">
        <v>5238</v>
      </c>
      <c r="C265" s="6" t="s">
        <v>5654</v>
      </c>
      <c r="G265" t="str">
        <f t="shared" si="9"/>
        <v>llll</v>
      </c>
      <c r="H265" t="str">
        <f>[1]!SplitText(A265,"(",1)</f>
        <v xml:space="preserve">  Second</v>
      </c>
    </row>
    <row r="266" spans="1:8" ht="17.25" thickBot="1">
      <c r="A266" s="4" t="s">
        <v>5655</v>
      </c>
      <c r="B266" s="5" t="s">
        <v>5238</v>
      </c>
      <c r="C266" s="5" t="s">
        <v>5656</v>
      </c>
      <c r="G266" t="str">
        <f t="shared" si="9"/>
        <v>llll</v>
      </c>
      <c r="H266" t="str">
        <f>[1]!SplitText(A266,"(",1)</f>
        <v xml:space="preserve">  Year</v>
      </c>
    </row>
    <row r="267" spans="1:8" ht="17.25" thickBot="1">
      <c r="A267" s="115" t="s">
        <v>2267</v>
      </c>
      <c r="B267" s="115" t="s">
        <v>2268</v>
      </c>
      <c r="G267" t="str">
        <f t="shared" si="9"/>
        <v>llll</v>
      </c>
      <c r="H267" t="str">
        <f>[1]!SplitText(A267,"(",1)</f>
        <v>2.5.17</v>
      </c>
    </row>
    <row r="268" spans="1:8" ht="17.25" thickBot="1">
      <c r="A268" s="102" t="s">
        <v>1591</v>
      </c>
      <c r="B268" s="103" t="s">
        <v>1635</v>
      </c>
      <c r="C268" s="103" t="s">
        <v>1593</v>
      </c>
      <c r="G268" t="str">
        <f t="shared" si="9"/>
        <v>llll</v>
      </c>
      <c r="H268" t="str">
        <f>[1]!SplitText(A268,"(",1)</f>
        <v>Name</v>
      </c>
    </row>
    <row r="269" spans="1:8" ht="17.25" thickBot="1">
      <c r="A269" s="4" t="s">
        <v>5657</v>
      </c>
      <c r="B269" s="5" t="s">
        <v>5177</v>
      </c>
      <c r="C269" s="6" t="s">
        <v>5658</v>
      </c>
      <c r="G269" t="str">
        <f t="shared" si="9"/>
        <v>llll</v>
      </c>
      <c r="H269" t="str">
        <f>[1]!SplitText(A269,"(",1)</f>
        <v xml:space="preserve">  Name </v>
      </c>
    </row>
    <row r="270" spans="1:8" ht="17.25" thickBot="1">
      <c r="A270" s="4" t="s">
        <v>5659</v>
      </c>
      <c r="B270" s="5" t="s">
        <v>5177</v>
      </c>
      <c r="C270" s="6" t="s">
        <v>5660</v>
      </c>
      <c r="G270" t="str">
        <f t="shared" si="9"/>
        <v>llll</v>
      </c>
      <c r="H270" t="str">
        <f>[1]!SplitText(A270,"(",1)</f>
        <v xml:space="preserve">  Description</v>
      </c>
    </row>
    <row r="271" spans="1:8" ht="17.25" thickBot="1">
      <c r="A271" s="92" t="s">
        <v>5661</v>
      </c>
      <c r="B271" s="91" t="s">
        <v>5662</v>
      </c>
      <c r="C271" s="8" t="s">
        <v>5663</v>
      </c>
      <c r="G271" t="str">
        <f t="shared" si="9"/>
        <v>llll</v>
      </c>
      <c r="H271" t="str">
        <f>[1]!SplitText(A271,"(",1)</f>
        <v xml:space="preserve">  Access  </v>
      </c>
    </row>
    <row r="272" spans="1:8">
      <c r="A272" s="92" t="s">
        <v>5664</v>
      </c>
      <c r="B272" s="91" t="s">
        <v>5174</v>
      </c>
      <c r="C272" s="7" t="s">
        <v>5665</v>
      </c>
      <c r="G272" t="str">
        <f t="shared" si="9"/>
        <v>llll</v>
      </c>
      <c r="H272" t="str">
        <f>[1]!SplitText(A272,"(",1)</f>
        <v xml:space="preserve">  Claim </v>
      </c>
    </row>
    <row r="273" spans="1:8" ht="17.25" thickBot="1">
      <c r="A273" s="4" t="s">
        <v>5666</v>
      </c>
      <c r="B273" s="5" t="s">
        <v>5177</v>
      </c>
      <c r="C273" s="5" t="s">
        <v>5667</v>
      </c>
      <c r="G273" t="str">
        <f t="shared" si="9"/>
        <v>llll</v>
      </c>
      <c r="H273" t="str">
        <f>[1]!SplitText(A273,"(",1)</f>
        <v xml:space="preserve">  File</v>
      </c>
    </row>
    <row r="274" spans="1:8" ht="17.25" thickBot="1">
      <c r="A274" s="4" t="s">
        <v>5668</v>
      </c>
      <c r="B274" s="5" t="s">
        <v>5177</v>
      </c>
      <c r="C274" s="5" t="s">
        <v>5669</v>
      </c>
      <c r="G274" t="str">
        <f t="shared" si="9"/>
        <v>llll</v>
      </c>
      <c r="H274" t="str">
        <f>[1]!SplitText(A274,"(",1)</f>
        <v xml:space="preserve">  Foreign</v>
      </c>
    </row>
    <row r="275" spans="1:8" ht="17.25" thickBot="1">
      <c r="A275" s="4" t="s">
        <v>5670</v>
      </c>
      <c r="B275" s="5" t="s">
        <v>5177</v>
      </c>
      <c r="C275" s="5" t="s">
        <v>5671</v>
      </c>
      <c r="G275" t="str">
        <f t="shared" si="9"/>
        <v>llll</v>
      </c>
      <c r="H275" t="str">
        <f>[1]!SplitText(A275,"(",1)</f>
        <v xml:space="preserve">  Number</v>
      </c>
    </row>
    <row r="276" spans="1:8" ht="17.25" thickBot="1">
      <c r="A276" s="4" t="s">
        <v>5672</v>
      </c>
      <c r="B276" s="5" t="s">
        <v>5673</v>
      </c>
      <c r="C276" s="5" t="s">
        <v>5674</v>
      </c>
      <c r="G276" t="str">
        <f t="shared" si="9"/>
        <v>llll</v>
      </c>
      <c r="H276" t="str">
        <f>[1]!SplitText(A276,"(",1)</f>
        <v xml:space="preserve">  Team</v>
      </c>
    </row>
    <row r="277" spans="1:8" ht="17.25" thickBot="1">
      <c r="A277" s="4" t="s">
        <v>5675</v>
      </c>
      <c r="B277" s="5" t="s">
        <v>5177</v>
      </c>
      <c r="C277" s="5" t="s">
        <v>5676</v>
      </c>
      <c r="G277" t="str">
        <f t="shared" si="9"/>
        <v>llll</v>
      </c>
      <c r="H277" t="str">
        <f>[1]!SplitText(A277,"(",1)</f>
        <v xml:space="preserve">  Type</v>
      </c>
    </row>
    <row r="278" spans="1:8" ht="17.25" thickBot="1">
      <c r="A278" s="4" t="s">
        <v>5677</v>
      </c>
      <c r="B278" s="5" t="s">
        <v>5177</v>
      </c>
      <c r="C278" s="6" t="s">
        <v>5678</v>
      </c>
      <c r="G278" t="str">
        <f t="shared" ref="G278:G301" si="10">IF(ISERROR(SEARCH("table 2:",A278&amp;B278&amp;C278&amp;D278&amp;E278&amp;F278,1)*1),"llll","o")</f>
        <v>llll</v>
      </c>
      <c r="H278" t="str">
        <f>[1]!SplitText(A278,"(",1)</f>
        <v xml:space="preserve">  Refno</v>
      </c>
    </row>
    <row r="279" spans="1:8" ht="25.5">
      <c r="A279" s="92" t="s">
        <v>5679</v>
      </c>
      <c r="B279" s="91" t="s">
        <v>5174</v>
      </c>
      <c r="C279" s="7" t="s">
        <v>5680</v>
      </c>
      <c r="G279" t="str">
        <f t="shared" si="10"/>
        <v>llll</v>
      </c>
      <c r="H279" t="str">
        <f>[1]!SplitText(A279,"(",1)</f>
        <v xml:space="preserve">  Primary </v>
      </c>
    </row>
    <row r="280" spans="1:8" ht="17.25" thickBot="1">
      <c r="A280" s="4" t="s">
        <v>5681</v>
      </c>
      <c r="B280" s="5" t="s">
        <v>5288</v>
      </c>
      <c r="C280" s="6" t="s">
        <v>5682</v>
      </c>
      <c r="G280" t="str">
        <f t="shared" si="10"/>
        <v>llll</v>
      </c>
      <c r="H280" t="str">
        <f>[1]!SplitText(A280,"(",1)</f>
        <v xml:space="preserve">  MDBList</v>
      </c>
    </row>
    <row r="281" spans="1:8" ht="17.25" thickBot="1">
      <c r="A281" s="4" t="s">
        <v>5349</v>
      </c>
      <c r="B281" s="5" t="s">
        <v>5238</v>
      </c>
      <c r="C281" s="5" t="s">
        <v>5683</v>
      </c>
      <c r="G281" t="str">
        <f t="shared" si="10"/>
        <v>llll</v>
      </c>
      <c r="H281" t="str">
        <f>[1]!SplitText(A281,"(",1)</f>
        <v xml:space="preserve">  Size</v>
      </c>
    </row>
    <row r="282" spans="1:8" ht="17.25" thickBot="1">
      <c r="A282" s="4" t="s">
        <v>5684</v>
      </c>
      <c r="B282" s="5" t="s">
        <v>5685</v>
      </c>
      <c r="C282" s="5" t="s">
        <v>5686</v>
      </c>
      <c r="G282" t="str">
        <f t="shared" si="10"/>
        <v>llll</v>
      </c>
      <c r="H282" t="str">
        <f>[1]!SplitText(A282,"(",1)</f>
        <v xml:space="preserve">  Sessions</v>
      </c>
    </row>
    <row r="283" spans="1:8" ht="17.25" thickBot="1">
      <c r="A283" s="4" t="s">
        <v>5687</v>
      </c>
      <c r="B283" s="5" t="s">
        <v>5688</v>
      </c>
      <c r="C283" s="5" t="s">
        <v>5689</v>
      </c>
      <c r="G283" t="str">
        <f t="shared" si="10"/>
        <v>llll</v>
      </c>
      <c r="H283" t="str">
        <f>[1]!SplitText(A283,"(",1)</f>
        <v xml:space="preserve">  Lastsession</v>
      </c>
    </row>
    <row r="284" spans="1:8" ht="17.25" thickBot="1">
      <c r="A284" s="4" t="s">
        <v>5690</v>
      </c>
      <c r="B284" s="5" t="s">
        <v>5691</v>
      </c>
      <c r="C284" s="5" t="s">
        <v>5692</v>
      </c>
      <c r="G284" t="str">
        <f t="shared" si="10"/>
        <v>llll</v>
      </c>
      <c r="H284" t="str">
        <f>[1]!SplitText(A284,"(",1)</f>
        <v xml:space="preserve">  DB</v>
      </c>
    </row>
    <row r="285" spans="1:8" ht="17.25" thickBot="1">
      <c r="A285" s="4" t="s">
        <v>5693</v>
      </c>
      <c r="B285" s="5" t="s">
        <v>5691</v>
      </c>
      <c r="C285" s="6" t="s">
        <v>5694</v>
      </c>
      <c r="G285" t="str">
        <f t="shared" si="10"/>
        <v>llll</v>
      </c>
      <c r="H285" t="str">
        <f>[1]!SplitText(A285,"(",1)</f>
        <v xml:space="preserve">  DB</v>
      </c>
    </row>
    <row r="286" spans="1:8" ht="17.25" thickBot="1">
      <c r="A286" s="115" t="s">
        <v>2310</v>
      </c>
      <c r="B286" s="115" t="s">
        <v>2311</v>
      </c>
      <c r="G286" t="str">
        <f t="shared" si="10"/>
        <v>llll</v>
      </c>
      <c r="H286" t="str">
        <f>[1]!SplitText(A286,"(",1)</f>
        <v>2.5.18</v>
      </c>
    </row>
    <row r="287" spans="1:8" ht="17.25" thickBot="1">
      <c r="A287" s="102" t="s">
        <v>1591</v>
      </c>
      <c r="B287" s="103" t="s">
        <v>1592</v>
      </c>
      <c r="C287" s="103" t="s">
        <v>1593</v>
      </c>
      <c r="G287" t="str">
        <f t="shared" si="10"/>
        <v>llll</v>
      </c>
      <c r="H287" t="str">
        <f>[1]!SplitText(A287,"(",1)</f>
        <v>Name</v>
      </c>
    </row>
    <row r="288" spans="1:8" ht="17.25" thickBot="1">
      <c r="A288" s="4" t="s">
        <v>5695</v>
      </c>
      <c r="B288" s="5" t="s">
        <v>5696</v>
      </c>
      <c r="C288" s="6" t="s">
        <v>5697</v>
      </c>
      <c r="G288" t="str">
        <f t="shared" si="10"/>
        <v>llll</v>
      </c>
      <c r="H288" t="str">
        <f>[1]!SplitText(A288,"(",1)</f>
        <v xml:space="preserve">  Dbref</v>
      </c>
    </row>
    <row r="289" spans="1:8" ht="27.75" thickBot="1">
      <c r="A289" s="4" t="s">
        <v>5698</v>
      </c>
      <c r="B289" s="5" t="s">
        <v>5696</v>
      </c>
      <c r="C289" s="6" t="s">
        <v>5422</v>
      </c>
      <c r="G289" t="str">
        <f t="shared" si="10"/>
        <v>llll</v>
      </c>
      <c r="H289" t="str">
        <f>[1]!SplitText(A289,"(",1)</f>
        <v xml:space="preserve">  Dbref</v>
      </c>
    </row>
    <row r="290" spans="1:8" ht="27.75" thickBot="1">
      <c r="A290" s="4" t="s">
        <v>5699</v>
      </c>
      <c r="B290" s="5" t="s">
        <v>5304</v>
      </c>
      <c r="C290" s="6" t="s">
        <v>5700</v>
      </c>
      <c r="G290" t="str">
        <f t="shared" si="10"/>
        <v>llll</v>
      </c>
      <c r="H290" t="str">
        <f>[1]!SplitText(A290,"(",1)</f>
        <v xml:space="preserve">  Attribute</v>
      </c>
    </row>
    <row r="291" spans="1:8" ht="26.25" thickBot="1">
      <c r="A291" s="4" t="s">
        <v>5701</v>
      </c>
      <c r="B291" s="5" t="s">
        <v>5702</v>
      </c>
      <c r="C291" s="6" t="s">
        <v>5703</v>
      </c>
      <c r="G291" t="str">
        <f t="shared" si="10"/>
        <v>llll</v>
      </c>
      <c r="H291" t="str">
        <f>[1]!SplitText(A291,"(",1)</f>
        <v xml:space="preserve">  Attributes</v>
      </c>
    </row>
    <row r="292" spans="1:8" ht="17.25" thickBot="1">
      <c r="A292" s="4" t="s">
        <v>5704</v>
      </c>
      <c r="B292" s="5" t="s">
        <v>5265</v>
      </c>
      <c r="C292" s="6" t="s">
        <v>5705</v>
      </c>
      <c r="G292" t="str">
        <f t="shared" si="10"/>
        <v>llll</v>
      </c>
      <c r="H292" t="str">
        <f>[1]!SplitText(A292,"(",1)</f>
        <v xml:space="preserve">  BadRef</v>
      </c>
    </row>
    <row r="293" spans="1:8">
      <c r="A293" s="92" t="s">
        <v>5706</v>
      </c>
      <c r="B293" s="91" t="s">
        <v>5316</v>
      </c>
      <c r="C293" s="7" t="s">
        <v>5707</v>
      </c>
      <c r="G293" t="str">
        <f t="shared" si="10"/>
        <v>llll</v>
      </c>
      <c r="H293" t="str">
        <f>[1]!SplitText(A293,"(",1)</f>
        <v xml:space="preserve">  Delete</v>
      </c>
    </row>
    <row r="294" spans="1:8" ht="17.25" thickBot="1">
      <c r="A294" s="4" t="s">
        <v>5708</v>
      </c>
      <c r="B294" s="5" t="s">
        <v>5238</v>
      </c>
      <c r="C294" s="6" t="s">
        <v>5709</v>
      </c>
      <c r="G294" t="str">
        <f t="shared" si="10"/>
        <v>llll</v>
      </c>
      <c r="H294" t="str">
        <f>[1]!SplitText(A294,"(",1)</f>
        <v xml:space="preserve">  MCount</v>
      </c>
    </row>
    <row r="295" spans="1:8" ht="27.75" thickBot="1">
      <c r="A295" s="4" t="s">
        <v>5710</v>
      </c>
      <c r="B295" s="5" t="s">
        <v>5238</v>
      </c>
      <c r="C295" s="5" t="s">
        <v>5711</v>
      </c>
      <c r="G295" t="str">
        <f t="shared" si="10"/>
        <v>llll</v>
      </c>
      <c r="H295" t="str">
        <f>[1]!SplitText(A295,"(",1)</f>
        <v xml:space="preserve">  MCount</v>
      </c>
    </row>
    <row r="296" spans="1:8" ht="17.25" thickBot="1">
      <c r="A296" s="4" t="s">
        <v>5712</v>
      </c>
      <c r="B296" s="5" t="s">
        <v>5177</v>
      </c>
      <c r="C296" s="6" t="s">
        <v>5713</v>
      </c>
      <c r="G296" t="str">
        <f t="shared" si="10"/>
        <v>llll</v>
      </c>
      <c r="H296" t="str">
        <f>[1]!SplitText(A296,"(",1)</f>
        <v xml:space="preserve">  String</v>
      </c>
    </row>
    <row r="297" spans="1:8" ht="25.5">
      <c r="A297" s="92" t="s">
        <v>5714</v>
      </c>
      <c r="B297" s="91" t="s">
        <v>5715</v>
      </c>
      <c r="C297" s="7" t="s">
        <v>5716</v>
      </c>
      <c r="G297" t="str">
        <f t="shared" si="10"/>
        <v>llll</v>
      </c>
      <c r="H297" t="str">
        <f>[1]!SplitText(A297,"(",1)</f>
        <v xml:space="preserve">  Line</v>
      </c>
    </row>
    <row r="298" spans="1:8" ht="17.25" thickBot="1">
      <c r="A298" s="4" t="s">
        <v>5717</v>
      </c>
      <c r="B298" s="5" t="s">
        <v>5220</v>
      </c>
      <c r="C298" s="6" t="s">
        <v>5718</v>
      </c>
      <c r="G298" t="str">
        <f t="shared" si="10"/>
        <v>llll</v>
      </c>
      <c r="H298" t="str">
        <f>[1]!SplitText(A298,"(",1)</f>
        <v xml:space="preserve">  PPosition</v>
      </c>
    </row>
    <row r="299" spans="1:8" ht="17.25" thickBot="1">
      <c r="A299" s="4" t="s">
        <v>5719</v>
      </c>
      <c r="B299" s="6" t="s">
        <v>5223</v>
      </c>
      <c r="C299" s="6" t="s">
        <v>5720</v>
      </c>
      <c r="G299" t="str">
        <f t="shared" si="10"/>
        <v>llll</v>
      </c>
      <c r="H299" t="str">
        <f>[1]!SplitText(A299,"(",1)</f>
        <v xml:space="preserve">  PDirection</v>
      </c>
    </row>
    <row r="300" spans="1:8" ht="17.25" thickBot="1">
      <c r="A300" s="115" t="s">
        <v>2337</v>
      </c>
      <c r="B300" s="115" t="s">
        <v>2338</v>
      </c>
      <c r="G300" t="str">
        <f t="shared" si="10"/>
        <v>llll</v>
      </c>
      <c r="H300" t="str">
        <f>[1]!SplitText(A300,"(",1)</f>
        <v>2.5.19</v>
      </c>
    </row>
    <row r="301" spans="1:8" ht="17.25" thickBot="1">
      <c r="A301" s="102" t="s">
        <v>1591</v>
      </c>
      <c r="B301" s="103" t="s">
        <v>1592</v>
      </c>
      <c r="C301" s="103" t="s">
        <v>1593</v>
      </c>
      <c r="G301" t="str">
        <f t="shared" si="10"/>
        <v>llll</v>
      </c>
      <c r="H301" t="str">
        <f>[1]!SplitText(A301,"(",1)</f>
        <v>Name</v>
      </c>
    </row>
    <row r="302" spans="1:8" ht="17.25" thickBot="1">
      <c r="A302" s="4" t="s">
        <v>5670</v>
      </c>
      <c r="B302" s="5" t="s">
        <v>5238</v>
      </c>
      <c r="C302" s="5" t="s">
        <v>5721</v>
      </c>
      <c r="G302" t="str">
        <f t="shared" ref="G302:G335" si="11">IF(ISERROR(SEARCH("table 2:",A302&amp;B302&amp;C302&amp;D302&amp;E302&amp;F302,1)*1),"llll","o")</f>
        <v>llll</v>
      </c>
      <c r="H302" t="str">
        <f>[1]!SplitText(A302,"(",1)</f>
        <v xml:space="preserve">  Number</v>
      </c>
    </row>
    <row r="303" spans="1:8" ht="17.25" thickBot="1">
      <c r="A303" s="4" t="s">
        <v>5722</v>
      </c>
      <c r="B303" s="5" t="s">
        <v>5177</v>
      </c>
      <c r="C303" s="5" t="s">
        <v>5723</v>
      </c>
      <c r="G303" t="str">
        <f t="shared" si="11"/>
        <v>llll</v>
      </c>
      <c r="H303" t="str">
        <f>[1]!SplitText(A303,"(",1)</f>
        <v xml:space="preserve">  Date</v>
      </c>
    </row>
    <row r="304" spans="1:8" ht="17.25" thickBot="1">
      <c r="A304" s="4" t="s">
        <v>5724</v>
      </c>
      <c r="B304" s="5" t="s">
        <v>5177</v>
      </c>
      <c r="C304" s="5" t="s">
        <v>5725</v>
      </c>
      <c r="G304" t="str">
        <f t="shared" si="11"/>
        <v>llll</v>
      </c>
      <c r="H304" t="str">
        <f>[1]!SplitText(A304,"(",1)</f>
        <v xml:space="preserve">  Author</v>
      </c>
    </row>
    <row r="305" spans="1:8" ht="17.25" thickBot="1">
      <c r="A305" s="4" t="s">
        <v>5726</v>
      </c>
      <c r="B305" s="5" t="s">
        <v>5177</v>
      </c>
      <c r="C305" s="5" t="s">
        <v>5727</v>
      </c>
      <c r="G305" t="str">
        <f t="shared" si="11"/>
        <v>llll</v>
      </c>
      <c r="H305" t="str">
        <f>[1]!SplitText(A305,"(",1)</f>
        <v xml:space="preserve">  Comment</v>
      </c>
    </row>
    <row r="306" spans="1:8" ht="17.25" thickBot="1">
      <c r="A306" s="115" t="s">
        <v>2347</v>
      </c>
      <c r="B306" s="115" t="s">
        <v>2348</v>
      </c>
      <c r="G306" t="str">
        <f t="shared" si="11"/>
        <v>llll</v>
      </c>
      <c r="H306" t="str">
        <f>[1]!SplitText(A306,"(",1)</f>
        <v>2.5.20</v>
      </c>
    </row>
    <row r="307" spans="1:8" ht="17.25" thickBot="1">
      <c r="A307" s="102" t="s">
        <v>1591</v>
      </c>
      <c r="B307" s="103" t="s">
        <v>1635</v>
      </c>
      <c r="C307" s="103" t="s">
        <v>1593</v>
      </c>
      <c r="G307" t="str">
        <f t="shared" si="11"/>
        <v>llll</v>
      </c>
      <c r="H307" t="str">
        <f>[1]!SplitText(A307,"(",1)</f>
        <v>Name</v>
      </c>
    </row>
    <row r="308" spans="1:8" ht="26.25" thickBot="1">
      <c r="A308" s="92" t="s">
        <v>5728</v>
      </c>
      <c r="B308" s="8" t="s">
        <v>5729</v>
      </c>
      <c r="C308" s="91" t="s">
        <v>5730</v>
      </c>
      <c r="G308" t="str">
        <f t="shared" si="11"/>
        <v>llll</v>
      </c>
      <c r="H308" t="str">
        <f>[1]!SplitText(A308,"(",1)</f>
        <v xml:space="preserve">  East  </v>
      </c>
    </row>
    <row r="309" spans="1:8" ht="26.25" thickBot="1">
      <c r="A309" s="92" t="s">
        <v>5731</v>
      </c>
      <c r="B309" s="8" t="s">
        <v>5729</v>
      </c>
      <c r="C309" s="91" t="s">
        <v>5732</v>
      </c>
      <c r="G309" t="str">
        <f t="shared" si="11"/>
        <v>llll</v>
      </c>
      <c r="H309" t="str">
        <f>[1]!SplitText(A309,"(",1)</f>
        <v xml:space="preserve">  North  </v>
      </c>
    </row>
    <row r="310" spans="1:8" ht="26.25" thickBot="1">
      <c r="A310" s="92" t="s">
        <v>5733</v>
      </c>
      <c r="B310" s="8" t="s">
        <v>5729</v>
      </c>
      <c r="C310" s="91" t="s">
        <v>5734</v>
      </c>
      <c r="G310" t="str">
        <f t="shared" si="11"/>
        <v>llll</v>
      </c>
      <c r="H310" t="str">
        <f>[1]!SplitText(A310,"(",1)</f>
        <v xml:space="preserve">  Up  </v>
      </c>
    </row>
    <row r="311" spans="1:8" ht="25.5">
      <c r="A311" s="92" t="s">
        <v>5735</v>
      </c>
      <c r="B311" s="8" t="s">
        <v>5736</v>
      </c>
      <c r="C311" s="91" t="s">
        <v>5737</v>
      </c>
      <c r="G311" t="str">
        <f t="shared" si="11"/>
        <v>llll</v>
      </c>
      <c r="H311" t="str">
        <f>[1]!SplitText(A311,"(",1)</f>
        <v xml:space="preserve">  Origin  </v>
      </c>
    </row>
    <row r="312" spans="1:8" ht="27.75" thickBot="1">
      <c r="A312" s="4" t="s">
        <v>5738</v>
      </c>
      <c r="B312" s="6" t="s">
        <v>5223</v>
      </c>
      <c r="C312" s="6" t="s">
        <v>5739</v>
      </c>
      <c r="G312" t="str">
        <f t="shared" si="11"/>
        <v>llll</v>
      </c>
      <c r="H312" t="str">
        <f>[1]!SplitText(A312,"(",1)</f>
        <v xml:space="preserve">  Direction</v>
      </c>
    </row>
    <row r="313" spans="1:8" ht="27.75" thickBot="1">
      <c r="A313" s="4" t="s">
        <v>5740</v>
      </c>
      <c r="B313" s="6" t="s">
        <v>5223</v>
      </c>
      <c r="C313" s="6" t="s">
        <v>5741</v>
      </c>
      <c r="G313" t="str">
        <f t="shared" si="11"/>
        <v>llll</v>
      </c>
      <c r="H313" t="str">
        <f>[1]!SplitText(A313,"(",1)</f>
        <v xml:space="preserve">  Direction</v>
      </c>
    </row>
    <row r="314" spans="1:8" ht="17.25" thickBot="1">
      <c r="A314" s="4" t="s">
        <v>5742</v>
      </c>
      <c r="B314" s="5" t="s">
        <v>5265</v>
      </c>
      <c r="C314" s="6" t="s">
        <v>5743</v>
      </c>
      <c r="G314" t="str">
        <f t="shared" si="11"/>
        <v>llll</v>
      </c>
      <c r="H314" t="str">
        <f>[1]!SplitText(A314,"(",1)</f>
        <v xml:space="preserve">  EQ</v>
      </c>
    </row>
    <row r="315" spans="1:8" ht="17.25" thickBot="1">
      <c r="A315" s="4" t="s">
        <v>5744</v>
      </c>
      <c r="B315" s="5" t="s">
        <v>5265</v>
      </c>
      <c r="C315" s="5" t="s">
        <v>5745</v>
      </c>
      <c r="G315" t="str">
        <f t="shared" si="11"/>
        <v>llll</v>
      </c>
      <c r="H315" t="str">
        <f>[1]!SplitText(A315,"(",1)</f>
        <v xml:space="preserve">  LT</v>
      </c>
    </row>
    <row r="316" spans="1:8" ht="17.25" thickBot="1">
      <c r="A316" s="4" t="s">
        <v>5746</v>
      </c>
      <c r="B316" s="5" t="s">
        <v>5177</v>
      </c>
      <c r="C316" s="5" t="s">
        <v>5747</v>
      </c>
      <c r="G316" t="str">
        <f t="shared" si="11"/>
        <v>llll</v>
      </c>
      <c r="H316" t="str">
        <f>[1]!SplitText(A316,"(",1)</f>
        <v xml:space="preserve">  String</v>
      </c>
    </row>
    <row r="317" spans="1:8" ht="17.25" thickBot="1">
      <c r="A317" s="4" t="s">
        <v>5748</v>
      </c>
      <c r="B317" s="6" t="s">
        <v>5223</v>
      </c>
      <c r="C317" s="6" t="s">
        <v>5749</v>
      </c>
      <c r="G317" t="str">
        <f t="shared" si="11"/>
        <v>llll</v>
      </c>
      <c r="H317" t="str">
        <f>[1]!SplitText(A317,"(",1)</f>
        <v xml:space="preserve">  WRT</v>
      </c>
    </row>
    <row r="318" spans="1:8" ht="17.25" thickBot="1">
      <c r="A318" s="4" t="s">
        <v>5750</v>
      </c>
      <c r="B318" s="5" t="s">
        <v>5238</v>
      </c>
      <c r="C318" s="6" t="s">
        <v>5751</v>
      </c>
      <c r="G318" t="str">
        <f t="shared" si="11"/>
        <v>llll</v>
      </c>
      <c r="H318" t="str">
        <f>[1]!SplitText(A318,"(",1)</f>
        <v xml:space="preserve">  Angle</v>
      </c>
    </row>
    <row r="319" spans="1:8" ht="17.25" thickBot="1">
      <c r="A319" s="4" t="s">
        <v>5752</v>
      </c>
      <c r="B319" s="6" t="s">
        <v>5223</v>
      </c>
      <c r="C319" s="6" t="s">
        <v>5753</v>
      </c>
      <c r="G319" t="str">
        <f t="shared" si="11"/>
        <v>llll</v>
      </c>
      <c r="H319" t="str">
        <f>[1]!SplitText(A319,"(",1)</f>
        <v xml:space="preserve">  Bisect</v>
      </c>
    </row>
    <row r="320" spans="1:8" ht="17.25" thickBot="1">
      <c r="A320" s="4" t="s">
        <v>5754</v>
      </c>
      <c r="B320" s="6" t="s">
        <v>5223</v>
      </c>
      <c r="C320" s="6" t="s">
        <v>5755</v>
      </c>
      <c r="G320" t="str">
        <f t="shared" si="11"/>
        <v>llll</v>
      </c>
      <c r="H320" t="str">
        <f>[1]!SplitText(A320,"(",1)</f>
        <v xml:space="preserve">  Cross</v>
      </c>
    </row>
    <row r="321" spans="1:8" ht="17.25" thickBot="1">
      <c r="A321" s="4" t="s">
        <v>5756</v>
      </c>
      <c r="B321" s="5" t="s">
        <v>5238</v>
      </c>
      <c r="C321" s="6" t="s">
        <v>5757</v>
      </c>
      <c r="G321" t="str">
        <f t="shared" si="11"/>
        <v>llll</v>
      </c>
      <c r="H321" t="str">
        <f>[1]!SplitText(A321,"(",1)</f>
        <v xml:space="preserve">  Dot</v>
      </c>
    </row>
    <row r="322" spans="1:8" ht="41.25" thickBot="1">
      <c r="A322" s="4" t="s">
        <v>5758</v>
      </c>
      <c r="B322" s="5" t="s">
        <v>5265</v>
      </c>
      <c r="C322" s="5" t="s">
        <v>5759</v>
      </c>
      <c r="G322" t="str">
        <f t="shared" si="11"/>
        <v>llll</v>
      </c>
      <c r="H322" t="str">
        <f>[1]!SplitText(A322,"(",1)</f>
        <v xml:space="preserve">  IsParallel</v>
      </c>
    </row>
    <row r="323" spans="1:8" ht="41.25" thickBot="1">
      <c r="A323" s="4" t="s">
        <v>5760</v>
      </c>
      <c r="B323" s="5" t="s">
        <v>5265</v>
      </c>
      <c r="C323" s="6" t="s">
        <v>5761</v>
      </c>
      <c r="G323" t="str">
        <f t="shared" si="11"/>
        <v>llll</v>
      </c>
      <c r="H323" t="str">
        <f>[1]!SplitText(A323,"(",1)</f>
        <v xml:space="preserve">  IsParallel</v>
      </c>
    </row>
    <row r="324" spans="1:8">
      <c r="A324" s="92" t="s">
        <v>5762</v>
      </c>
      <c r="B324" s="91" t="s">
        <v>5763</v>
      </c>
      <c r="C324" s="8" t="s">
        <v>5764</v>
      </c>
      <c r="G324" t="str">
        <f t="shared" si="11"/>
        <v>llll</v>
      </c>
      <c r="H324" t="str">
        <f>[1]!SplitText(A324,"(",1)</f>
        <v xml:space="preserve">  Opposite</v>
      </c>
    </row>
    <row r="325" spans="1:8" ht="41.25" thickBot="1">
      <c r="A325" s="4" t="s">
        <v>5765</v>
      </c>
      <c r="B325" s="6" t="s">
        <v>5223</v>
      </c>
      <c r="C325" s="6" t="s">
        <v>5766</v>
      </c>
      <c r="G325" t="str">
        <f t="shared" si="11"/>
        <v>llll</v>
      </c>
      <c r="H325" t="str">
        <f>[1]!SplitText(A325,"(",1)</f>
        <v xml:space="preserve">  Orthogonal</v>
      </c>
    </row>
    <row r="326" spans="1:8" ht="17.25" thickBot="1">
      <c r="A326" s="4" t="s">
        <v>5767</v>
      </c>
      <c r="B326" s="6" t="s">
        <v>5223</v>
      </c>
      <c r="C326" s="6" t="s">
        <v>5768</v>
      </c>
      <c r="G326" t="str">
        <f t="shared" si="11"/>
        <v>llll</v>
      </c>
      <c r="H326" t="str">
        <f>[1]!SplitText(A326,"(",1)</f>
        <v xml:space="preserve">  Projected</v>
      </c>
    </row>
    <row r="327" spans="1:8" ht="41.25" thickBot="1">
      <c r="A327" s="4" t="s">
        <v>5769</v>
      </c>
      <c r="B327" s="5" t="s">
        <v>5265</v>
      </c>
      <c r="C327" s="6" t="s">
        <v>5770</v>
      </c>
      <c r="G327" t="str">
        <f t="shared" si="11"/>
        <v>llll</v>
      </c>
      <c r="H327" t="str">
        <f>[1]!SplitText(A327,"(",1)</f>
        <v xml:space="preserve">  IsPerpendicular</v>
      </c>
    </row>
    <row r="328" spans="1:8" ht="41.25" thickBot="1">
      <c r="A328" s="4" t="s">
        <v>5771</v>
      </c>
      <c r="B328" s="5" t="s">
        <v>5265</v>
      </c>
      <c r="C328" s="6" t="s">
        <v>5772</v>
      </c>
      <c r="G328" t="str">
        <f t="shared" si="11"/>
        <v>llll</v>
      </c>
      <c r="H328" t="str">
        <f>[1]!SplitText(A328,"(",1)</f>
        <v xml:space="preserve">  IsPerpendicular</v>
      </c>
    </row>
    <row r="329" spans="1:8" ht="17.25" thickBot="1">
      <c r="A329" s="115" t="s">
        <v>2356</v>
      </c>
      <c r="B329" s="115" t="s">
        <v>2357</v>
      </c>
      <c r="G329" t="str">
        <f t="shared" si="11"/>
        <v>llll</v>
      </c>
      <c r="H329" t="str">
        <f>[1]!SplitText(A329,"(",1)</f>
        <v>2.5.21</v>
      </c>
    </row>
    <row r="330" spans="1:8" ht="17.25" thickBot="1">
      <c r="A330" s="102" t="s">
        <v>1591</v>
      </c>
      <c r="B330" s="103" t="s">
        <v>1592</v>
      </c>
      <c r="C330" s="103" t="s">
        <v>1593</v>
      </c>
      <c r="G330" t="str">
        <f t="shared" si="11"/>
        <v>llll</v>
      </c>
      <c r="H330" t="str">
        <f>[1]!SplitText(A330,"(",1)</f>
        <v>Name</v>
      </c>
    </row>
    <row r="331" spans="1:8" ht="77.25" thickBot="1">
      <c r="A331" s="4" t="s">
        <v>5773</v>
      </c>
      <c r="B331" s="5" t="s">
        <v>5774</v>
      </c>
      <c r="C331" s="6" t="s">
        <v>5775</v>
      </c>
      <c r="G331" t="str">
        <f t="shared" si="11"/>
        <v>llll</v>
      </c>
      <c r="H331" t="str">
        <f>[1]!SplitText(A331,"(",1)</f>
        <v xml:space="preserve">  Expression Expression </v>
      </c>
    </row>
    <row r="332" spans="1:8" ht="17.25" thickBot="1">
      <c r="A332" s="4" t="s">
        <v>5198</v>
      </c>
      <c r="B332" s="5" t="s">
        <v>5177</v>
      </c>
      <c r="C332" s="6" t="s">
        <v>5776</v>
      </c>
      <c r="G332" t="str">
        <f t="shared" si="11"/>
        <v>llll</v>
      </c>
      <c r="H332" t="str">
        <f>[1]!SplitText(A332,"(",1)</f>
        <v xml:space="preserve">  String</v>
      </c>
    </row>
    <row r="333" spans="1:8" ht="17.25" thickBot="1">
      <c r="A333" s="4" t="s">
        <v>5777</v>
      </c>
      <c r="B333" s="5" t="s">
        <v>5304</v>
      </c>
      <c r="C333" s="6" t="s">
        <v>5778</v>
      </c>
      <c r="G333" t="str">
        <f t="shared" si="11"/>
        <v>llll</v>
      </c>
      <c r="H333" t="str">
        <f>[1]!SplitText(A333,"(",1)</f>
        <v xml:space="preserve">  Evaluate</v>
      </c>
    </row>
    <row r="334" spans="1:8" ht="17.25" thickBot="1">
      <c r="A334" s="115" t="s">
        <v>2370</v>
      </c>
      <c r="B334" s="115" t="s">
        <v>2371</v>
      </c>
      <c r="G334" t="str">
        <f t="shared" si="11"/>
        <v>llll</v>
      </c>
      <c r="H334" t="str">
        <f>[1]!SplitText(A334,"(",1)</f>
        <v>2.5.22</v>
      </c>
    </row>
    <row r="335" spans="1:8" ht="17.25" thickBot="1">
      <c r="A335" s="102" t="s">
        <v>1591</v>
      </c>
      <c r="B335" s="103" t="s">
        <v>1592</v>
      </c>
      <c r="C335" s="103" t="s">
        <v>1593</v>
      </c>
      <c r="G335" t="str">
        <f t="shared" si="11"/>
        <v>llll</v>
      </c>
      <c r="H335" t="str">
        <f>[1]!SplitText(A335,"(",1)</f>
        <v>Name</v>
      </c>
    </row>
    <row r="336" spans="1:8" ht="17.25" thickBot="1">
      <c r="A336" s="4" t="s">
        <v>5779</v>
      </c>
      <c r="B336" s="5" t="s">
        <v>5780</v>
      </c>
      <c r="C336" s="6" t="s">
        <v>5781</v>
      </c>
      <c r="G336" t="str">
        <f t="shared" ref="G336:G370" si="12">IF(ISERROR(SEARCH("table 2:",A336&amp;B336&amp;C336&amp;D336&amp;E336&amp;F336,1)*1),"llll","o")</f>
        <v>llll</v>
      </c>
      <c r="H336" t="str">
        <f>[1]!SplitText(A336,"(",1)</f>
        <v xml:space="preserve">  File</v>
      </c>
    </row>
    <row r="337" spans="1:8" ht="26.25" thickBot="1">
      <c r="A337" s="4" t="s">
        <v>5782</v>
      </c>
      <c r="B337" s="5" t="s">
        <v>5177</v>
      </c>
      <c r="C337" s="6" t="s">
        <v>5783</v>
      </c>
      <c r="G337" t="str">
        <f t="shared" si="12"/>
        <v>llll</v>
      </c>
      <c r="H337" t="str">
        <f>[1]!SplitText(A337,"(",1)</f>
        <v xml:space="preserve">  AccessMode</v>
      </c>
    </row>
    <row r="338" spans="1:8" ht="17.25" thickBot="1">
      <c r="A338" s="4" t="s">
        <v>5784</v>
      </c>
      <c r="B338" s="6" t="s">
        <v>5273</v>
      </c>
      <c r="C338" s="5" t="s">
        <v>5785</v>
      </c>
      <c r="G338" t="str">
        <f t="shared" si="12"/>
        <v>llll</v>
      </c>
      <c r="H338" t="str">
        <f>[1]!SplitText(A338,"(",1)</f>
        <v xml:space="preserve">  Close</v>
      </c>
    </row>
    <row r="339" spans="1:8" ht="26.25" thickBot="1">
      <c r="A339" s="4" t="s">
        <v>5786</v>
      </c>
      <c r="B339" s="5" t="s">
        <v>5780</v>
      </c>
      <c r="C339" s="6" t="s">
        <v>5787</v>
      </c>
      <c r="G339" t="str">
        <f t="shared" si="12"/>
        <v>llll</v>
      </c>
      <c r="H339" t="str">
        <f>[1]!SplitText(A339,"(",1)</f>
        <v xml:space="preserve">  Copy</v>
      </c>
    </row>
    <row r="340" spans="1:8" ht="26.25" thickBot="1">
      <c r="A340" s="4" t="s">
        <v>5788</v>
      </c>
      <c r="B340" s="5" t="s">
        <v>5780</v>
      </c>
      <c r="C340" s="6" t="s">
        <v>5789</v>
      </c>
      <c r="G340" t="str">
        <f t="shared" si="12"/>
        <v>llll</v>
      </c>
      <c r="H340" t="str">
        <f>[1]!SplitText(A340,"(",1)</f>
        <v xml:space="preserve">  Copy</v>
      </c>
    </row>
    <row r="341" spans="1:8" ht="17.25" thickBot="1">
      <c r="A341" s="4" t="s">
        <v>5790</v>
      </c>
      <c r="B341" s="6" t="s">
        <v>5273</v>
      </c>
      <c r="C341" s="6" t="s">
        <v>5791</v>
      </c>
      <c r="G341" t="str">
        <f t="shared" si="12"/>
        <v>llll</v>
      </c>
      <c r="H341" t="str">
        <f>[1]!SplitText(A341,"(",1)</f>
        <v xml:space="preserve">  DeleteFile</v>
      </c>
    </row>
    <row r="342" spans="1:8" ht="17.25" thickBot="1">
      <c r="A342" s="4" t="s">
        <v>5792</v>
      </c>
      <c r="B342" s="5" t="s">
        <v>5780</v>
      </c>
      <c r="C342" s="6" t="s">
        <v>5793</v>
      </c>
      <c r="G342" t="str">
        <f t="shared" si="12"/>
        <v>llll</v>
      </c>
      <c r="H342" t="str">
        <f>[1]!SplitText(A342,"(",1)</f>
        <v xml:space="preserve">  Directory</v>
      </c>
    </row>
    <row r="343" spans="1:8" ht="26.25" thickBot="1">
      <c r="A343" s="4" t="s">
        <v>5794</v>
      </c>
      <c r="B343" s="5" t="s">
        <v>5621</v>
      </c>
      <c r="C343" s="6" t="s">
        <v>5795</v>
      </c>
      <c r="G343" t="str">
        <f t="shared" si="12"/>
        <v>llll</v>
      </c>
      <c r="H343" t="str">
        <f>[1]!SplitText(A343,"(",1)</f>
        <v xml:space="preserve">  DTM</v>
      </c>
    </row>
    <row r="344" spans="1:8" ht="17.25" thickBot="1">
      <c r="A344" s="4" t="s">
        <v>5796</v>
      </c>
      <c r="B344" s="5" t="s">
        <v>5177</v>
      </c>
      <c r="C344" s="5" t="s">
        <v>5797</v>
      </c>
      <c r="G344" t="str">
        <f t="shared" si="12"/>
        <v>llll</v>
      </c>
      <c r="H344" t="str">
        <f>[1]!SplitText(A344,"(",1)</f>
        <v xml:space="preserve">  Entry</v>
      </c>
    </row>
    <row r="345" spans="1:8" ht="17.25" thickBot="1">
      <c r="A345" s="92" t="s">
        <v>5798</v>
      </c>
      <c r="B345" s="91" t="s">
        <v>5270</v>
      </c>
      <c r="C345" s="8" t="s">
        <v>5799</v>
      </c>
      <c r="G345" t="str">
        <f t="shared" si="12"/>
        <v>llll</v>
      </c>
      <c r="H345" t="str">
        <f>[1]!SplitText(A345,"(",1)</f>
        <v xml:space="preserve">  Exists</v>
      </c>
    </row>
    <row r="346" spans="1:8" ht="25.5">
      <c r="A346" s="92" t="s">
        <v>5800</v>
      </c>
      <c r="B346" s="7" t="s">
        <v>5801</v>
      </c>
      <c r="C346" s="91" t="s">
        <v>5802</v>
      </c>
      <c r="G346" t="str">
        <f t="shared" si="12"/>
        <v>llll</v>
      </c>
      <c r="H346" t="str">
        <f>[1]!SplitText(A346,"(",1)</f>
        <v xml:space="preserve">  Files</v>
      </c>
    </row>
    <row r="347" spans="1:8" ht="17.25" thickBot="1">
      <c r="A347" s="4" t="s">
        <v>5388</v>
      </c>
      <c r="B347" s="5" t="s">
        <v>5177</v>
      </c>
      <c r="C347" s="6" t="s">
        <v>5803</v>
      </c>
      <c r="G347" t="str">
        <f t="shared" si="12"/>
        <v>llll</v>
      </c>
      <c r="H347" t="str">
        <f>[1]!SplitText(A347,"(",1)</f>
        <v xml:space="preserve">  FullName</v>
      </c>
    </row>
    <row r="348" spans="1:8" ht="17.25" thickBot="1">
      <c r="A348" s="4" t="s">
        <v>5804</v>
      </c>
      <c r="B348" s="5" t="s">
        <v>5265</v>
      </c>
      <c r="C348" s="6" t="s">
        <v>5805</v>
      </c>
      <c r="G348" t="str">
        <f t="shared" si="12"/>
        <v>llll</v>
      </c>
      <c r="H348" t="str">
        <f>[1]!SplitText(A348,"(",1)</f>
        <v xml:space="preserve">  IsOpen</v>
      </c>
    </row>
    <row r="349" spans="1:8" ht="17.25" thickBot="1">
      <c r="A349" s="4" t="s">
        <v>5806</v>
      </c>
      <c r="B349" s="5" t="s">
        <v>5238</v>
      </c>
      <c r="C349" s="6" t="s">
        <v>5807</v>
      </c>
      <c r="G349" t="str">
        <f t="shared" si="12"/>
        <v>llll</v>
      </c>
      <c r="H349" t="str">
        <f>[1]!SplitText(A349,"(",1)</f>
        <v xml:space="preserve">  LineNumber</v>
      </c>
    </row>
    <row r="350" spans="1:8" ht="25.5">
      <c r="A350" s="92" t="s">
        <v>5808</v>
      </c>
      <c r="B350" s="91" t="s">
        <v>5809</v>
      </c>
      <c r="C350" s="7" t="s">
        <v>5810</v>
      </c>
      <c r="G350" t="str">
        <f t="shared" si="12"/>
        <v>llll</v>
      </c>
      <c r="H350" t="str">
        <f>[1]!SplitText(A350,"(",1)</f>
        <v xml:space="preserve">  Move</v>
      </c>
    </row>
    <row r="351" spans="1:8" ht="17.25" thickBot="1">
      <c r="A351" s="4" t="s">
        <v>5811</v>
      </c>
      <c r="B351" s="5" t="s">
        <v>5780</v>
      </c>
      <c r="C351" s="6" t="s">
        <v>5812</v>
      </c>
      <c r="G351" t="str">
        <f t="shared" si="12"/>
        <v>llll</v>
      </c>
      <c r="H351" t="str">
        <f>[1]!SplitText(A351,"(",1)</f>
        <v xml:space="preserve">  Move</v>
      </c>
    </row>
    <row r="352" spans="1:8" ht="17.25" thickBot="1">
      <c r="A352" s="4" t="s">
        <v>5470</v>
      </c>
      <c r="B352" s="5" t="s">
        <v>5177</v>
      </c>
      <c r="C352" s="6" t="s">
        <v>5813</v>
      </c>
      <c r="G352" t="str">
        <f t="shared" si="12"/>
        <v>llll</v>
      </c>
      <c r="H352" t="str">
        <f>[1]!SplitText(A352,"(",1)</f>
        <v xml:space="preserve">  Name</v>
      </c>
    </row>
    <row r="353" spans="1:8" ht="25.5">
      <c r="A353" s="92" t="s">
        <v>5814</v>
      </c>
      <c r="B353" s="91" t="s">
        <v>5467</v>
      </c>
      <c r="C353" s="7" t="s">
        <v>5815</v>
      </c>
      <c r="G353" t="str">
        <f t="shared" si="12"/>
        <v>llll</v>
      </c>
      <c r="H353" t="str">
        <f>[1]!SplitText(A353,"(",1)</f>
        <v xml:space="preserve">  Open</v>
      </c>
    </row>
    <row r="354" spans="1:8" ht="17.25" thickBot="1">
      <c r="A354" s="4" t="s">
        <v>5396</v>
      </c>
      <c r="B354" s="5" t="s">
        <v>5177</v>
      </c>
      <c r="C354" s="6" t="s">
        <v>5816</v>
      </c>
      <c r="G354" t="str">
        <f t="shared" si="12"/>
        <v>llll</v>
      </c>
      <c r="H354" t="str">
        <f>[1]!SplitText(A354,"(",1)</f>
        <v xml:space="preserve">  Owner</v>
      </c>
    </row>
    <row r="355" spans="1:8" ht="25.5">
      <c r="A355" s="92" t="s">
        <v>5817</v>
      </c>
      <c r="B355" s="7" t="s">
        <v>5801</v>
      </c>
      <c r="C355" s="91" t="s">
        <v>5818</v>
      </c>
      <c r="G355" t="str">
        <f t="shared" si="12"/>
        <v>llll</v>
      </c>
      <c r="H355" t="str">
        <f>[1]!SplitText(A355,"(",1)</f>
        <v xml:space="preserve">  Path</v>
      </c>
    </row>
    <row r="356" spans="1:8" ht="17.25" thickBot="1">
      <c r="A356" s="4" t="s">
        <v>5819</v>
      </c>
      <c r="B356" s="5" t="s">
        <v>5177</v>
      </c>
      <c r="C356" s="5" t="s">
        <v>5820</v>
      </c>
      <c r="G356" t="str">
        <f t="shared" si="12"/>
        <v>llll</v>
      </c>
      <c r="H356" t="str">
        <f>[1]!SplitText(A356,"(",1)</f>
        <v xml:space="preserve">  PathName</v>
      </c>
    </row>
    <row r="357" spans="1:8" ht="26.25" thickBot="1">
      <c r="A357" s="4" t="s">
        <v>5821</v>
      </c>
      <c r="B357" s="5" t="s">
        <v>5702</v>
      </c>
      <c r="C357" s="6" t="s">
        <v>5822</v>
      </c>
      <c r="G357" t="str">
        <f t="shared" si="12"/>
        <v>llll</v>
      </c>
      <c r="H357" t="str">
        <f>[1]!SplitText(A357,"(",1)</f>
        <v xml:space="preserve">  ReadFile</v>
      </c>
    </row>
    <row r="358" spans="1:8" ht="26.25" thickBot="1">
      <c r="A358" s="4" t="s">
        <v>5823</v>
      </c>
      <c r="B358" s="5" t="s">
        <v>5702</v>
      </c>
      <c r="C358" s="6" t="s">
        <v>5824</v>
      </c>
      <c r="G358" t="str">
        <f t="shared" si="12"/>
        <v>llll</v>
      </c>
      <c r="H358" t="str">
        <f>[1]!SplitText(A358,"(",1)</f>
        <v xml:space="preserve">  ReadFile</v>
      </c>
    </row>
    <row r="359" spans="1:8" ht="26.25" thickBot="1">
      <c r="A359" s="4" t="s">
        <v>5825</v>
      </c>
      <c r="B359" s="5" t="s">
        <v>5177</v>
      </c>
      <c r="C359" s="6" t="s">
        <v>5826</v>
      </c>
      <c r="G359" t="str">
        <f t="shared" si="12"/>
        <v>llll</v>
      </c>
      <c r="H359" t="str">
        <f>[1]!SplitText(A359,"(",1)</f>
        <v xml:space="preserve">  ReadRecord</v>
      </c>
    </row>
    <row r="360" spans="1:8" ht="26.25" thickBot="1">
      <c r="A360" s="4" t="s">
        <v>5827</v>
      </c>
      <c r="B360" s="5" t="s">
        <v>5265</v>
      </c>
      <c r="C360" s="6" t="s">
        <v>5828</v>
      </c>
      <c r="G360" t="str">
        <f t="shared" si="12"/>
        <v>llll</v>
      </c>
      <c r="H360" t="str">
        <f>[1]!SplitText(A360,"(",1)</f>
        <v xml:space="preserve">  Set</v>
      </c>
    </row>
    <row r="361" spans="1:8" ht="17.25" thickBot="1">
      <c r="A361" s="4" t="s">
        <v>5349</v>
      </c>
      <c r="B361" s="5" t="s">
        <v>5238</v>
      </c>
      <c r="C361" s="5" t="s">
        <v>5829</v>
      </c>
      <c r="G361" t="str">
        <f t="shared" si="12"/>
        <v>llll</v>
      </c>
      <c r="H361" t="str">
        <f>[1]!SplitText(A361,"(",1)</f>
        <v xml:space="preserve">  Size</v>
      </c>
    </row>
    <row r="362" spans="1:8" ht="25.5">
      <c r="A362" s="92" t="s">
        <v>5830</v>
      </c>
      <c r="B362" s="7" t="s">
        <v>5831</v>
      </c>
      <c r="C362" s="91" t="s">
        <v>5832</v>
      </c>
      <c r="G362" t="str">
        <f t="shared" si="12"/>
        <v>llll</v>
      </c>
      <c r="H362" t="str">
        <f>[1]!SplitText(A362,"(",1)</f>
        <v xml:space="preserve">  SubDirs</v>
      </c>
    </row>
    <row r="363" spans="1:8" ht="26.25" thickBot="1">
      <c r="A363" s="4" t="s">
        <v>5406</v>
      </c>
      <c r="B363" s="5" t="s">
        <v>5177</v>
      </c>
      <c r="C363" s="5" t="s">
        <v>5833</v>
      </c>
      <c r="G363" t="str">
        <f t="shared" si="12"/>
        <v>llll</v>
      </c>
      <c r="H363" t="str">
        <f>[1]!SplitText(A363,"(",1)</f>
        <v xml:space="preserve">  Type</v>
      </c>
    </row>
    <row r="364" spans="1:8" ht="27">
      <c r="A364" s="96" t="s">
        <v>5834</v>
      </c>
      <c r="B364" s="91" t="s">
        <v>5316</v>
      </c>
      <c r="C364" s="7" t="s">
        <v>5835</v>
      </c>
      <c r="G364" t="str">
        <f t="shared" si="12"/>
        <v>llll</v>
      </c>
      <c r="H364" t="str">
        <f>[1]!SplitText(A364,"(",1)</f>
        <v xml:space="preserve">  WriteFile</v>
      </c>
    </row>
    <row r="365" spans="1:8" ht="27.75" thickBot="1">
      <c r="A365" s="4" t="s">
        <v>5836</v>
      </c>
      <c r="B365" s="6" t="s">
        <v>5273</v>
      </c>
      <c r="C365" s="6" t="s">
        <v>5837</v>
      </c>
      <c r="G365" t="str">
        <f t="shared" si="12"/>
        <v>llll</v>
      </c>
      <c r="H365" t="str">
        <f>[1]!SplitText(A365,"(",1)</f>
        <v xml:space="preserve">  WriteRecord</v>
      </c>
    </row>
    <row r="366" spans="1:8" ht="17.25" thickBot="1">
      <c r="A366" s="115" t="s">
        <v>2435</v>
      </c>
      <c r="B366" s="115" t="s">
        <v>2436</v>
      </c>
      <c r="G366" t="str">
        <f t="shared" si="12"/>
        <v>llll</v>
      </c>
      <c r="H366" t="str">
        <f>[1]!SplitText(A366,"(",1)</f>
        <v>2.5.23</v>
      </c>
    </row>
    <row r="367" spans="1:8" ht="17.25" thickBot="1">
      <c r="A367" s="102" t="s">
        <v>1591</v>
      </c>
      <c r="B367" s="103" t="s">
        <v>1592</v>
      </c>
      <c r="C367" s="103" t="s">
        <v>1593</v>
      </c>
      <c r="G367" t="str">
        <f t="shared" si="12"/>
        <v>llll</v>
      </c>
      <c r="H367" t="str">
        <f>[1]!SplitText(A367,"(",1)</f>
        <v>Name</v>
      </c>
    </row>
    <row r="368" spans="1:8" ht="38.25">
      <c r="A368" s="92" t="s">
        <v>5838</v>
      </c>
      <c r="B368" s="91" t="s">
        <v>5270</v>
      </c>
      <c r="C368" s="7" t="s">
        <v>5839</v>
      </c>
      <c r="G368" t="str">
        <f t="shared" si="12"/>
        <v>llll</v>
      </c>
      <c r="H368" t="str">
        <f>[1]!SplitText(A368,"(",1)</f>
        <v xml:space="preserve">  Checkrefs </v>
      </c>
    </row>
    <row r="369" spans="1:8" ht="39" thickBot="1">
      <c r="A369" s="4" t="s">
        <v>5840</v>
      </c>
      <c r="B369" s="5" t="s">
        <v>4994</v>
      </c>
      <c r="C369" s="6" t="s">
        <v>5841</v>
      </c>
      <c r="G369" t="str">
        <f t="shared" si="12"/>
        <v>llll</v>
      </c>
      <c r="H369" t="str">
        <f>[1]!SplitText(A369,"(",1)</f>
        <v xml:space="preserve">  CurrentDocument</v>
      </c>
    </row>
    <row r="370" spans="1:8" ht="63.75">
      <c r="A370" s="92" t="s">
        <v>5842</v>
      </c>
      <c r="B370" s="91" t="s">
        <v>5843</v>
      </c>
      <c r="C370" s="7" t="s">
        <v>5844</v>
      </c>
      <c r="G370" t="str">
        <f t="shared" si="12"/>
        <v>llll</v>
      </c>
      <c r="H370" t="str">
        <f>[1]!SplitText(A370,"(",1)</f>
        <v xml:space="preserve">  DefaultFormat</v>
      </c>
    </row>
    <row r="371" spans="1:8" ht="45.75" thickBot="1">
      <c r="A371" s="145" t="s">
        <v>5845</v>
      </c>
      <c r="B371" s="5" t="s">
        <v>5177</v>
      </c>
      <c r="C371" s="6" t="s">
        <v>5846</v>
      </c>
      <c r="G371" t="str">
        <f t="shared" ref="G371:G403" si="13">IF(ISERROR(SEARCH("table 2:",A371&amp;B371&amp;C371&amp;D371&amp;E371&amp;F371,1)*1),"llll","o")</f>
        <v>llll</v>
      </c>
      <c r="H371" t="str">
        <f>[1]!SplitText(A371,"(",1)</f>
        <v xml:space="preserve">  DefaultFormLayout</v>
      </c>
    </row>
    <row r="372" spans="1:8" ht="41.25" thickBot="1">
      <c r="A372" s="4" t="s">
        <v>5847</v>
      </c>
      <c r="B372" s="6" t="s">
        <v>5273</v>
      </c>
      <c r="C372" s="6" t="s">
        <v>5848</v>
      </c>
      <c r="G372" t="str">
        <f t="shared" si="13"/>
        <v>llll</v>
      </c>
      <c r="H372" t="str">
        <f>[1]!SplitText(A372,"(",1)</f>
        <v xml:space="preserve">  DocsAtMaxScreen</v>
      </c>
    </row>
    <row r="373" spans="1:8" ht="17.25" thickBot="1">
      <c r="A373" s="4" t="s">
        <v>5849</v>
      </c>
      <c r="B373" s="5" t="s">
        <v>5373</v>
      </c>
      <c r="C373" s="5" t="s">
        <v>5850</v>
      </c>
      <c r="G373" t="str">
        <f t="shared" si="13"/>
        <v>llll</v>
      </c>
      <c r="H373" t="str">
        <f>[1]!SplitText(A373,"(",1)</f>
        <v xml:space="preserve">  FMINFO</v>
      </c>
    </row>
    <row r="374" spans="1:8" ht="17.25" thickBot="1">
      <c r="A374" s="4" t="s">
        <v>5851</v>
      </c>
      <c r="B374" s="5" t="s">
        <v>5177</v>
      </c>
      <c r="C374" s="5" t="s">
        <v>5852</v>
      </c>
      <c r="G374" t="str">
        <f t="shared" si="13"/>
        <v>llll</v>
      </c>
      <c r="H374" t="str">
        <f>[1]!SplitText(A374,"(",1)</f>
        <v xml:space="preserve">  HelpFileAlias</v>
      </c>
    </row>
    <row r="375" spans="1:8" ht="17.25" thickBot="1">
      <c r="A375" s="4" t="s">
        <v>5853</v>
      </c>
      <c r="B375" s="5" t="s">
        <v>5265</v>
      </c>
      <c r="C375" s="6" t="s">
        <v>5854</v>
      </c>
      <c r="G375" t="str">
        <f t="shared" si="13"/>
        <v>llll</v>
      </c>
      <c r="H375" t="str">
        <f>[1]!SplitText(A375,"(",1)</f>
        <v xml:space="preserve">  Interrupt</v>
      </c>
    </row>
    <row r="376" spans="1:8" ht="63.75">
      <c r="A376" s="92" t="s">
        <v>5855</v>
      </c>
      <c r="B376" s="91" t="s">
        <v>5856</v>
      </c>
      <c r="C376" s="7" t="s">
        <v>5857</v>
      </c>
      <c r="G376" t="str">
        <f t="shared" si="13"/>
        <v>llll</v>
      </c>
      <c r="H376" t="str">
        <f>[1]!SplitText(A376,"(",1)</f>
        <v xml:space="preserve">  LoadForm</v>
      </c>
    </row>
    <row r="377" spans="1:8" ht="17.25" thickBot="1">
      <c r="A377" s="4" t="s">
        <v>5858</v>
      </c>
      <c r="B377" s="5" t="s">
        <v>4994</v>
      </c>
      <c r="C377" s="5" t="s">
        <v>5859</v>
      </c>
      <c r="G377" t="str">
        <f t="shared" si="13"/>
        <v>llll</v>
      </c>
      <c r="H377" t="str">
        <f>[1]!SplitText(A377,"(",1)</f>
        <v xml:space="preserve">  Main</v>
      </c>
    </row>
    <row r="378" spans="1:8" ht="41.25" thickBot="1">
      <c r="A378" s="4" t="s">
        <v>5860</v>
      </c>
      <c r="B378" s="5" t="s">
        <v>5265</v>
      </c>
      <c r="C378" s="6" t="s">
        <v>5861</v>
      </c>
      <c r="G378" t="str">
        <f t="shared" si="13"/>
        <v>llll</v>
      </c>
      <c r="H378" t="str">
        <f>[1]!SplitText(A378,"(",1)</f>
        <v xml:space="preserve">  OKCurfnView</v>
      </c>
    </row>
    <row r="379" spans="1:8" ht="54.75" thickBot="1">
      <c r="A379" s="92" t="s">
        <v>5862</v>
      </c>
      <c r="B379" s="91" t="s">
        <v>5863</v>
      </c>
      <c r="C379" s="7" t="s">
        <v>5864</v>
      </c>
      <c r="G379" t="str">
        <f t="shared" si="13"/>
        <v>llll</v>
      </c>
      <c r="H379" t="str">
        <f>[1]!SplitText(A379,"(",1)</f>
        <v xml:space="preserve">  OKCurfnView</v>
      </c>
    </row>
    <row r="380" spans="1:8" ht="25.5">
      <c r="A380" s="176" t="s">
        <v>5865</v>
      </c>
      <c r="B380" s="91" t="s">
        <v>5235</v>
      </c>
      <c r="C380" s="7" t="s">
        <v>5866</v>
      </c>
      <c r="G380" t="str">
        <f t="shared" si="13"/>
        <v>llll</v>
      </c>
      <c r="H380" t="str">
        <f>[1]!SplitText(A380,"(",1)</f>
        <v xml:space="preserve">  Progress</v>
      </c>
    </row>
    <row r="381" spans="1:8" ht="17.25" thickBot="1">
      <c r="A381" s="4" t="s">
        <v>5482</v>
      </c>
      <c r="B381" s="6" t="s">
        <v>5273</v>
      </c>
      <c r="C381" s="5" t="s">
        <v>5867</v>
      </c>
      <c r="G381" t="str">
        <f t="shared" si="13"/>
        <v>llll</v>
      </c>
      <c r="H381" t="str">
        <f>[1]!SplitText(A381,"(",1)</f>
        <v xml:space="preserve">  Refresh</v>
      </c>
    </row>
    <row r="382" spans="1:8" ht="41.25" thickBot="1">
      <c r="A382" s="96" t="s">
        <v>5868</v>
      </c>
      <c r="B382" s="91" t="s">
        <v>5316</v>
      </c>
      <c r="C382" s="91" t="s">
        <v>5869</v>
      </c>
      <c r="G382" t="str">
        <f t="shared" si="13"/>
        <v>llll</v>
      </c>
      <c r="H382" t="str">
        <f>[1]!SplitText(A382,"(",1)</f>
        <v xml:space="preserve">  SetDefaultFormat</v>
      </c>
    </row>
    <row r="383" spans="1:8" ht="45">
      <c r="A383" s="149" t="s">
        <v>5870</v>
      </c>
      <c r="B383" s="91" t="s">
        <v>5871</v>
      </c>
      <c r="C383" s="91" t="s">
        <v>5872</v>
      </c>
      <c r="G383" t="str">
        <f t="shared" si="13"/>
        <v>llll</v>
      </c>
      <c r="H383" t="str">
        <f>[1]!SplitText(A383,"(",1)</f>
        <v xml:space="preserve">  SetDefaultFormLayout </v>
      </c>
    </row>
    <row r="384" spans="1:8" ht="27.75" thickBot="1">
      <c r="A384" s="4" t="s">
        <v>5873</v>
      </c>
      <c r="B384" s="5" t="s">
        <v>5874</v>
      </c>
      <c r="C384" s="5" t="s">
        <v>5875</v>
      </c>
      <c r="G384" t="str">
        <f t="shared" si="13"/>
        <v>llll</v>
      </c>
      <c r="H384" t="str">
        <f>[1]!SplitText(A384,"(",1)</f>
        <v xml:space="preserve">  SetHelpFileAlias </v>
      </c>
    </row>
    <row r="385" spans="1:8" ht="27.75" thickBot="1">
      <c r="A385" s="4" t="s">
        <v>5876</v>
      </c>
      <c r="B385" s="6" t="s">
        <v>5273</v>
      </c>
      <c r="C385" s="6" t="s">
        <v>5877</v>
      </c>
      <c r="G385" t="str">
        <f t="shared" si="13"/>
        <v>llll</v>
      </c>
      <c r="H385" t="str">
        <f>[1]!SplitText(A385,"(",1)</f>
        <v xml:space="preserve">  SetInterrupt</v>
      </c>
    </row>
    <row r="386" spans="1:8" ht="17.25" thickBot="1">
      <c r="A386" s="4" t="s">
        <v>5878</v>
      </c>
      <c r="B386" s="5" t="s">
        <v>4994</v>
      </c>
      <c r="C386" s="5" t="s">
        <v>5879</v>
      </c>
      <c r="G386" t="str">
        <f t="shared" si="13"/>
        <v>llll</v>
      </c>
      <c r="H386" t="str">
        <f>[1]!SplitText(A386,"(",1)</f>
        <v xml:space="preserve">  SetMain</v>
      </c>
    </row>
    <row r="387" spans="1:8" ht="39" thickBot="1">
      <c r="A387" s="145" t="s">
        <v>5880</v>
      </c>
      <c r="B387" s="6" t="s">
        <v>5273</v>
      </c>
      <c r="C387" s="6" t="s">
        <v>5881</v>
      </c>
      <c r="G387" t="str">
        <f t="shared" si="13"/>
        <v>llll</v>
      </c>
      <c r="H387" t="str">
        <f>[1]!SplitText(A387,"(",1)</f>
        <v xml:space="preserve">  SetProgress</v>
      </c>
    </row>
    <row r="388" spans="1:8" ht="41.25" thickBot="1">
      <c r="A388" s="4" t="s">
        <v>5882</v>
      </c>
      <c r="B388" s="6" t="s">
        <v>5273</v>
      </c>
      <c r="C388" s="6" t="s">
        <v>5883</v>
      </c>
      <c r="G388" t="str">
        <f t="shared" si="13"/>
        <v>llll</v>
      </c>
      <c r="H388" t="str">
        <f>[1]!SplitText(A388,"(",1)</f>
        <v xml:space="preserve">  Splashscreen</v>
      </c>
    </row>
    <row r="389" spans="1:8" ht="17.25" thickBot="1">
      <c r="A389" s="115" t="s">
        <v>2491</v>
      </c>
      <c r="B389" s="115" t="s">
        <v>2492</v>
      </c>
      <c r="G389" t="str">
        <f t="shared" si="13"/>
        <v>llll</v>
      </c>
      <c r="H389" t="str">
        <f>[1]!SplitText(A389,"(",1)</f>
        <v>2.5.24</v>
      </c>
    </row>
    <row r="390" spans="1:8" ht="17.25" thickBot="1">
      <c r="A390" s="102" t="s">
        <v>1591</v>
      </c>
      <c r="B390" s="103" t="s">
        <v>1635</v>
      </c>
      <c r="C390" s="103" t="s">
        <v>1593</v>
      </c>
      <c r="G390" t="str">
        <f t="shared" si="13"/>
        <v>llll</v>
      </c>
      <c r="H390" t="str">
        <f>[1]!SplitText(A390,"(",1)</f>
        <v>Name</v>
      </c>
    </row>
    <row r="391" spans="1:8" ht="17.25" thickBot="1">
      <c r="A391" s="4" t="s">
        <v>5884</v>
      </c>
      <c r="B391" s="5" t="s">
        <v>5885</v>
      </c>
      <c r="C391" s="5" t="s">
        <v>5886</v>
      </c>
      <c r="G391" t="str">
        <f t="shared" si="13"/>
        <v>llll</v>
      </c>
      <c r="H391" t="str">
        <f>[1]!SplitText(A391,"(",1)</f>
        <v xml:space="preserve">  FormRevision</v>
      </c>
    </row>
    <row r="392" spans="1:8" ht="17.25" thickBot="1">
      <c r="A392" s="4" t="s">
        <v>5887</v>
      </c>
      <c r="B392" s="5" t="s">
        <v>5885</v>
      </c>
      <c r="C392" s="5" t="s">
        <v>5888</v>
      </c>
      <c r="G392" t="str">
        <f t="shared" si="13"/>
        <v>llll</v>
      </c>
      <c r="H392" t="str">
        <f>[1]!SplitText(A392,"(",1)</f>
        <v xml:space="preserve">  FormTitle</v>
      </c>
    </row>
    <row r="393" spans="1:8" ht="17.25" thickBot="1">
      <c r="A393" s="4" t="s">
        <v>5889</v>
      </c>
      <c r="B393" s="5" t="s">
        <v>5885</v>
      </c>
      <c r="C393" s="5" t="s">
        <v>5890</v>
      </c>
      <c r="G393" t="str">
        <f t="shared" si="13"/>
        <v>llll</v>
      </c>
      <c r="H393" t="str">
        <f>[1]!SplitText(A393,"(",1)</f>
        <v xml:space="preserve">  IconTitle</v>
      </c>
    </row>
    <row r="394" spans="1:8" ht="17.25" thickBot="1">
      <c r="A394" s="4" t="s">
        <v>5891</v>
      </c>
      <c r="B394" s="5" t="s">
        <v>5885</v>
      </c>
      <c r="C394" s="5" t="s">
        <v>5892</v>
      </c>
      <c r="G394" t="str">
        <f t="shared" si="13"/>
        <v>llll</v>
      </c>
      <c r="H394" t="str">
        <f>[1]!SplitText(A394,"(",1)</f>
        <v xml:space="preserve">  Initcall</v>
      </c>
    </row>
    <row r="395" spans="1:8" ht="26.25" thickBot="1">
      <c r="A395" s="4" t="s">
        <v>5893</v>
      </c>
      <c r="B395" s="5" t="s">
        <v>5885</v>
      </c>
      <c r="C395" s="6" t="s">
        <v>5894</v>
      </c>
      <c r="G395" t="str">
        <f t="shared" si="13"/>
        <v>llll</v>
      </c>
      <c r="H395" t="str">
        <f>[1]!SplitText(A395,"(",1)</f>
        <v xml:space="preserve">  Autocall</v>
      </c>
    </row>
    <row r="396" spans="1:8" ht="17.25" thickBot="1">
      <c r="A396" s="4" t="s">
        <v>5895</v>
      </c>
      <c r="B396" s="5" t="s">
        <v>5885</v>
      </c>
      <c r="C396" s="6" t="s">
        <v>5896</v>
      </c>
      <c r="G396" t="str">
        <f t="shared" si="13"/>
        <v>llll</v>
      </c>
      <c r="H396" t="str">
        <f>[1]!SplitText(A396,"(",1)</f>
        <v xml:space="preserve">  Okcall</v>
      </c>
    </row>
    <row r="397" spans="1:8" ht="17.25" thickBot="1">
      <c r="A397" s="4" t="s">
        <v>5897</v>
      </c>
      <c r="B397" s="5" t="s">
        <v>5885</v>
      </c>
      <c r="C397" s="6" t="s">
        <v>5898</v>
      </c>
      <c r="G397" t="str">
        <f t="shared" si="13"/>
        <v>llll</v>
      </c>
      <c r="H397" t="str">
        <f>[1]!SplitText(A397,"(",1)</f>
        <v xml:space="preserve">  Cancelcall</v>
      </c>
    </row>
    <row r="398" spans="1:8" ht="26.25" thickBot="1">
      <c r="A398" s="92" t="s">
        <v>5899</v>
      </c>
      <c r="B398" s="5" t="s">
        <v>5885</v>
      </c>
      <c r="C398" s="7" t="s">
        <v>5900</v>
      </c>
      <c r="G398" t="str">
        <f t="shared" si="13"/>
        <v>llll</v>
      </c>
      <c r="H398" t="str">
        <f>[1]!SplitText(A398,"(",1)</f>
        <v xml:space="preserve">  KeyboardFocus  </v>
      </c>
    </row>
    <row r="399" spans="1:8" ht="51.75" thickBot="1">
      <c r="A399" s="92" t="s">
        <v>5901</v>
      </c>
      <c r="B399" s="5" t="s">
        <v>5885</v>
      </c>
      <c r="C399" s="91" t="s">
        <v>5902</v>
      </c>
      <c r="G399" t="str">
        <f t="shared" si="13"/>
        <v>llll</v>
      </c>
      <c r="H399" t="str">
        <f>[1]!SplitText(A399,"(",1)</f>
        <v xml:space="preserve">  AutoScroll </v>
      </c>
    </row>
    <row r="400" spans="1:8" ht="128.25" thickBot="1">
      <c r="A400" s="92" t="s">
        <v>5903</v>
      </c>
      <c r="B400" s="5" t="s">
        <v>5885</v>
      </c>
      <c r="C400" s="7" t="s">
        <v>5904</v>
      </c>
      <c r="G400" t="str">
        <f t="shared" si="13"/>
        <v>llll</v>
      </c>
      <c r="H400" t="str">
        <f>[1]!SplitText(A400,"(",1)</f>
        <v xml:space="preserve">  Quitcall    </v>
      </c>
    </row>
    <row r="401" spans="1:8" ht="17.25" thickBot="1">
      <c r="A401" s="92" t="s">
        <v>5905</v>
      </c>
      <c r="B401" s="8" t="s">
        <v>5552</v>
      </c>
      <c r="C401" s="91" t="s">
        <v>5906</v>
      </c>
      <c r="G401" t="str">
        <f t="shared" si="13"/>
        <v>llll</v>
      </c>
      <c r="H401" t="str">
        <f>[1]!SplitText(A401,"(",1)</f>
        <v xml:space="preserve">  Maximised </v>
      </c>
    </row>
    <row r="402" spans="1:8" ht="17.25" thickBot="1">
      <c r="A402" s="92" t="s">
        <v>5907</v>
      </c>
      <c r="B402" s="8" t="s">
        <v>5908</v>
      </c>
      <c r="C402" s="91" t="s">
        <v>5909</v>
      </c>
      <c r="G402" t="str">
        <f t="shared" si="13"/>
        <v>llll</v>
      </c>
      <c r="H402" t="str">
        <f>[1]!SplitText(A402,"(",1)</f>
        <v xml:space="preserve">  Active </v>
      </c>
    </row>
    <row r="403" spans="1:8" ht="17.25" thickBot="1">
      <c r="A403" s="92" t="s">
        <v>5910</v>
      </c>
      <c r="B403" s="8" t="s">
        <v>5911</v>
      </c>
      <c r="C403" s="91" t="s">
        <v>5912</v>
      </c>
      <c r="G403" t="str">
        <f t="shared" si="13"/>
        <v>llll</v>
      </c>
      <c r="H403" t="str">
        <f>[1]!SplitText(A403,"(",1)</f>
        <v xml:space="preserve">  Popup </v>
      </c>
    </row>
    <row r="404" spans="1:8" ht="51.75" thickBot="1">
      <c r="A404" s="92" t="s">
        <v>5913</v>
      </c>
      <c r="B404" s="91" t="s">
        <v>5662</v>
      </c>
      <c r="C404" s="8" t="s">
        <v>5914</v>
      </c>
      <c r="G404" t="str">
        <f t="shared" ref="G404:G428" si="14">IF(ISERROR(SEARCH("table 2:",A404&amp;B404&amp;C404&amp;D404&amp;E404&amp;F404,1)*1),"llll","o")</f>
        <v>llll</v>
      </c>
      <c r="H404" t="str">
        <f>[1]!SplitText(A404,"(",1)</f>
        <v xml:space="preserve">  HelpContextID  </v>
      </c>
    </row>
    <row r="405" spans="1:8" ht="51.75" thickBot="1">
      <c r="A405" s="92" t="s">
        <v>5915</v>
      </c>
      <c r="B405" s="8" t="s">
        <v>5596</v>
      </c>
      <c r="C405" s="91" t="s">
        <v>5916</v>
      </c>
      <c r="G405" t="str">
        <f t="shared" si="14"/>
        <v>llll</v>
      </c>
      <c r="H405" t="str">
        <f>[1]!SplitText(A405,"(",1)</f>
        <v xml:space="preserve">  Killingcall </v>
      </c>
    </row>
    <row r="406" spans="1:8" ht="38.25">
      <c r="A406" s="92" t="s">
        <v>5917</v>
      </c>
      <c r="B406" s="8" t="s">
        <v>5596</v>
      </c>
      <c r="C406" s="91" t="s">
        <v>5918</v>
      </c>
      <c r="G406" t="str">
        <f t="shared" si="14"/>
        <v>llll</v>
      </c>
      <c r="H406" t="str">
        <f>[1]!SplitText(A406,"(",1)</f>
        <v xml:space="preserve">  FirstShowncall </v>
      </c>
    </row>
    <row r="407" spans="1:8" ht="17.25" thickBot="1">
      <c r="A407" s="4" t="s">
        <v>5470</v>
      </c>
      <c r="B407" s="5" t="s">
        <v>5177</v>
      </c>
      <c r="C407" s="5" t="s">
        <v>5919</v>
      </c>
      <c r="G407" t="str">
        <f t="shared" si="14"/>
        <v>llll</v>
      </c>
      <c r="H407" t="str">
        <f>[1]!SplitText(A407,"(",1)</f>
        <v xml:space="preserve">  Name</v>
      </c>
    </row>
    <row r="408" spans="1:8">
      <c r="A408" s="92" t="s">
        <v>5920</v>
      </c>
      <c r="B408" s="91" t="s">
        <v>5174</v>
      </c>
      <c r="C408" s="7" t="s">
        <v>5921</v>
      </c>
      <c r="G408" t="str">
        <f t="shared" si="14"/>
        <v>llll</v>
      </c>
      <c r="H408" t="str">
        <f>[1]!SplitText(A408,"(",1)</f>
        <v xml:space="preserve">  FullName</v>
      </c>
    </row>
    <row r="409" spans="1:8" ht="27.75" thickBot="1">
      <c r="A409" s="4" t="s">
        <v>5922</v>
      </c>
      <c r="B409" s="5" t="s">
        <v>5478</v>
      </c>
      <c r="C409" s="6" t="s">
        <v>5923</v>
      </c>
      <c r="G409" t="str">
        <f t="shared" si="14"/>
        <v>llll</v>
      </c>
      <c r="H409" t="str">
        <f>[1]!SplitText(A409,"(",1)</f>
        <v xml:space="preserve">  NewMenu</v>
      </c>
    </row>
    <row r="410" spans="1:8" ht="41.25" thickBot="1">
      <c r="A410" s="4" t="s">
        <v>5924</v>
      </c>
      <c r="B410" s="5" t="s">
        <v>5478</v>
      </c>
      <c r="C410" s="6" t="s">
        <v>5925</v>
      </c>
      <c r="G410" t="str">
        <f t="shared" si="14"/>
        <v>llll</v>
      </c>
      <c r="H410" t="str">
        <f>[1]!SplitText(A410,"(",1)</f>
        <v xml:space="preserve">  NewMenu</v>
      </c>
    </row>
    <row r="411" spans="1:8" ht="68.25" thickBot="1">
      <c r="A411" s="92" t="s">
        <v>5926</v>
      </c>
      <c r="B411" s="91" t="s">
        <v>5316</v>
      </c>
      <c r="C411" s="138" t="s">
        <v>5927</v>
      </c>
      <c r="G411" t="str">
        <f t="shared" si="14"/>
        <v>llll</v>
      </c>
      <c r="H411" t="str">
        <f>[1]!SplitText(A411,"(",1)</f>
        <v xml:space="preserve">  SetActive</v>
      </c>
    </row>
    <row r="412" spans="1:8" ht="81">
      <c r="A412" s="92" t="s">
        <v>5928</v>
      </c>
      <c r="B412" s="91" t="s">
        <v>5467</v>
      </c>
      <c r="C412" s="137" t="s">
        <v>5929</v>
      </c>
      <c r="G412" t="str">
        <f t="shared" si="14"/>
        <v>llll</v>
      </c>
      <c r="H412" t="str">
        <f>[1]!SplitText(A412,"(",1)</f>
        <v xml:space="preserve">  SetGadgetsActive</v>
      </c>
    </row>
    <row r="413" spans="1:8" ht="26.25" thickBot="1">
      <c r="A413" s="4" t="s">
        <v>5930</v>
      </c>
      <c r="B413" s="6" t="s">
        <v>5273</v>
      </c>
      <c r="C413" s="6" t="s">
        <v>5931</v>
      </c>
      <c r="G413" t="str">
        <f t="shared" si="14"/>
        <v>llll</v>
      </c>
      <c r="H413" t="str">
        <f>[1]!SplitText(A413,"(",1)</f>
        <v xml:space="preserve">  SetPopup</v>
      </c>
    </row>
    <row r="414" spans="1:8" ht="17.25" thickBot="1">
      <c r="A414" s="4" t="s">
        <v>5932</v>
      </c>
      <c r="B414" s="6" t="s">
        <v>5273</v>
      </c>
      <c r="C414" s="5" t="s">
        <v>5933</v>
      </c>
      <c r="G414" t="str">
        <f t="shared" si="14"/>
        <v>llll</v>
      </c>
      <c r="H414" t="str">
        <f>[1]!SplitText(A414,"(",1)</f>
        <v xml:space="preserve">  RemovePopup</v>
      </c>
    </row>
    <row r="415" spans="1:8" ht="17.25" thickBot="1">
      <c r="A415" s="4" t="s">
        <v>5477</v>
      </c>
      <c r="B415" s="5" t="s">
        <v>5478</v>
      </c>
      <c r="C415" s="6" t="s">
        <v>5934</v>
      </c>
      <c r="G415" t="str">
        <f t="shared" si="14"/>
        <v>llll</v>
      </c>
      <c r="H415" t="str">
        <f>[1]!SplitText(A415,"(",1)</f>
        <v xml:space="preserve">  GetPickedPopup</v>
      </c>
    </row>
    <row r="416" spans="1:8" ht="17.25" thickBot="1">
      <c r="A416" s="4" t="s">
        <v>5935</v>
      </c>
      <c r="B416" s="6" t="s">
        <v>5273</v>
      </c>
      <c r="C416" s="6" t="s">
        <v>5936</v>
      </c>
      <c r="G416" t="str">
        <f t="shared" si="14"/>
        <v>llll</v>
      </c>
      <c r="H416" t="str">
        <f>[1]!SplitText(A416,"(",1)</f>
        <v xml:space="preserve">  Show</v>
      </c>
    </row>
    <row r="417" spans="1:8" ht="27.75" thickBot="1">
      <c r="A417" s="4" t="s">
        <v>5937</v>
      </c>
      <c r="B417" s="6" t="s">
        <v>5273</v>
      </c>
      <c r="C417" s="6" t="s">
        <v>5938</v>
      </c>
      <c r="G417" t="str">
        <f t="shared" si="14"/>
        <v>llll</v>
      </c>
      <c r="H417" t="str">
        <f>[1]!SplitText(A417,"(",1)</f>
        <v xml:space="preserve">  Show</v>
      </c>
    </row>
    <row r="418" spans="1:8" ht="27.75" thickBot="1">
      <c r="A418" s="4" t="s">
        <v>5939</v>
      </c>
      <c r="B418" s="6" t="s">
        <v>5273</v>
      </c>
      <c r="C418" s="6" t="s">
        <v>5940</v>
      </c>
      <c r="G418" t="str">
        <f t="shared" si="14"/>
        <v>llll</v>
      </c>
      <c r="H418" t="str">
        <f>[1]!SplitText(A418,"(",1)</f>
        <v xml:space="preserve">  Show</v>
      </c>
    </row>
    <row r="419" spans="1:8" ht="17.25" thickBot="1">
      <c r="A419" s="4" t="s">
        <v>5404</v>
      </c>
      <c r="B419" s="5" t="s">
        <v>5265</v>
      </c>
      <c r="C419" s="5" t="s">
        <v>5941</v>
      </c>
      <c r="G419" t="str">
        <f t="shared" si="14"/>
        <v>llll</v>
      </c>
      <c r="H419" t="str">
        <f>[1]!SplitText(A419,"(",1)</f>
        <v xml:space="preserve">  Shown</v>
      </c>
    </row>
    <row r="420" spans="1:8" ht="17.25" thickBot="1">
      <c r="A420" s="4" t="s">
        <v>5942</v>
      </c>
      <c r="B420" s="6" t="s">
        <v>5273</v>
      </c>
      <c r="C420" s="6" t="s">
        <v>5943</v>
      </c>
      <c r="G420" t="str">
        <f t="shared" si="14"/>
        <v>llll</v>
      </c>
      <c r="H420" t="str">
        <f>[1]!SplitText(A420,"(",1)</f>
        <v xml:space="preserve">  Hide</v>
      </c>
    </row>
    <row r="421" spans="1:8" ht="26.25" thickBot="1">
      <c r="A421" s="4" t="s">
        <v>5396</v>
      </c>
      <c r="B421" s="5" t="s">
        <v>4994</v>
      </c>
      <c r="C421" s="6" t="s">
        <v>5944</v>
      </c>
      <c r="G421" t="str">
        <f t="shared" si="14"/>
        <v>llll</v>
      </c>
      <c r="H421" t="str">
        <f>[1]!SplitText(A421,"(",1)</f>
        <v xml:space="preserve">  Owner</v>
      </c>
    </row>
    <row r="422" spans="1:8" ht="39" thickBot="1">
      <c r="A422" s="4" t="s">
        <v>5945</v>
      </c>
      <c r="B422" s="5" t="s">
        <v>5874</v>
      </c>
      <c r="C422" s="6" t="s">
        <v>5946</v>
      </c>
      <c r="G422" t="str">
        <f t="shared" si="14"/>
        <v>llll</v>
      </c>
      <c r="H422" t="str">
        <f>[1]!SplitText(A422,"(",1)</f>
        <v xml:space="preserve">  SetOpacity</v>
      </c>
    </row>
    <row r="423" spans="1:8" ht="26.25" thickBot="1">
      <c r="A423" s="92" t="s">
        <v>5947</v>
      </c>
      <c r="B423" s="91" t="s">
        <v>5177</v>
      </c>
      <c r="C423" s="7" t="s">
        <v>5948</v>
      </c>
      <c r="G423" t="str">
        <f t="shared" si="14"/>
        <v>llll</v>
      </c>
      <c r="H423" t="str">
        <f>[1]!SplitText(A423,"(",1)</f>
        <v xml:space="preserve">  Subtype</v>
      </c>
    </row>
    <row r="424" spans="1:8" ht="17.25" thickBot="1">
      <c r="A424" s="193" t="s">
        <v>5949</v>
      </c>
      <c r="B424" s="91" t="s">
        <v>5177</v>
      </c>
      <c r="C424" s="194" t="s">
        <v>5950</v>
      </c>
      <c r="G424" t="str">
        <f t="shared" si="14"/>
        <v>llll</v>
      </c>
      <c r="H424" t="str">
        <f>[1]!SplitText(A424,"(",1)</f>
        <v xml:space="preserve"> SetUndoable</v>
      </c>
    </row>
    <row r="425" spans="1:8">
      <c r="A425" s="193" t="s">
        <v>5951</v>
      </c>
      <c r="B425" s="91" t="s">
        <v>5177</v>
      </c>
      <c r="C425" s="194" t="s">
        <v>5950</v>
      </c>
      <c r="G425" t="str">
        <f t="shared" si="14"/>
        <v>llll</v>
      </c>
      <c r="H425" t="str">
        <f>[1]!SplitText(A425,"(",1)</f>
        <v xml:space="preserve"> Undoable</v>
      </c>
    </row>
    <row r="426" spans="1:8" ht="17.25" thickBot="1">
      <c r="A426" s="115" t="s">
        <v>2580</v>
      </c>
      <c r="B426" s="115" t="s">
        <v>2581</v>
      </c>
      <c r="G426" t="str">
        <f t="shared" si="14"/>
        <v>llll</v>
      </c>
      <c r="H426" t="str">
        <f>[1]!SplitText(A426,"(",1)</f>
        <v>2.5.25</v>
      </c>
    </row>
    <row r="427" spans="1:8" ht="17.25" thickBot="1">
      <c r="A427" s="102" t="s">
        <v>1591</v>
      </c>
      <c r="B427" s="103" t="s">
        <v>1635</v>
      </c>
      <c r="C427" s="103" t="s">
        <v>1593</v>
      </c>
      <c r="G427" t="str">
        <f t="shared" si="14"/>
        <v>llll</v>
      </c>
      <c r="H427" t="str">
        <f>[1]!SplitText(A427,"(",1)</f>
        <v>Name</v>
      </c>
    </row>
    <row r="428" spans="1:8" ht="26.25" thickBot="1">
      <c r="A428" s="4" t="s">
        <v>5952</v>
      </c>
      <c r="B428" s="5" t="s">
        <v>5953</v>
      </c>
      <c r="C428" s="6" t="s">
        <v>5954</v>
      </c>
      <c r="G428" t="str">
        <f t="shared" si="14"/>
        <v>llll</v>
      </c>
      <c r="H428" t="str">
        <f>[1]!SplitText(A428,"(",1)</f>
        <v xml:space="preserve">  CompSeparator </v>
      </c>
    </row>
    <row r="429" spans="1:8" ht="17.25" thickBot="1">
      <c r="A429" s="4" t="s">
        <v>5955</v>
      </c>
      <c r="B429" s="5" t="s">
        <v>5956</v>
      </c>
      <c r="C429" s="6" t="s">
        <v>5957</v>
      </c>
      <c r="G429" t="str">
        <f t="shared" ref="G429:G439" si="15">IF(ISERROR(SEARCH("table 2:",A429&amp;B429&amp;C429&amp;D429&amp;E429&amp;F429,1)*1),"llll","o")</f>
        <v>llll</v>
      </c>
      <c r="H429" t="str">
        <f>[1]!SplitText(A429,"(",1)</f>
        <v xml:space="preserve">  Denominator </v>
      </c>
    </row>
    <row r="430" spans="1:8" ht="89.25">
      <c r="A430" s="92" t="s">
        <v>5958</v>
      </c>
      <c r="B430" s="8" t="s">
        <v>5959</v>
      </c>
      <c r="C430" s="8" t="s">
        <v>5960</v>
      </c>
      <c r="G430" t="str">
        <f t="shared" si="15"/>
        <v>llll</v>
      </c>
      <c r="H430" t="str">
        <f>[1]!SplitText(A430,"(",1)</f>
        <v xml:space="preserve">  Dimension      </v>
      </c>
    </row>
    <row r="431" spans="1:8" ht="17.25" thickBot="1">
      <c r="A431" s="4" t="s">
        <v>5961</v>
      </c>
      <c r="B431" s="5" t="s">
        <v>5962</v>
      </c>
      <c r="C431" s="6" t="s">
        <v>5963</v>
      </c>
      <c r="G431" t="str">
        <f t="shared" si="15"/>
        <v>llll</v>
      </c>
      <c r="H431" t="str">
        <f>[1]!SplitText(A431,"(",1)</f>
        <v xml:space="preserve">  DP </v>
      </c>
    </row>
    <row r="432" spans="1:8" ht="26.25" thickBot="1">
      <c r="A432" s="92" t="s">
        <v>5964</v>
      </c>
      <c r="B432" s="8" t="s">
        <v>5965</v>
      </c>
      <c r="C432" s="7" t="s">
        <v>5966</v>
      </c>
      <c r="G432" t="str">
        <f t="shared" si="15"/>
        <v>llll</v>
      </c>
      <c r="H432" t="str">
        <f>[1]!SplitText(A432,"(",1)</f>
        <v xml:space="preserve">  ENU   </v>
      </c>
    </row>
    <row r="433" spans="1:8" ht="26.25" thickBot="1">
      <c r="A433" s="92" t="s">
        <v>5967</v>
      </c>
      <c r="B433" s="8" t="s">
        <v>5968</v>
      </c>
      <c r="C433" s="8" t="s">
        <v>5969</v>
      </c>
      <c r="G433" t="str">
        <f t="shared" si="15"/>
        <v>llll</v>
      </c>
      <c r="H433" t="str">
        <f>[1]!SplitText(A433,"(",1)</f>
        <v xml:space="preserve">  Fraction   </v>
      </c>
    </row>
    <row r="434" spans="1:8">
      <c r="A434" s="92" t="s">
        <v>5970</v>
      </c>
      <c r="B434" s="91" t="s">
        <v>5971</v>
      </c>
      <c r="C434" s="8" t="s">
        <v>5972</v>
      </c>
      <c r="G434" t="str">
        <f t="shared" si="15"/>
        <v>llll</v>
      </c>
      <c r="H434" t="str">
        <f>[1]!SplitText(A434,"(",1)</f>
        <v xml:space="preserve">  FtLabel   </v>
      </c>
    </row>
    <row r="435" spans="1:8" ht="17.25" thickBot="1">
      <c r="A435" s="4" t="s">
        <v>5973</v>
      </c>
      <c r="B435" s="5" t="s">
        <v>5974</v>
      </c>
      <c r="C435" s="6" t="s">
        <v>5975</v>
      </c>
      <c r="G435" t="str">
        <f t="shared" si="15"/>
        <v>llll</v>
      </c>
      <c r="H435" t="str">
        <f>[1]!SplitText(A435,"(",1)</f>
        <v xml:space="preserve">  InchSeparator </v>
      </c>
    </row>
    <row r="436" spans="1:8" ht="179.25" thickBot="1">
      <c r="A436" s="92" t="s">
        <v>5976</v>
      </c>
      <c r="B436" s="91" t="s">
        <v>5977</v>
      </c>
      <c r="C436" s="94" t="s">
        <v>5978</v>
      </c>
      <c r="G436" t="str">
        <f t="shared" si="15"/>
        <v>llll</v>
      </c>
      <c r="H436" t="str">
        <f>[1]!SplitText(A436,"(",1)</f>
        <v xml:space="preserve">  Label     </v>
      </c>
    </row>
    <row r="437" spans="1:8" ht="17.25" thickBot="1">
      <c r="A437" s="92" t="s">
        <v>5979</v>
      </c>
      <c r="B437" s="8" t="s">
        <v>5968</v>
      </c>
      <c r="C437" s="8" t="s">
        <v>5980</v>
      </c>
      <c r="G437" t="str">
        <f t="shared" si="15"/>
        <v>llll</v>
      </c>
      <c r="H437" t="str">
        <f>[1]!SplitText(A437,"(",1)</f>
        <v xml:space="preserve">  PadFractions   </v>
      </c>
    </row>
    <row r="438" spans="1:8" ht="51.75" thickBot="1">
      <c r="A438" s="92" t="s">
        <v>5981</v>
      </c>
      <c r="B438" s="91" t="s">
        <v>5270</v>
      </c>
      <c r="C438" s="7" t="s">
        <v>5982</v>
      </c>
      <c r="G438" t="str">
        <f t="shared" si="15"/>
        <v>llll</v>
      </c>
      <c r="H438" t="str">
        <f>[1]!SplitText(A438,"(",1)</f>
        <v xml:space="preserve">  TrailZeros </v>
      </c>
    </row>
    <row r="439" spans="1:8" ht="77.25" thickBot="1">
      <c r="A439" s="92" t="s">
        <v>5983</v>
      </c>
      <c r="B439" s="8" t="s">
        <v>5984</v>
      </c>
      <c r="C439" s="7" t="s">
        <v>5985</v>
      </c>
      <c r="G439" t="str">
        <f t="shared" si="15"/>
        <v>llll</v>
      </c>
      <c r="H439" t="str">
        <f>[1]!SplitText(A439,"(",1)</f>
        <v xml:space="preserve">  Units     </v>
      </c>
    </row>
    <row r="440" spans="1:8" ht="26.25" thickBot="1">
      <c r="A440" s="92" t="s">
        <v>5986</v>
      </c>
      <c r="B440" s="8" t="s">
        <v>5987</v>
      </c>
      <c r="C440" s="8" t="s">
        <v>5988</v>
      </c>
      <c r="G440" t="str">
        <f t="shared" ref="G440:G465" si="16">IF(ISERROR(SEARCH("table 2:",A440&amp;B440&amp;C440&amp;D440&amp;E440&amp;F440,1)*1),"llll","o")</f>
        <v>llll</v>
      </c>
      <c r="H440" t="str">
        <f>[1]!SplitText(A440,"(",1)</f>
        <v xml:space="preserve">  OriginExp    </v>
      </c>
    </row>
    <row r="441" spans="1:8" ht="25.5">
      <c r="A441" s="92" t="s">
        <v>5989</v>
      </c>
      <c r="B441" s="8" t="s">
        <v>5965</v>
      </c>
      <c r="C441" s="7" t="s">
        <v>5990</v>
      </c>
      <c r="G441" t="str">
        <f t="shared" si="16"/>
        <v>llll</v>
      </c>
      <c r="H441" t="str">
        <f>[1]!SplitText(A441,"(",1)</f>
        <v xml:space="preserve">  Zeros   </v>
      </c>
    </row>
    <row r="442" spans="1:8" ht="17.25" thickBot="1">
      <c r="A442" s="115" t="s">
        <v>2653</v>
      </c>
      <c r="B442" s="115" t="s">
        <v>2654</v>
      </c>
      <c r="G442" t="str">
        <f t="shared" si="16"/>
        <v>llll</v>
      </c>
      <c r="H442" t="str">
        <f>[1]!SplitText(A442,"(",1)</f>
        <v>2.5.26</v>
      </c>
    </row>
    <row r="443" spans="1:8" ht="17.25" thickBot="1">
      <c r="A443" s="102" t="s">
        <v>1591</v>
      </c>
      <c r="B443" s="103" t="s">
        <v>1635</v>
      </c>
      <c r="C443" s="103" t="s">
        <v>1593</v>
      </c>
      <c r="G443" t="str">
        <f t="shared" si="16"/>
        <v>llll</v>
      </c>
      <c r="H443" t="str">
        <f>[1]!SplitText(A443,"(",1)</f>
        <v>Name</v>
      </c>
    </row>
    <row r="444" spans="1:8" ht="17.25" thickBot="1">
      <c r="A444" s="92" t="s">
        <v>5991</v>
      </c>
      <c r="B444" s="8" t="s">
        <v>5596</v>
      </c>
      <c r="C444" s="91" t="s">
        <v>5992</v>
      </c>
      <c r="G444" t="str">
        <f t="shared" si="16"/>
        <v>llll</v>
      </c>
      <c r="H444" t="str">
        <f>[1]!SplitText(A444,"(",1)</f>
        <v xml:space="preserve">  Tag </v>
      </c>
    </row>
    <row r="445" spans="1:8" ht="17.25" thickBot="1">
      <c r="A445" s="92" t="s">
        <v>5560</v>
      </c>
      <c r="B445" s="8" t="s">
        <v>5993</v>
      </c>
      <c r="C445" s="91" t="s">
        <v>5994</v>
      </c>
      <c r="G445" t="str">
        <f t="shared" si="16"/>
        <v>llll</v>
      </c>
      <c r="H445" t="str">
        <f>[1]!SplitText(A445,"(",1)</f>
        <v xml:space="preserve">  Val </v>
      </c>
    </row>
    <row r="446" spans="1:8" ht="26.25" thickBot="1">
      <c r="A446" s="92" t="s">
        <v>5995</v>
      </c>
      <c r="B446" s="8" t="s">
        <v>5996</v>
      </c>
      <c r="C446" s="91" t="s">
        <v>5997</v>
      </c>
      <c r="G446" t="str">
        <f t="shared" si="16"/>
        <v>llll</v>
      </c>
      <c r="H446" t="str">
        <f>[1]!SplitText(A446,"(",1)</f>
        <v xml:space="preserve">  RGroupCount </v>
      </c>
    </row>
    <row r="447" spans="1:8" ht="17.25" thickBot="1">
      <c r="A447" s="92" t="s">
        <v>5998</v>
      </c>
      <c r="B447" s="8" t="s">
        <v>5596</v>
      </c>
      <c r="C447" s="91" t="s">
        <v>5999</v>
      </c>
      <c r="G447" t="str">
        <f t="shared" si="16"/>
        <v>llll</v>
      </c>
      <c r="H447" t="str">
        <f>[1]!SplitText(A447,"(",1)</f>
        <v xml:space="preserve">  Callback </v>
      </c>
    </row>
    <row r="448" spans="1:8">
      <c r="A448" s="176" t="s">
        <v>6000</v>
      </c>
      <c r="B448" s="8" t="s">
        <v>5552</v>
      </c>
      <c r="C448" s="8" t="s">
        <v>6001</v>
      </c>
      <c r="G448" t="str">
        <f t="shared" si="16"/>
        <v>llll</v>
      </c>
      <c r="H448" t="str">
        <f>[1]!SplitText(A448,"(",1)</f>
        <v xml:space="preserve">  Expanded </v>
      </c>
    </row>
    <row r="449" spans="1:8" ht="27.75" thickBot="1">
      <c r="A449" s="4" t="s">
        <v>6002</v>
      </c>
      <c r="B449" s="5" t="s">
        <v>6003</v>
      </c>
      <c r="C449" s="6" t="s">
        <v>6004</v>
      </c>
      <c r="G449" t="str">
        <f t="shared" si="16"/>
        <v>llll</v>
      </c>
      <c r="H449" t="str">
        <f>[1]!SplitText(A449,"(",1)</f>
        <v xml:space="preserve">  Rtoggle</v>
      </c>
    </row>
    <row r="450" spans="1:8" ht="63.75">
      <c r="A450" s="92" t="s">
        <v>5484</v>
      </c>
      <c r="B450" s="91" t="s">
        <v>5174</v>
      </c>
      <c r="C450" s="8" t="s">
        <v>5485</v>
      </c>
      <c r="G450" t="str">
        <f t="shared" si="16"/>
        <v>llll</v>
      </c>
      <c r="H450" t="str">
        <f>[1]!SplitText(A450,"(",1)</f>
        <v xml:space="preserve">  Background</v>
      </c>
    </row>
    <row r="451" spans="1:8">
      <c r="A451" s="115" t="s">
        <v>2675</v>
      </c>
      <c r="B451" s="115" t="s">
        <v>5158</v>
      </c>
      <c r="G451" t="str">
        <f t="shared" si="16"/>
        <v>llll</v>
      </c>
      <c r="H451" t="str">
        <f>[1]!SplitText(A451,"(",1)</f>
        <v>2.5.27</v>
      </c>
    </row>
    <row r="452" spans="1:8" ht="17.25" thickBot="1">
      <c r="A452" s="126" t="s">
        <v>2677</v>
      </c>
      <c r="G452" t="str">
        <f t="shared" si="16"/>
        <v>llll</v>
      </c>
      <c r="H452" t="str">
        <f>[1]!SplitText(A452,"(",1)</f>
        <v>Set-up Methods</v>
      </c>
    </row>
    <row r="453" spans="1:8" ht="17.25" thickBot="1">
      <c r="A453" s="102" t="s">
        <v>1591</v>
      </c>
      <c r="B453" s="103" t="s">
        <v>1592</v>
      </c>
      <c r="C453" s="103" t="s">
        <v>1593</v>
      </c>
      <c r="G453" t="str">
        <f t="shared" si="16"/>
        <v>llll</v>
      </c>
      <c r="H453" t="str">
        <f>[1]!SplitText(A453,"(",1)</f>
        <v>Name</v>
      </c>
    </row>
    <row r="454" spans="1:8" ht="17.25" thickBot="1">
      <c r="A454" s="145" t="s">
        <v>6005</v>
      </c>
      <c r="B454" s="5" t="s">
        <v>6006</v>
      </c>
      <c r="C454" s="5" t="s">
        <v>6007</v>
      </c>
      <c r="G454" t="str">
        <f t="shared" si="16"/>
        <v>llll</v>
      </c>
      <c r="H454" t="str">
        <f>[1]!SplitText(A454,"(",1)</f>
        <v xml:space="preserve">  .selection</v>
      </c>
    </row>
    <row r="455" spans="1:8" ht="25.5">
      <c r="A455" s="176" t="s">
        <v>6008</v>
      </c>
      <c r="B455" s="91" t="s">
        <v>5270</v>
      </c>
      <c r="C455" s="7" t="s">
        <v>6009</v>
      </c>
      <c r="G455" t="str">
        <f t="shared" si="16"/>
        <v>llll</v>
      </c>
      <c r="H455" t="str">
        <f>[1]!SplitText(A455,"(",1)</f>
        <v xml:space="preserve">  .scope</v>
      </c>
    </row>
    <row r="456" spans="1:8" ht="17.25" thickBot="1">
      <c r="A456" s="145" t="s">
        <v>6010</v>
      </c>
      <c r="B456" s="5" t="s">
        <v>5696</v>
      </c>
      <c r="C456" s="6" t="s">
        <v>6011</v>
      </c>
      <c r="G456" t="str">
        <f t="shared" si="16"/>
        <v>llll</v>
      </c>
      <c r="H456" t="str">
        <f>[1]!SplitText(A456,"(",1)</f>
        <v xml:space="preserve">  add</v>
      </c>
    </row>
    <row r="457" spans="1:8" ht="45.75" thickBot="1">
      <c r="A457" s="176" t="s">
        <v>6012</v>
      </c>
      <c r="B457" s="91" t="s">
        <v>5282</v>
      </c>
      <c r="C457" s="93" t="s">
        <v>6013</v>
      </c>
      <c r="G457" t="str">
        <f t="shared" si="16"/>
        <v>llll</v>
      </c>
      <c r="H457" t="str">
        <f>[1]!SplitText(A457,"(",1)</f>
        <v xml:space="preserve">  addConnected</v>
      </c>
    </row>
    <row r="458" spans="1:8" ht="45.75" thickBot="1">
      <c r="A458" s="176" t="s">
        <v>6014</v>
      </c>
      <c r="B458" s="91" t="s">
        <v>5282</v>
      </c>
      <c r="C458" s="8" t="s">
        <v>6015</v>
      </c>
      <c r="G458" t="str">
        <f t="shared" si="16"/>
        <v>llll</v>
      </c>
      <c r="H458" t="str">
        <f>[1]!SplitText(A458,"(",1)</f>
        <v xml:space="preserve">  addBranchLeg</v>
      </c>
    </row>
    <row r="459" spans="1:8" ht="30">
      <c r="A459" s="176" t="s">
        <v>6016</v>
      </c>
      <c r="B459" s="91" t="s">
        <v>5285</v>
      </c>
      <c r="C459" s="8" t="s">
        <v>6017</v>
      </c>
      <c r="G459" t="str">
        <f t="shared" si="16"/>
        <v>llll</v>
      </c>
      <c r="H459" t="str">
        <f>[1]!SplitText(A459,"(",1)</f>
        <v xml:space="preserve">  addAttached</v>
      </c>
    </row>
    <row r="460" spans="1:8" ht="45.75" thickBot="1">
      <c r="A460" s="145" t="s">
        <v>6018</v>
      </c>
      <c r="B460" s="5" t="s">
        <v>5288</v>
      </c>
      <c r="C460" s="6" t="s">
        <v>6019</v>
      </c>
      <c r="G460" t="str">
        <f t="shared" si="16"/>
        <v>llll</v>
      </c>
      <c r="H460" t="str">
        <f>[1]!SplitText(A460,"(",1)</f>
        <v xml:space="preserve">  addOffspring</v>
      </c>
    </row>
    <row r="461" spans="1:8" ht="17.25" thickBot="1">
      <c r="A461" s="145" t="s">
        <v>6020</v>
      </c>
      <c r="B461" s="5" t="s">
        <v>6006</v>
      </c>
      <c r="C461" s="6" t="s">
        <v>6021</v>
      </c>
      <c r="G461" t="str">
        <f t="shared" si="16"/>
        <v>llll</v>
      </c>
      <c r="H461" t="str">
        <f>[1]!SplitText(A461,"(",1)</f>
        <v xml:space="preserve">  .remove</v>
      </c>
    </row>
    <row r="462" spans="1:8" ht="17.25" thickBot="1">
      <c r="A462" s="145" t="s">
        <v>6022</v>
      </c>
      <c r="B462" s="5" t="s">
        <v>6006</v>
      </c>
      <c r="C462" s="5" t="s">
        <v>6023</v>
      </c>
      <c r="G462" t="str">
        <f t="shared" si="16"/>
        <v>llll</v>
      </c>
      <c r="H462" t="str">
        <f>[1]!SplitText(A462,"(",1)</f>
        <v xml:space="preserve">  .clear</v>
      </c>
    </row>
    <row r="463" spans="1:8" ht="26.25" thickBot="1">
      <c r="A463" s="145" t="s">
        <v>6024</v>
      </c>
      <c r="B463" s="5" t="s">
        <v>6006</v>
      </c>
      <c r="C463" s="6" t="s">
        <v>6025</v>
      </c>
      <c r="G463" t="str">
        <f t="shared" si="16"/>
        <v>llll</v>
      </c>
      <c r="H463" t="str">
        <f>[1]!SplitText(A463,"(",1)</f>
        <v xml:space="preserve">  .getCurrent</v>
      </c>
    </row>
    <row r="464" spans="1:8" ht="17.25" thickBot="1">
      <c r="A464" s="145" t="s">
        <v>6026</v>
      </c>
      <c r="B464" s="5" t="s">
        <v>6006</v>
      </c>
      <c r="C464" s="6" t="s">
        <v>6027</v>
      </c>
      <c r="G464" t="str">
        <f t="shared" si="16"/>
        <v>llll</v>
      </c>
      <c r="H464" t="str">
        <f>[1]!SplitText(A464,"(",1)</f>
        <v xml:space="preserve">  .getAll</v>
      </c>
    </row>
    <row r="465" spans="1:8" ht="30.75" thickBot="1">
      <c r="A465" s="145" t="s">
        <v>6028</v>
      </c>
      <c r="B465" s="5" t="s">
        <v>6029</v>
      </c>
      <c r="C465" s="6" t="s">
        <v>6030</v>
      </c>
      <c r="G465" t="str">
        <f t="shared" si="16"/>
        <v>llll</v>
      </c>
      <c r="H465" t="str">
        <f>[1]!SplitText(A465,"(",1)</f>
        <v xml:space="preserve">  .setCurrent</v>
      </c>
    </row>
    <row r="466" spans="1:8" ht="26.25" thickBot="1">
      <c r="A466" s="145" t="s">
        <v>6031</v>
      </c>
      <c r="B466" s="111" t="s">
        <v>5265</v>
      </c>
      <c r="C466" s="6" t="s">
        <v>6032</v>
      </c>
      <c r="G466" t="str">
        <f t="shared" ref="G466:G496" si="17">IF(ISERROR(SEARCH("table 2:",A466&amp;B466&amp;C466&amp;D466&amp;E466&amp;F466,1)*1),"llll","o")</f>
        <v>llll</v>
      </c>
      <c r="H466" t="str">
        <f>[1]!SplitText(A466,"(",1)</f>
        <v xml:space="preserve">  .isValid</v>
      </c>
    </row>
    <row r="467" spans="1:8" ht="26.25" thickBot="1">
      <c r="A467" s="145" t="s">
        <v>6033</v>
      </c>
      <c r="B467" s="111" t="s">
        <v>5696</v>
      </c>
      <c r="C467" s="6" t="s">
        <v>6034</v>
      </c>
      <c r="G467" t="str">
        <f t="shared" si="17"/>
        <v>llll</v>
      </c>
      <c r="H467" t="str">
        <f>[1]!SplitText(A467,"(",1)</f>
        <v xml:space="preserve">  selected</v>
      </c>
    </row>
    <row r="468" spans="1:8" ht="45">
      <c r="A468" s="176" t="s">
        <v>6035</v>
      </c>
      <c r="B468" s="179" t="s">
        <v>5265</v>
      </c>
      <c r="C468" s="7" t="s">
        <v>6036</v>
      </c>
      <c r="G468" t="str">
        <f t="shared" si="17"/>
        <v>llll</v>
      </c>
      <c r="H468" t="str">
        <f>[1]!SplitText(A468,"(",1)</f>
        <v xml:space="preserve">  .isSelectable</v>
      </c>
    </row>
    <row r="469" spans="1:8" ht="45.75" thickBot="1">
      <c r="A469" s="145" t="s">
        <v>6037</v>
      </c>
      <c r="B469" s="111" t="s">
        <v>5265</v>
      </c>
      <c r="C469" s="6" t="s">
        <v>6038</v>
      </c>
      <c r="G469" t="str">
        <f t="shared" si="17"/>
        <v>llll</v>
      </c>
      <c r="H469" t="str">
        <f>[1]!SplitText(A469,"(",1)</f>
        <v xml:space="preserve">  .isModifiable</v>
      </c>
    </row>
    <row r="470" spans="1:8" ht="45.75" thickBot="1">
      <c r="A470" s="145" t="s">
        <v>6039</v>
      </c>
      <c r="B470" s="111" t="s">
        <v>5265</v>
      </c>
      <c r="C470" s="6" t="s">
        <v>6040</v>
      </c>
      <c r="G470" t="str">
        <f t="shared" si="17"/>
        <v>llll</v>
      </c>
      <c r="H470" t="str">
        <f>[1]!SplitText(A470,"(",1)</f>
        <v xml:space="preserve">  .inSelection</v>
      </c>
    </row>
    <row r="471" spans="1:8" ht="30.75" thickBot="1">
      <c r="A471" s="145" t="s">
        <v>6041</v>
      </c>
      <c r="B471" s="111" t="s">
        <v>6042</v>
      </c>
      <c r="C471" s="6" t="s">
        <v>6043</v>
      </c>
      <c r="G471" t="str">
        <f t="shared" si="17"/>
        <v>llll</v>
      </c>
      <c r="H471" t="str">
        <f>[1]!SplitText(A471,"(",1)</f>
        <v xml:space="preserve">   ancestors</v>
      </c>
    </row>
    <row r="472" spans="1:8" ht="17.25" thickBot="1">
      <c r="A472" s="145" t="s">
        <v>6044</v>
      </c>
      <c r="B472" s="111" t="s">
        <v>6042</v>
      </c>
      <c r="C472" s="5" t="s">
        <v>6045</v>
      </c>
      <c r="G472" t="str">
        <f t="shared" si="17"/>
        <v>llll</v>
      </c>
      <c r="H472" t="str">
        <f>[1]!SplitText(A472,"(",1)</f>
        <v xml:space="preserve">   getSelection</v>
      </c>
    </row>
    <row r="473" spans="1:8" ht="17.25" thickBot="1">
      <c r="A473" s="115" t="s">
        <v>2720</v>
      </c>
      <c r="B473" s="115" t="s">
        <v>2721</v>
      </c>
      <c r="G473" t="str">
        <f t="shared" si="17"/>
        <v>llll</v>
      </c>
      <c r="H473" t="str">
        <f>[1]!SplitText(A473,"(",1)</f>
        <v>2.5.28</v>
      </c>
    </row>
    <row r="474" spans="1:8" ht="17.25" thickBot="1">
      <c r="A474" s="102" t="s">
        <v>1591</v>
      </c>
      <c r="B474" s="103" t="s">
        <v>1592</v>
      </c>
      <c r="C474" s="103" t="s">
        <v>1593</v>
      </c>
      <c r="G474" t="str">
        <f t="shared" si="17"/>
        <v>llll</v>
      </c>
      <c r="H474" t="str">
        <f>[1]!SplitText(A474,"(",1)</f>
        <v>Name</v>
      </c>
    </row>
    <row r="475" spans="1:8" ht="39" thickBot="1">
      <c r="A475" s="104" t="s">
        <v>6046</v>
      </c>
      <c r="B475" s="5" t="s">
        <v>6006</v>
      </c>
      <c r="C475" s="6" t="s">
        <v>6047</v>
      </c>
      <c r="G475" t="str">
        <f t="shared" si="17"/>
        <v>llll</v>
      </c>
      <c r="H475" t="str">
        <f>[1]!SplitText(A475,"(",1)</f>
        <v xml:space="preserve">  .idlist</v>
      </c>
    </row>
    <row r="476" spans="1:8" ht="51.75" thickBot="1">
      <c r="A476" s="145" t="s">
        <v>6048</v>
      </c>
      <c r="B476" s="5" t="s">
        <v>6006</v>
      </c>
      <c r="C476" s="6" t="s">
        <v>6049</v>
      </c>
      <c r="G476" t="str">
        <f t="shared" si="17"/>
        <v>llll</v>
      </c>
      <c r="H476" t="str">
        <f>[1]!SplitText(A476,"(",1)</f>
        <v xml:space="preserve">  .add </v>
      </c>
    </row>
    <row r="477" spans="1:8" ht="26.25" thickBot="1">
      <c r="A477" s="145" t="s">
        <v>6050</v>
      </c>
      <c r="B477" s="5" t="s">
        <v>6006</v>
      </c>
      <c r="C477" s="6" t="s">
        <v>6051</v>
      </c>
      <c r="G477" t="str">
        <f t="shared" si="17"/>
        <v>llll</v>
      </c>
      <c r="H477" t="str">
        <f>[1]!SplitText(A477,"(",1)</f>
        <v xml:space="preserve">  .add </v>
      </c>
    </row>
    <row r="478" spans="1:8" ht="39" thickBot="1">
      <c r="A478" s="145" t="s">
        <v>6052</v>
      </c>
      <c r="B478" s="5" t="s">
        <v>6006</v>
      </c>
      <c r="C478" s="6" t="s">
        <v>6053</v>
      </c>
      <c r="G478" t="str">
        <f t="shared" si="17"/>
        <v>llll</v>
      </c>
      <c r="H478" t="str">
        <f>[1]!SplitText(A478,"(",1)</f>
        <v xml:space="preserve">  .remove </v>
      </c>
    </row>
    <row r="479" spans="1:8" ht="30.75" thickBot="1">
      <c r="A479" s="145" t="s">
        <v>6054</v>
      </c>
      <c r="B479" s="5" t="s">
        <v>6006</v>
      </c>
      <c r="C479" s="6" t="s">
        <v>6055</v>
      </c>
      <c r="G479" t="str">
        <f t="shared" si="17"/>
        <v>llll</v>
      </c>
      <c r="H479" t="str">
        <f>[1]!SplitText(A479,"(",1)</f>
        <v xml:space="preserve">  .remove </v>
      </c>
    </row>
    <row r="480" spans="1:8" ht="30.75" thickBot="1">
      <c r="A480" s="145" t="s">
        <v>6056</v>
      </c>
      <c r="B480" s="5" t="s">
        <v>5265</v>
      </c>
      <c r="C480" s="6" t="s">
        <v>6057</v>
      </c>
      <c r="G480" t="str">
        <f t="shared" si="17"/>
        <v>llll</v>
      </c>
      <c r="H480" t="str">
        <f>[1]!SplitText(A480,"(",1)</f>
        <v xml:space="preserve">  .copy</v>
      </c>
    </row>
    <row r="481" spans="1:8" ht="17.25" thickBot="1">
      <c r="A481" s="145" t="s">
        <v>6022</v>
      </c>
      <c r="B481" s="5" t="s">
        <v>6006</v>
      </c>
      <c r="C481" s="5" t="s">
        <v>6058</v>
      </c>
      <c r="G481" t="str">
        <f t="shared" si="17"/>
        <v>llll</v>
      </c>
      <c r="H481" t="str">
        <f>[1]!SplitText(A481,"(",1)</f>
        <v xml:space="preserve">  .clear</v>
      </c>
    </row>
    <row r="482" spans="1:8" ht="25.5">
      <c r="A482" s="176" t="s">
        <v>6059</v>
      </c>
      <c r="B482" s="8" t="s">
        <v>6060</v>
      </c>
      <c r="C482" s="8" t="s">
        <v>6061</v>
      </c>
      <c r="G482" t="str">
        <f t="shared" si="17"/>
        <v>llll</v>
      </c>
      <c r="H482" t="str">
        <f>[1]!SplitText(A482,"(",1)</f>
        <v xml:space="preserve">  query</v>
      </c>
    </row>
    <row r="483" spans="1:8" ht="17.25" thickBot="1">
      <c r="A483" s="115" t="s">
        <v>2745</v>
      </c>
      <c r="B483" s="115" t="s">
        <v>2746</v>
      </c>
      <c r="G483" t="str">
        <f t="shared" si="17"/>
        <v>llll</v>
      </c>
      <c r="H483" t="str">
        <f>[1]!SplitText(A483,"(",1)</f>
        <v>2.5.30</v>
      </c>
    </row>
    <row r="484" spans="1:8" ht="17.25" thickBot="1">
      <c r="A484" s="92" t="s">
        <v>5042</v>
      </c>
      <c r="B484" s="8" t="s">
        <v>5043</v>
      </c>
      <c r="C484" s="91" t="s">
        <v>5044</v>
      </c>
      <c r="G484" t="str">
        <f t="shared" si="17"/>
        <v>llll</v>
      </c>
      <c r="H484" t="str">
        <f>[1]!SplitText(A484,"(",1)</f>
        <v xml:space="preserve"> StartPosition </v>
      </c>
    </row>
    <row r="485" spans="1:8">
      <c r="A485" s="92" t="s">
        <v>5032</v>
      </c>
      <c r="B485" s="8" t="s">
        <v>4893</v>
      </c>
      <c r="C485" s="91" t="s">
        <v>4937</v>
      </c>
      <c r="G485" t="str">
        <f t="shared" si="17"/>
        <v>llll</v>
      </c>
      <c r="H485" t="str">
        <f>[1]!SplitText(A485,"(",1)</f>
        <v xml:space="preserve"> EndPosition </v>
      </c>
    </row>
    <row r="486" spans="1:8" ht="41.25" thickBot="1">
      <c r="A486" s="4" t="s">
        <v>4938</v>
      </c>
      <c r="B486" s="5" t="s">
        <v>4934</v>
      </c>
      <c r="C486" s="6" t="s">
        <v>4939</v>
      </c>
      <c r="G486" t="str">
        <f t="shared" si="17"/>
        <v>llll</v>
      </c>
      <c r="H486" t="str">
        <f>[1]!SplitText(A486,"(",1)</f>
        <v xml:space="preserve"> Line</v>
      </c>
    </row>
    <row r="487" spans="1:8" ht="17.25" thickBot="1">
      <c r="A487" s="4" t="s">
        <v>4930</v>
      </c>
      <c r="B487" s="5" t="s">
        <v>4894</v>
      </c>
      <c r="C487" s="5" t="s">
        <v>4940</v>
      </c>
      <c r="G487" t="str">
        <f t="shared" si="17"/>
        <v>llll</v>
      </c>
      <c r="H487" t="str">
        <f>[1]!SplitText(A487,"(",1)</f>
        <v xml:space="preserve"> String</v>
      </c>
    </row>
    <row r="488" spans="1:8" ht="17.25" thickBot="1">
      <c r="A488" s="4" t="s">
        <v>4941</v>
      </c>
      <c r="B488" s="6" t="s">
        <v>4931</v>
      </c>
      <c r="C488" s="6" t="s">
        <v>4942</v>
      </c>
      <c r="G488" t="str">
        <f t="shared" si="17"/>
        <v>llll</v>
      </c>
      <c r="H488" t="str">
        <f>[1]!SplitText(A488,"(",1)</f>
        <v xml:space="preserve"> Direction</v>
      </c>
    </row>
    <row r="489" spans="1:8" ht="27.75" thickBot="1">
      <c r="A489" s="4" t="s">
        <v>4943</v>
      </c>
      <c r="B489" s="5" t="s">
        <v>4934</v>
      </c>
      <c r="C489" s="6" t="s">
        <v>4944</v>
      </c>
      <c r="G489" t="str">
        <f t="shared" si="17"/>
        <v>llll</v>
      </c>
      <c r="H489" t="str">
        <f>[1]!SplitText(A489,"(",1)</f>
        <v xml:space="preserve"> Direction</v>
      </c>
    </row>
    <row r="490" spans="1:8" ht="17.25" thickBot="1">
      <c r="A490" s="4" t="s">
        <v>4945</v>
      </c>
      <c r="B490" s="5" t="s">
        <v>4889</v>
      </c>
      <c r="C490" s="6" t="s">
        <v>4946</v>
      </c>
      <c r="G490" t="str">
        <f t="shared" si="17"/>
        <v>llll</v>
      </c>
      <c r="H490" t="str">
        <f>[1]!SplitText(A490,"(",1)</f>
        <v xml:space="preserve"> On</v>
      </c>
    </row>
    <row r="491" spans="1:8" ht="27.75" thickBot="1">
      <c r="A491" s="4" t="s">
        <v>4947</v>
      </c>
      <c r="B491" s="5" t="s">
        <v>4889</v>
      </c>
      <c r="C491" s="6" t="s">
        <v>4948</v>
      </c>
      <c r="G491" t="str">
        <f t="shared" si="17"/>
        <v>llll</v>
      </c>
      <c r="H491" t="str">
        <f>[1]!SplitText(A491,"(",1)</f>
        <v xml:space="preserve"> On</v>
      </c>
    </row>
    <row r="492" spans="1:8" ht="41.25" thickBot="1">
      <c r="A492" s="4" t="s">
        <v>4949</v>
      </c>
      <c r="B492" s="5" t="s">
        <v>4889</v>
      </c>
      <c r="C492" s="6" t="s">
        <v>4950</v>
      </c>
      <c r="G492" t="str">
        <f t="shared" si="17"/>
        <v>llll</v>
      </c>
      <c r="H492" t="str">
        <f>[1]!SplitText(A492,"(",1)</f>
        <v xml:space="preserve"> OnProjected</v>
      </c>
    </row>
    <row r="493" spans="1:8" ht="27.75" thickBot="1">
      <c r="A493" s="92" t="s">
        <v>5024</v>
      </c>
      <c r="B493" s="91" t="s">
        <v>5025</v>
      </c>
      <c r="C493" s="7" t="s">
        <v>5045</v>
      </c>
      <c r="G493" t="str">
        <f t="shared" si="17"/>
        <v>llll</v>
      </c>
      <c r="H493" t="str">
        <f>[1]!SplitText(A493,"(",1)</f>
        <v xml:space="preserve"> Intersection</v>
      </c>
    </row>
    <row r="494" spans="1:8" ht="40.5">
      <c r="A494" s="96" t="s">
        <v>4951</v>
      </c>
      <c r="B494" s="91" t="s">
        <v>5046</v>
      </c>
      <c r="C494" s="91" t="s">
        <v>5026</v>
      </c>
      <c r="G494" t="str">
        <f t="shared" si="17"/>
        <v>llll</v>
      </c>
      <c r="H494" t="str">
        <f>[1]!SplitText(A494,"(",1)</f>
        <v xml:space="preserve"> Intersection</v>
      </c>
    </row>
    <row r="495" spans="1:8" ht="27.75" thickBot="1">
      <c r="A495" s="4" t="s">
        <v>4952</v>
      </c>
      <c r="B495" s="5" t="s">
        <v>4934</v>
      </c>
      <c r="C495" s="6" t="s">
        <v>4953</v>
      </c>
      <c r="G495" t="str">
        <f t="shared" si="17"/>
        <v>llll</v>
      </c>
      <c r="H495" t="str">
        <f>[1]!SplitText(A495,"(",1)</f>
        <v xml:space="preserve"> Intersection</v>
      </c>
    </row>
    <row r="496" spans="1:8" ht="27">
      <c r="A496" s="92" t="s">
        <v>5033</v>
      </c>
      <c r="B496" s="7" t="s">
        <v>5027</v>
      </c>
      <c r="C496" s="91" t="s">
        <v>5034</v>
      </c>
      <c r="G496" t="str">
        <f t="shared" si="17"/>
        <v>llll</v>
      </c>
      <c r="H496" t="str">
        <f>[1]!SplitText(A496,"(",1)</f>
        <v xml:space="preserve"> Intersections</v>
      </c>
    </row>
    <row r="497" spans="1:8" ht="27.75" thickBot="1">
      <c r="A497" s="4" t="s">
        <v>4954</v>
      </c>
      <c r="B497" s="5" t="s">
        <v>4890</v>
      </c>
      <c r="C497" s="6" t="s">
        <v>4955</v>
      </c>
      <c r="G497" t="str">
        <f t="shared" ref="G497:G534" si="18">IF(ISERROR(SEARCH("table 2:",A497&amp;B497&amp;C497&amp;D497&amp;E497&amp;F497,1)*1),"llll","o")</f>
        <v>llll</v>
      </c>
      <c r="H497" t="str">
        <f>[1]!SplitText(A497,"(",1)</f>
        <v xml:space="preserve"> Near</v>
      </c>
    </row>
    <row r="498" spans="1:8" ht="38.25">
      <c r="A498" s="92" t="s">
        <v>5047</v>
      </c>
      <c r="B498" s="91" t="s">
        <v>5035</v>
      </c>
      <c r="C498" s="7" t="s">
        <v>5036</v>
      </c>
      <c r="G498" t="str">
        <f t="shared" si="18"/>
        <v>llll</v>
      </c>
      <c r="H498" t="str">
        <f>[1]!SplitText(A498,"(",1)</f>
        <v xml:space="preserve"> Proportion</v>
      </c>
    </row>
    <row r="499" spans="1:8" ht="17.25" thickBot="1">
      <c r="A499" s="4" t="s">
        <v>4891</v>
      </c>
      <c r="B499" s="5" t="s">
        <v>4888</v>
      </c>
      <c r="C499" s="6" t="s">
        <v>4956</v>
      </c>
      <c r="G499" t="str">
        <f t="shared" si="18"/>
        <v>llll</v>
      </c>
      <c r="H499" t="str">
        <f>[1]!SplitText(A499,"(",1)</f>
        <v xml:space="preserve"> Length</v>
      </c>
    </row>
    <row r="500" spans="1:8" ht="27.75" thickBot="1">
      <c r="A500" s="4" t="s">
        <v>4957</v>
      </c>
      <c r="B500" s="5" t="s">
        <v>4888</v>
      </c>
      <c r="C500" s="6" t="s">
        <v>4958</v>
      </c>
      <c r="G500" t="str">
        <f t="shared" si="18"/>
        <v>llll</v>
      </c>
      <c r="H500" t="str">
        <f>[1]!SplitText(A500,"(",1)</f>
        <v xml:space="preserve"> Distance</v>
      </c>
    </row>
    <row r="501" spans="1:8" ht="27.75" thickBot="1">
      <c r="A501" s="4" t="s">
        <v>4959</v>
      </c>
      <c r="B501" s="5" t="s">
        <v>4888</v>
      </c>
      <c r="C501" s="6" t="s">
        <v>4960</v>
      </c>
      <c r="G501" t="str">
        <f t="shared" si="18"/>
        <v>llll</v>
      </c>
      <c r="H501" t="str">
        <f>[1]!SplitText(A501,"(",1)</f>
        <v xml:space="preserve"> Distance</v>
      </c>
    </row>
    <row r="502" spans="1:8" ht="26.25" thickBot="1">
      <c r="A502" s="92" t="s">
        <v>4892</v>
      </c>
      <c r="B502" s="91" t="s">
        <v>5048</v>
      </c>
      <c r="C502" s="7" t="s">
        <v>5049</v>
      </c>
      <c r="G502" t="str">
        <f t="shared" si="18"/>
        <v>llll</v>
      </c>
      <c r="H502" t="str">
        <f>[1]!SplitText(A502,"(",1)</f>
        <v xml:space="preserve"> Plane</v>
      </c>
    </row>
    <row r="503" spans="1:8" ht="25.5">
      <c r="A503" s="92" t="s">
        <v>5038</v>
      </c>
      <c r="B503" s="91" t="s">
        <v>5050</v>
      </c>
      <c r="C503" s="7" t="s">
        <v>5051</v>
      </c>
      <c r="G503" t="str">
        <f t="shared" si="18"/>
        <v>llll</v>
      </c>
      <c r="H503" t="str">
        <f>[1]!SplitText(A503,"(",1)</f>
        <v xml:space="preserve"> Pointvector</v>
      </c>
    </row>
    <row r="504" spans="1:8" ht="27.75" thickBot="1">
      <c r="A504" s="4" t="s">
        <v>4961</v>
      </c>
      <c r="B504" s="5" t="s">
        <v>4934</v>
      </c>
      <c r="C504" s="6" t="s">
        <v>4962</v>
      </c>
      <c r="G504" t="str">
        <f t="shared" si="18"/>
        <v>llll</v>
      </c>
      <c r="H504" t="str">
        <f>[1]!SplitText(A504,"(",1)</f>
        <v xml:space="preserve"> SetLengthStart</v>
      </c>
    </row>
    <row r="505" spans="1:8" ht="27.75" thickBot="1">
      <c r="A505" s="4" t="s">
        <v>4963</v>
      </c>
      <c r="B505" s="5" t="s">
        <v>4934</v>
      </c>
      <c r="C505" s="6" t="s">
        <v>4964</v>
      </c>
      <c r="G505" t="str">
        <f t="shared" si="18"/>
        <v>llll</v>
      </c>
      <c r="H505" t="str">
        <f>[1]!SplitText(A505,"(",1)</f>
        <v xml:space="preserve"> SetLengthEnd</v>
      </c>
    </row>
    <row r="506" spans="1:8" ht="38.25">
      <c r="A506" s="92" t="s">
        <v>4965</v>
      </c>
      <c r="B506" s="91" t="s">
        <v>4935</v>
      </c>
      <c r="C506" s="7" t="s">
        <v>5052</v>
      </c>
      <c r="G506" t="str">
        <f t="shared" si="18"/>
        <v>llll</v>
      </c>
      <c r="H506" t="str">
        <f>[1]!SplitText(A506,"(",1)</f>
        <v xml:space="preserve"> Towards</v>
      </c>
    </row>
    <row r="507" spans="1:8" ht="27.75" thickBot="1">
      <c r="A507" s="4" t="s">
        <v>4967</v>
      </c>
      <c r="B507" s="5" t="s">
        <v>4934</v>
      </c>
      <c r="C507" s="6" t="s">
        <v>4968</v>
      </c>
      <c r="G507" t="str">
        <f t="shared" si="18"/>
        <v>llll</v>
      </c>
      <c r="H507" t="str">
        <f>[1]!SplitText(A507,"(",1)</f>
        <v xml:space="preserve"> From</v>
      </c>
    </row>
    <row r="508" spans="1:8" ht="27.75" thickBot="1">
      <c r="A508" s="4" t="s">
        <v>4969</v>
      </c>
      <c r="B508" s="5" t="s">
        <v>4934</v>
      </c>
      <c r="C508" s="6" t="s">
        <v>4970</v>
      </c>
      <c r="G508" t="str">
        <f t="shared" si="18"/>
        <v>llll</v>
      </c>
      <c r="H508" t="str">
        <f>[1]!SplitText(A508,"(",1)</f>
        <v xml:space="preserve"> To</v>
      </c>
    </row>
    <row r="509" spans="1:8" ht="27.75" thickBot="1">
      <c r="A509" s="4" t="s">
        <v>4971</v>
      </c>
      <c r="B509" s="5" t="s">
        <v>4934</v>
      </c>
      <c r="C509" s="6" t="s">
        <v>4972</v>
      </c>
      <c r="G509" t="str">
        <f t="shared" si="18"/>
        <v>llll</v>
      </c>
      <c r="H509" t="str">
        <f>[1]!SplitText(A509,"(",1)</f>
        <v xml:space="preserve"> ExtendStart</v>
      </c>
    </row>
    <row r="510" spans="1:8" ht="27.75" thickBot="1">
      <c r="A510" s="4" t="s">
        <v>4973</v>
      </c>
      <c r="B510" s="5" t="s">
        <v>4934</v>
      </c>
      <c r="C510" s="6" t="s">
        <v>4974</v>
      </c>
      <c r="G510" t="str">
        <f t="shared" si="18"/>
        <v>llll</v>
      </c>
      <c r="H510" t="str">
        <f>[1]!SplitText(A510,"(",1)</f>
        <v xml:space="preserve"> ExtendEnd</v>
      </c>
    </row>
    <row r="511" spans="1:8" ht="27.75" thickBot="1">
      <c r="A511" s="4" t="s">
        <v>4975</v>
      </c>
      <c r="B511" s="5" t="s">
        <v>4934</v>
      </c>
      <c r="C511" s="6" t="s">
        <v>4976</v>
      </c>
      <c r="G511" t="str">
        <f t="shared" si="18"/>
        <v>llll</v>
      </c>
      <c r="H511" t="str">
        <f>[1]!SplitText(A511,"(",1)</f>
        <v xml:space="preserve"> ExtendStart</v>
      </c>
    </row>
    <row r="512" spans="1:8" ht="27.75" thickBot="1">
      <c r="A512" s="4" t="s">
        <v>4977</v>
      </c>
      <c r="B512" s="5" t="s">
        <v>4934</v>
      </c>
      <c r="C512" s="6" t="s">
        <v>4978</v>
      </c>
      <c r="G512" t="str">
        <f t="shared" si="18"/>
        <v>llll</v>
      </c>
      <c r="H512" t="str">
        <f>[1]!SplitText(A512,"(",1)</f>
        <v xml:space="preserve"> ExtendEnd</v>
      </c>
    </row>
    <row r="513" spans="1:8" ht="25.5">
      <c r="A513" s="92" t="s">
        <v>5053</v>
      </c>
      <c r="B513" s="91" t="s">
        <v>4966</v>
      </c>
      <c r="C513" s="7" t="s">
        <v>5054</v>
      </c>
      <c r="G513" t="str">
        <f t="shared" si="18"/>
        <v>llll</v>
      </c>
      <c r="H513" t="str">
        <f>[1]!SplitText(A513,"(",1)</f>
        <v xml:space="preserve"> ReverseSense</v>
      </c>
    </row>
    <row r="514" spans="1:8" ht="27.75" thickBot="1">
      <c r="A514" s="4" t="s">
        <v>4979</v>
      </c>
      <c r="B514" s="5" t="s">
        <v>4934</v>
      </c>
      <c r="C514" s="6" t="s">
        <v>4980</v>
      </c>
      <c r="G514" t="str">
        <f t="shared" si="18"/>
        <v>llll</v>
      </c>
      <c r="H514" t="str">
        <f>[1]!SplitText(A514,"(",1)</f>
        <v xml:space="preserve"> Projected</v>
      </c>
    </row>
    <row r="515" spans="1:8" ht="27.75" thickBot="1">
      <c r="A515" s="4" t="s">
        <v>4981</v>
      </c>
      <c r="B515" s="5" t="s">
        <v>4934</v>
      </c>
      <c r="C515" s="6" t="s">
        <v>4982</v>
      </c>
      <c r="G515" t="str">
        <f t="shared" si="18"/>
        <v>llll</v>
      </c>
      <c r="H515" t="str">
        <f>[1]!SplitText(A515,"(",1)</f>
        <v xml:space="preserve"> Parallel</v>
      </c>
    </row>
    <row r="516" spans="1:8" ht="41.25" thickBot="1">
      <c r="A516" s="4" t="s">
        <v>4983</v>
      </c>
      <c r="B516" s="5" t="s">
        <v>4934</v>
      </c>
      <c r="C516" s="6" t="s">
        <v>4984</v>
      </c>
      <c r="G516" t="str">
        <f t="shared" si="18"/>
        <v>llll</v>
      </c>
      <c r="H516" t="str">
        <f>[1]!SplitText(A516,"(",1)</f>
        <v xml:space="preserve"> Offset</v>
      </c>
    </row>
    <row r="517" spans="1:8" ht="26.25" thickBot="1">
      <c r="A517" s="4" t="s">
        <v>4985</v>
      </c>
      <c r="B517" s="5" t="s">
        <v>4934</v>
      </c>
      <c r="C517" s="6" t="s">
        <v>4986</v>
      </c>
      <c r="G517" t="str">
        <f t="shared" si="18"/>
        <v>llll</v>
      </c>
      <c r="H517" t="str">
        <f>[1]!SplitText(A517,"(",1)</f>
        <v xml:space="preserve"> Overlap</v>
      </c>
    </row>
    <row r="518" spans="1:8" ht="26.25" thickBot="1">
      <c r="A518" s="4" t="s">
        <v>4987</v>
      </c>
      <c r="B518" s="5" t="s">
        <v>4934</v>
      </c>
      <c r="C518" s="6" t="s">
        <v>4988</v>
      </c>
      <c r="G518" t="str">
        <f t="shared" si="18"/>
        <v>llll</v>
      </c>
      <c r="H518" t="str">
        <f>[1]!SplitText(A518,"(",1)</f>
        <v xml:space="preserve"> Union</v>
      </c>
    </row>
    <row r="519" spans="1:8" ht="17.25" thickBot="1">
      <c r="A519" s="115" t="s">
        <v>2863</v>
      </c>
      <c r="B519" s="115" t="s">
        <v>2864</v>
      </c>
      <c r="G519" t="str">
        <f t="shared" si="18"/>
        <v>llll</v>
      </c>
      <c r="H519" t="str">
        <f>[1]!SplitText(A519,"(",1)</f>
        <v>2.5.31</v>
      </c>
    </row>
    <row r="520" spans="1:8" ht="17.25" thickBot="1">
      <c r="A520" s="102" t="s">
        <v>1591</v>
      </c>
      <c r="B520" s="103" t="s">
        <v>1635</v>
      </c>
      <c r="C520" s="103" t="s">
        <v>1593</v>
      </c>
      <c r="G520" t="str">
        <f t="shared" si="18"/>
        <v>llll</v>
      </c>
      <c r="H520" t="str">
        <f>[1]!SplitText(A520,"(",1)</f>
        <v>Name</v>
      </c>
    </row>
    <row r="521" spans="1:8">
      <c r="A521" s="92" t="s">
        <v>5182</v>
      </c>
      <c r="B521" s="8" t="s">
        <v>5183</v>
      </c>
      <c r="C521" s="91" t="s">
        <v>6062</v>
      </c>
      <c r="G521" t="str">
        <f t="shared" si="18"/>
        <v>llll</v>
      </c>
      <c r="H521" t="str">
        <f>[1]!SplitText(A521,"(",1)</f>
        <v xml:space="preserve">  Position </v>
      </c>
    </row>
    <row r="522" spans="1:8" ht="17.25" thickBot="1">
      <c r="A522" s="4" t="s">
        <v>6063</v>
      </c>
      <c r="B522" s="5" t="s">
        <v>5180</v>
      </c>
      <c r="C522" s="5" t="s">
        <v>6064</v>
      </c>
      <c r="G522" t="str">
        <f t="shared" si="18"/>
        <v>llll</v>
      </c>
      <c r="H522" t="str">
        <f>[1]!SplitText(A522,"(",1)</f>
        <v xml:space="preserve">  Orientation</v>
      </c>
    </row>
    <row r="523" spans="1:8" ht="17.25" thickBot="1">
      <c r="A523" s="4" t="s">
        <v>6065</v>
      </c>
      <c r="B523" s="5" t="s">
        <v>5186</v>
      </c>
      <c r="C523" s="5" t="s">
        <v>6066</v>
      </c>
      <c r="G523" t="str">
        <f t="shared" si="18"/>
        <v>llll</v>
      </c>
      <c r="H523" t="str">
        <f>[1]!SplitText(A523,"(",1)</f>
        <v xml:space="preserve">  XSpacing</v>
      </c>
    </row>
    <row r="524" spans="1:8" ht="17.25" thickBot="1">
      <c r="A524" s="4" t="s">
        <v>6067</v>
      </c>
      <c r="B524" s="5" t="s">
        <v>5186</v>
      </c>
      <c r="C524" s="5" t="s">
        <v>6068</v>
      </c>
      <c r="G524" t="str">
        <f t="shared" si="18"/>
        <v>llll</v>
      </c>
      <c r="H524" t="str">
        <f>[1]!SplitText(A524,"(",1)</f>
        <v xml:space="preserve">  YSpacing </v>
      </c>
    </row>
    <row r="525" spans="1:8" ht="54">
      <c r="A525" s="96" t="s">
        <v>6069</v>
      </c>
      <c r="B525" s="91" t="s">
        <v>6070</v>
      </c>
      <c r="C525" s="91" t="s">
        <v>6071</v>
      </c>
      <c r="G525" t="str">
        <f t="shared" si="18"/>
        <v>llll</v>
      </c>
      <c r="H525" t="str">
        <f>[1]!SplitText(A525,"(",1)</f>
        <v xml:space="preserve">  Lineargrid</v>
      </c>
    </row>
    <row r="526" spans="1:8" ht="17.25" thickBot="1">
      <c r="A526" s="4" t="s">
        <v>5198</v>
      </c>
      <c r="B526" s="5" t="s">
        <v>5177</v>
      </c>
      <c r="C526" s="5" t="s">
        <v>6072</v>
      </c>
      <c r="G526" t="str">
        <f t="shared" si="18"/>
        <v>llll</v>
      </c>
      <c r="H526" t="str">
        <f>[1]!SplitText(A526,"(",1)</f>
        <v xml:space="preserve">  String</v>
      </c>
    </row>
    <row r="527" spans="1:8" ht="39" thickBot="1">
      <c r="A527" s="4" t="s">
        <v>6073</v>
      </c>
      <c r="B527" s="5" t="s">
        <v>5220</v>
      </c>
      <c r="C527" s="6" t="s">
        <v>6074</v>
      </c>
      <c r="G527" t="str">
        <f t="shared" si="18"/>
        <v>llll</v>
      </c>
      <c r="H527" t="str">
        <f>[1]!SplitText(A527,"(",1)</f>
        <v xml:space="preserve">  GridPoint</v>
      </c>
    </row>
    <row r="528" spans="1:8" ht="26.25" thickBot="1">
      <c r="A528" s="4" t="s">
        <v>6075</v>
      </c>
      <c r="B528" s="5" t="s">
        <v>5220</v>
      </c>
      <c r="C528" s="6" t="s">
        <v>6076</v>
      </c>
      <c r="G528" t="str">
        <f t="shared" si="18"/>
        <v>llll</v>
      </c>
      <c r="H528" t="str">
        <f>[1]!SplitText(A528,"(",1)</f>
        <v xml:space="preserve">  Snap</v>
      </c>
    </row>
    <row r="529" spans="1:8" ht="26.25" thickBot="1">
      <c r="A529" s="4" t="s">
        <v>6077</v>
      </c>
      <c r="B529" s="5" t="s">
        <v>5220</v>
      </c>
      <c r="C529" s="6" t="s">
        <v>6078</v>
      </c>
      <c r="G529" t="str">
        <f t="shared" si="18"/>
        <v>llll</v>
      </c>
      <c r="H529" t="str">
        <f>[1]!SplitText(A529,"(",1)</f>
        <v xml:space="preserve">  Snap</v>
      </c>
    </row>
    <row r="530" spans="1:8" ht="26.25" thickBot="1">
      <c r="A530" s="4" t="s">
        <v>6079</v>
      </c>
      <c r="B530" s="5" t="s">
        <v>5220</v>
      </c>
      <c r="C530" s="6" t="s">
        <v>6080</v>
      </c>
      <c r="G530" t="str">
        <f t="shared" si="18"/>
        <v>llll</v>
      </c>
      <c r="H530" t="str">
        <f>[1]!SplitText(A530,"(",1)</f>
        <v xml:space="preserve">  Snap</v>
      </c>
    </row>
    <row r="531" spans="1:8" ht="41.25" thickBot="1">
      <c r="A531" s="4" t="s">
        <v>6081</v>
      </c>
      <c r="B531" s="5" t="s">
        <v>5220</v>
      </c>
      <c r="C531" s="6" t="s">
        <v>6082</v>
      </c>
      <c r="G531" t="str">
        <f t="shared" si="18"/>
        <v>llll</v>
      </c>
      <c r="H531" t="str">
        <f>[1]!SplitText(A531,"(",1)</f>
        <v xml:space="preserve">  SnaptoCentre</v>
      </c>
    </row>
    <row r="532" spans="1:8" ht="26.25" thickBot="1">
      <c r="A532" s="4" t="s">
        <v>6083</v>
      </c>
      <c r="B532" s="5" t="s">
        <v>5220</v>
      </c>
      <c r="C532" s="6" t="s">
        <v>6084</v>
      </c>
      <c r="G532" t="str">
        <f t="shared" si="18"/>
        <v>llll</v>
      </c>
      <c r="H532" t="str">
        <f>[1]!SplitText(A532,"(",1)</f>
        <v xml:space="preserve">  SnaptoCentre</v>
      </c>
    </row>
    <row r="533" spans="1:8" ht="41.25" thickBot="1">
      <c r="A533" s="4" t="s">
        <v>6085</v>
      </c>
      <c r="B533" s="5" t="s">
        <v>5220</v>
      </c>
      <c r="C533" s="6" t="s">
        <v>6086</v>
      </c>
      <c r="G533" t="str">
        <f t="shared" si="18"/>
        <v>llll</v>
      </c>
      <c r="H533" t="str">
        <f>[1]!SplitText(A533,"(",1)</f>
        <v xml:space="preserve">  SnaptoCentre</v>
      </c>
    </row>
    <row r="534" spans="1:8" ht="17.25" thickBot="1">
      <c r="A534" s="4" t="s">
        <v>6087</v>
      </c>
      <c r="B534" s="5" t="s">
        <v>6088</v>
      </c>
      <c r="C534" s="5" t="s">
        <v>6089</v>
      </c>
      <c r="G534" t="str">
        <f t="shared" si="18"/>
        <v>llll</v>
      </c>
      <c r="H534" t="str">
        <f>[1]!SplitText(A534,"(",1)</f>
        <v xml:space="preserve">  Plane</v>
      </c>
    </row>
    <row r="535" spans="1:8" ht="25.5">
      <c r="A535" s="92" t="s">
        <v>6090</v>
      </c>
      <c r="B535" s="91" t="s">
        <v>6091</v>
      </c>
      <c r="C535" s="7" t="s">
        <v>6092</v>
      </c>
      <c r="G535" t="str">
        <f t="shared" ref="G535:G575" si="19">IF(ISERROR(SEARCH("table 2:",A535&amp;B535&amp;C535&amp;D535&amp;E535&amp;F535,1)*1),"llll","o")</f>
        <v>llll</v>
      </c>
      <c r="H535" t="str">
        <f>[1]!SplitText(A535,"(",1)</f>
        <v xml:space="preserve">  XYOffset</v>
      </c>
    </row>
    <row r="536" spans="1:8" ht="17.25" thickBot="1">
      <c r="A536" s="115" t="s">
        <v>2877</v>
      </c>
      <c r="B536" s="115" t="s">
        <v>2878</v>
      </c>
      <c r="G536" t="str">
        <f t="shared" si="19"/>
        <v>llll</v>
      </c>
      <c r="H536" t="str">
        <f>[1]!SplitText(A536,"(",1)</f>
        <v>2.5.32</v>
      </c>
    </row>
    <row r="537" spans="1:8" ht="17.25" thickBot="1">
      <c r="A537" s="102" t="s">
        <v>1591</v>
      </c>
      <c r="B537" s="103" t="s">
        <v>1635</v>
      </c>
      <c r="C537" s="103" t="s">
        <v>1593</v>
      </c>
      <c r="G537" t="str">
        <f t="shared" si="19"/>
        <v>llll</v>
      </c>
      <c r="H537" t="str">
        <f>[1]!SplitText(A537,"(",1)</f>
        <v>Name</v>
      </c>
    </row>
    <row r="538" spans="1:8" ht="17.25" thickBot="1">
      <c r="A538" s="4" t="s">
        <v>5560</v>
      </c>
      <c r="B538" s="5" t="s">
        <v>5186</v>
      </c>
      <c r="C538" s="6" t="s">
        <v>6093</v>
      </c>
      <c r="G538" t="str">
        <f t="shared" si="19"/>
        <v>llll</v>
      </c>
      <c r="H538" t="str">
        <f>[1]!SplitText(A538,"(",1)</f>
        <v xml:space="preserve">  Val </v>
      </c>
    </row>
    <row r="539" spans="1:8" ht="17.25" thickBot="1">
      <c r="A539" s="92" t="s">
        <v>5560</v>
      </c>
      <c r="B539" s="8" t="s">
        <v>6094</v>
      </c>
      <c r="C539" s="91" t="s">
        <v>6095</v>
      </c>
      <c r="G539" t="str">
        <f t="shared" si="19"/>
        <v>llll</v>
      </c>
      <c r="H539" t="str">
        <f>[1]!SplitText(A539,"(",1)</f>
        <v xml:space="preserve">  Val </v>
      </c>
    </row>
    <row r="540" spans="1:8" ht="17.25" thickBot="1">
      <c r="A540" s="92" t="s">
        <v>6096</v>
      </c>
      <c r="B540" s="8" t="s">
        <v>6097</v>
      </c>
      <c r="C540" s="91" t="s">
        <v>5542</v>
      </c>
      <c r="G540" t="str">
        <f t="shared" si="19"/>
        <v>llll</v>
      </c>
      <c r="H540" t="str">
        <f>[1]!SplitText(A540,"(",1)</f>
        <v xml:space="preserve">  DText </v>
      </c>
    </row>
    <row r="541" spans="1:8">
      <c r="A541" s="92" t="s">
        <v>6098</v>
      </c>
      <c r="B541" s="8" t="s">
        <v>6099</v>
      </c>
      <c r="C541" s="91" t="s">
        <v>6100</v>
      </c>
      <c r="G541" t="str">
        <f t="shared" si="19"/>
        <v>llll</v>
      </c>
      <c r="H541" t="str">
        <f>[1]!SplitText(A541,"(",1)</f>
        <v xml:space="preserve">  DText[n] </v>
      </c>
    </row>
    <row r="542" spans="1:8" ht="17.25" thickBot="1">
      <c r="A542" s="4" t="s">
        <v>6101</v>
      </c>
      <c r="B542" s="5" t="s">
        <v>6102</v>
      </c>
      <c r="C542" s="5" t="s">
        <v>6103</v>
      </c>
      <c r="G542" t="str">
        <f t="shared" si="19"/>
        <v>llll</v>
      </c>
      <c r="H542" t="str">
        <f>[1]!SplitText(A542,"(",1)</f>
        <v xml:space="preserve">  PickedField</v>
      </c>
    </row>
    <row r="543" spans="1:8" ht="17.25" thickBot="1">
      <c r="A543" s="92" t="s">
        <v>6104</v>
      </c>
      <c r="B543" s="8" t="s">
        <v>6097</v>
      </c>
      <c r="C543" s="91" t="s">
        <v>5547</v>
      </c>
      <c r="G543" t="str">
        <f t="shared" si="19"/>
        <v>llll</v>
      </c>
      <c r="H543" t="str">
        <f>[1]!SplitText(A543,"(",1)</f>
        <v xml:space="preserve">  RText </v>
      </c>
    </row>
    <row r="544" spans="1:8" ht="17.25" thickBot="1">
      <c r="A544" s="92" t="s">
        <v>5548</v>
      </c>
      <c r="B544" s="8" t="s">
        <v>6105</v>
      </c>
      <c r="C544" s="91" t="s">
        <v>6106</v>
      </c>
      <c r="G544" t="str">
        <f t="shared" si="19"/>
        <v>llll</v>
      </c>
      <c r="H544" t="str">
        <f>[1]!SplitText(A544,"(",1)</f>
        <v xml:space="preserve">  RText[n] </v>
      </c>
    </row>
    <row r="545" spans="1:8">
      <c r="A545" s="92" t="s">
        <v>5557</v>
      </c>
      <c r="B545" s="8" t="s">
        <v>5558</v>
      </c>
      <c r="C545" s="91" t="s">
        <v>6107</v>
      </c>
      <c r="G545" t="str">
        <f t="shared" si="19"/>
        <v>llll</v>
      </c>
      <c r="H545" t="str">
        <f>[1]!SplitText(A545,"(",1)</f>
        <v xml:space="preserve">  Count </v>
      </c>
    </row>
    <row r="546" spans="1:8" ht="26.25" thickBot="1">
      <c r="A546" s="4" t="s">
        <v>6108</v>
      </c>
      <c r="B546" s="5" t="s">
        <v>5186</v>
      </c>
      <c r="C546" s="6" t="s">
        <v>6109</v>
      </c>
      <c r="G546" t="str">
        <f t="shared" si="19"/>
        <v>llll</v>
      </c>
      <c r="H546" t="str">
        <f>[1]!SplitText(A546,"(",1)</f>
        <v xml:space="preserve">  val</v>
      </c>
    </row>
    <row r="547" spans="1:8" ht="26.25" thickBot="1">
      <c r="A547" s="4" t="s">
        <v>5562</v>
      </c>
      <c r="B547" s="5" t="s">
        <v>5273</v>
      </c>
      <c r="C547" s="6" t="s">
        <v>6110</v>
      </c>
      <c r="G547" t="str">
        <f t="shared" si="19"/>
        <v>llll</v>
      </c>
      <c r="H547" t="str">
        <f>[1]!SplitText(A547,"(",1)</f>
        <v xml:space="preserve">  Add</v>
      </c>
    </row>
    <row r="548" spans="1:8" ht="38.25">
      <c r="A548" s="96" t="s">
        <v>6111</v>
      </c>
      <c r="B548" s="91" t="s">
        <v>5316</v>
      </c>
      <c r="C548" s="91" t="s">
        <v>6112</v>
      </c>
      <c r="G548" t="str">
        <f t="shared" si="19"/>
        <v>llll</v>
      </c>
      <c r="H548" t="str">
        <f>[1]!SplitText(A548,"(",1)</f>
        <v xml:space="preserve">  Add</v>
      </c>
    </row>
    <row r="549" spans="1:8" ht="17.25" thickBot="1">
      <c r="A549" s="4" t="s">
        <v>5388</v>
      </c>
      <c r="B549" s="5" t="s">
        <v>5177</v>
      </c>
      <c r="C549" s="5" t="s">
        <v>6113</v>
      </c>
      <c r="G549" t="str">
        <f t="shared" si="19"/>
        <v>llll</v>
      </c>
      <c r="H549" t="str">
        <f>[1]!SplitText(A549,"(",1)</f>
        <v xml:space="preserve">  FullName</v>
      </c>
    </row>
    <row r="550" spans="1:8" ht="17.25" thickBot="1">
      <c r="A550" s="4" t="s">
        <v>5470</v>
      </c>
      <c r="B550" s="5" t="s">
        <v>5177</v>
      </c>
      <c r="C550" s="5" t="s">
        <v>5570</v>
      </c>
      <c r="G550" t="str">
        <f t="shared" si="19"/>
        <v>llll</v>
      </c>
      <c r="H550" t="str">
        <f>[1]!SplitText(A550,"(",1)</f>
        <v xml:space="preserve">  Name</v>
      </c>
    </row>
    <row r="551" spans="1:8" ht="17.25" thickBot="1">
      <c r="A551" s="4" t="s">
        <v>5396</v>
      </c>
      <c r="B551" s="5" t="s">
        <v>4994</v>
      </c>
      <c r="C551" s="5" t="s">
        <v>5472</v>
      </c>
      <c r="G551" t="str">
        <f t="shared" si="19"/>
        <v>llll</v>
      </c>
      <c r="H551" t="str">
        <f>[1]!SplitText(A551,"(",1)</f>
        <v xml:space="preserve">  Owner</v>
      </c>
    </row>
    <row r="552" spans="1:8" ht="27.75" thickBot="1">
      <c r="A552" s="4" t="s">
        <v>6114</v>
      </c>
      <c r="B552" s="5" t="s">
        <v>5273</v>
      </c>
      <c r="C552" s="6" t="s">
        <v>6115</v>
      </c>
      <c r="G552" t="str">
        <f t="shared" si="19"/>
        <v>llll</v>
      </c>
      <c r="H552" t="str">
        <f>[1]!SplitText(A552,"(",1)</f>
        <v xml:space="preserve">  Select</v>
      </c>
    </row>
    <row r="553" spans="1:8" ht="41.25" thickBot="1">
      <c r="A553" s="4" t="s">
        <v>6116</v>
      </c>
      <c r="B553" s="5" t="s">
        <v>5273</v>
      </c>
      <c r="C553" s="6" t="s">
        <v>6117</v>
      </c>
      <c r="G553" t="str">
        <f t="shared" si="19"/>
        <v>llll</v>
      </c>
      <c r="H553" t="str">
        <f>[1]!SplitText(A553,"(",1)</f>
        <v xml:space="preserve">  Select</v>
      </c>
    </row>
    <row r="554" spans="1:8" ht="17.25" thickBot="1">
      <c r="A554" s="92" t="s">
        <v>6118</v>
      </c>
      <c r="B554" s="91" t="s">
        <v>6119</v>
      </c>
      <c r="C554" s="8" t="s">
        <v>6120</v>
      </c>
      <c r="G554" t="str">
        <f t="shared" si="19"/>
        <v>llll</v>
      </c>
      <c r="H554" t="str">
        <f>[1]!SplitText(A554,"(",1)</f>
        <v xml:space="preserve">  Selection</v>
      </c>
    </row>
    <row r="555" spans="1:8" ht="27">
      <c r="A555" s="92" t="s">
        <v>6121</v>
      </c>
      <c r="B555" s="91" t="s">
        <v>6119</v>
      </c>
      <c r="C555" s="8" t="s">
        <v>6122</v>
      </c>
      <c r="G555" t="str">
        <f t="shared" si="19"/>
        <v>llll</v>
      </c>
      <c r="H555" t="str">
        <f>[1]!SplitText(A555,"(",1)</f>
        <v xml:space="preserve">  Selection</v>
      </c>
    </row>
    <row r="556" spans="1:8" ht="17.25" thickBot="1">
      <c r="A556" s="4" t="s">
        <v>5277</v>
      </c>
      <c r="B556" s="5" t="s">
        <v>5273</v>
      </c>
      <c r="C556" s="5" t="s">
        <v>6123</v>
      </c>
      <c r="G556" t="str">
        <f t="shared" si="19"/>
        <v>llll</v>
      </c>
      <c r="H556" t="str">
        <f>[1]!SplitText(A556,"(",1)</f>
        <v xml:space="preserve">  Clear</v>
      </c>
    </row>
    <row r="557" spans="1:8" ht="17.25" thickBot="1">
      <c r="A557" s="4" t="s">
        <v>5567</v>
      </c>
      <c r="B557" s="5" t="s">
        <v>5273</v>
      </c>
      <c r="C557" s="5" t="s">
        <v>6124</v>
      </c>
      <c r="G557" t="str">
        <f t="shared" si="19"/>
        <v>llll</v>
      </c>
      <c r="H557" t="str">
        <f>[1]!SplitText(A557,"(",1)</f>
        <v xml:space="preserve">  ClearSelection</v>
      </c>
    </row>
    <row r="558" spans="1:8" ht="27.75" thickBot="1">
      <c r="A558" s="4" t="s">
        <v>6125</v>
      </c>
      <c r="B558" s="5" t="s">
        <v>5273</v>
      </c>
      <c r="C558" s="6" t="s">
        <v>5579</v>
      </c>
      <c r="G558" t="str">
        <f t="shared" si="19"/>
        <v>llll</v>
      </c>
      <c r="H558" t="str">
        <f>[1]!SplitText(A558,"(",1)</f>
        <v xml:space="preserve">  SetPopup</v>
      </c>
    </row>
    <row r="559" spans="1:8" ht="27.75" thickBot="1">
      <c r="A559" s="4" t="s">
        <v>5475</v>
      </c>
      <c r="B559" s="5" t="s">
        <v>5273</v>
      </c>
      <c r="C559" s="6" t="s">
        <v>6126</v>
      </c>
      <c r="G559" t="str">
        <f t="shared" si="19"/>
        <v>llll</v>
      </c>
      <c r="H559" t="str">
        <f>[1]!SplitText(A559,"(",1)</f>
        <v xml:space="preserve">  RemovePopup</v>
      </c>
    </row>
    <row r="560" spans="1:8" ht="17.25" thickBot="1">
      <c r="A560" s="4" t="s">
        <v>5477</v>
      </c>
      <c r="B560" s="5" t="s">
        <v>5478</v>
      </c>
      <c r="C560" s="6" t="s">
        <v>5584</v>
      </c>
      <c r="G560" t="str">
        <f t="shared" si="19"/>
        <v>llll</v>
      </c>
      <c r="H560" t="str">
        <f>[1]!SplitText(A560,"(",1)</f>
        <v xml:space="preserve">  GetPickedPopup</v>
      </c>
    </row>
    <row r="561" spans="1:8" ht="17.25" thickBot="1">
      <c r="A561" s="4" t="s">
        <v>5482</v>
      </c>
      <c r="B561" s="5" t="s">
        <v>5273</v>
      </c>
      <c r="C561" s="5" t="s">
        <v>5582</v>
      </c>
      <c r="G561" t="str">
        <f t="shared" si="19"/>
        <v>llll</v>
      </c>
      <c r="H561" t="str">
        <f>[1]!SplitText(A561,"(",1)</f>
        <v xml:space="preserve">  Refresh</v>
      </c>
    </row>
    <row r="562" spans="1:8" ht="17.25" thickBot="1">
      <c r="A562" s="4" t="s">
        <v>5404</v>
      </c>
      <c r="B562" s="5" t="s">
        <v>5265</v>
      </c>
      <c r="C562" s="5" t="s">
        <v>5585</v>
      </c>
      <c r="G562" t="str">
        <f t="shared" si="19"/>
        <v>llll</v>
      </c>
      <c r="H562" t="str">
        <f>[1]!SplitText(A562,"(",1)</f>
        <v xml:space="preserve">  Shown</v>
      </c>
    </row>
    <row r="563" spans="1:8" ht="17.25" thickBot="1">
      <c r="A563" s="4" t="s">
        <v>5406</v>
      </c>
      <c r="B563" s="5" t="s">
        <v>5177</v>
      </c>
      <c r="C563" s="5" t="s">
        <v>6127</v>
      </c>
      <c r="G563" t="str">
        <f t="shared" si="19"/>
        <v>llll</v>
      </c>
      <c r="H563" t="str">
        <f>[1]!SplitText(A563,"(",1)</f>
        <v xml:space="preserve">  Type</v>
      </c>
    </row>
    <row r="564" spans="1:8" ht="17.25" thickBot="1">
      <c r="A564" s="4" t="s">
        <v>5486</v>
      </c>
      <c r="B564" s="5" t="s">
        <v>5273</v>
      </c>
      <c r="C564" s="6" t="s">
        <v>6128</v>
      </c>
      <c r="G564" t="str">
        <f t="shared" si="19"/>
        <v>llll</v>
      </c>
      <c r="H564" t="str">
        <f>[1]!SplitText(A564,"(",1)</f>
        <v xml:space="preserve">  SetToolTip</v>
      </c>
    </row>
    <row r="565" spans="1:8" ht="17.25" thickBot="1">
      <c r="A565" s="4" t="s">
        <v>5480</v>
      </c>
      <c r="B565" s="5" t="s">
        <v>5273</v>
      </c>
      <c r="C565" s="5" t="s">
        <v>5481</v>
      </c>
      <c r="G565" t="str">
        <f t="shared" si="19"/>
        <v>llll</v>
      </c>
      <c r="H565" t="str">
        <f>[1]!SplitText(A565,"(",1)</f>
        <v xml:space="preserve">  SetFocus</v>
      </c>
    </row>
    <row r="566" spans="1:8" ht="41.25" thickBot="1">
      <c r="A566" s="96" t="s">
        <v>6129</v>
      </c>
      <c r="B566" s="91" t="s">
        <v>5871</v>
      </c>
      <c r="C566" s="91" t="s">
        <v>6130</v>
      </c>
      <c r="G566" t="str">
        <f t="shared" si="19"/>
        <v>llll</v>
      </c>
      <c r="H566" t="str">
        <f>[1]!SplitText(A566,"(",1)</f>
        <v xml:space="preserve">  SetHeadings</v>
      </c>
    </row>
    <row r="567" spans="1:8" ht="40.5">
      <c r="A567" s="96" t="s">
        <v>6131</v>
      </c>
      <c r="B567" s="91" t="s">
        <v>5871</v>
      </c>
      <c r="C567" s="91" t="s">
        <v>6132</v>
      </c>
      <c r="G567" t="str">
        <f t="shared" si="19"/>
        <v>llll</v>
      </c>
      <c r="H567" t="str">
        <f>[1]!SplitText(A567,"(",1)</f>
        <v xml:space="preserve">  SetHeadings</v>
      </c>
    </row>
    <row r="568" spans="1:8" ht="17.25" thickBot="1">
      <c r="A568" s="4" t="s">
        <v>5591</v>
      </c>
      <c r="B568" s="5" t="s">
        <v>5273</v>
      </c>
      <c r="C568" s="6" t="s">
        <v>5592</v>
      </c>
      <c r="G568" t="str">
        <f t="shared" si="19"/>
        <v>llll</v>
      </c>
      <c r="H568" t="str">
        <f>[1]!SplitText(A568,"(",1)</f>
        <v xml:space="preserve">  Clear</v>
      </c>
    </row>
    <row r="569" spans="1:8" ht="27.75" thickBot="1">
      <c r="A569" s="4" t="s">
        <v>5593</v>
      </c>
      <c r="B569" s="5" t="s">
        <v>5273</v>
      </c>
      <c r="C569" s="5" t="s">
        <v>6133</v>
      </c>
      <c r="G569" t="str">
        <f t="shared" si="19"/>
        <v>llll</v>
      </c>
      <c r="H569" t="str">
        <f>[1]!SplitText(A569,"(",1)</f>
        <v xml:space="preserve">  Clear</v>
      </c>
    </row>
    <row r="570" spans="1:8" ht="102">
      <c r="A570" s="134" t="s">
        <v>6134</v>
      </c>
      <c r="B570" s="91" t="s">
        <v>5316</v>
      </c>
      <c r="C570" s="91" t="s">
        <v>6135</v>
      </c>
      <c r="G570" t="str">
        <f t="shared" si="19"/>
        <v>llll</v>
      </c>
      <c r="H570" t="str">
        <f>[1]!SplitText(A570,"(",1)</f>
        <v xml:space="preserve">  SetRows</v>
      </c>
    </row>
    <row r="571" spans="1:8" ht="77.25" thickBot="1">
      <c r="A571" s="4" t="s">
        <v>6136</v>
      </c>
      <c r="B571" s="5" t="s">
        <v>5273</v>
      </c>
      <c r="C571" s="6" t="s">
        <v>6137</v>
      </c>
      <c r="G571" t="str">
        <f t="shared" si="19"/>
        <v>llll</v>
      </c>
      <c r="H571" t="str">
        <f>[1]!SplitText(A571,"(",1)</f>
        <v xml:space="preserve">  SetColumns</v>
      </c>
    </row>
    <row r="572" spans="1:8" ht="51.75" thickBot="1">
      <c r="A572" s="4" t="s">
        <v>6138</v>
      </c>
      <c r="B572" s="5" t="s">
        <v>5273</v>
      </c>
      <c r="C572" s="6" t="s">
        <v>6139</v>
      </c>
      <c r="G572" t="str">
        <f t="shared" si="19"/>
        <v>llll</v>
      </c>
      <c r="H572" t="str">
        <f>[1]!SplitText(A572,"(",1)</f>
        <v xml:space="preserve">  Select</v>
      </c>
    </row>
    <row r="573" spans="1:8" ht="63.75">
      <c r="A573" s="92" t="s">
        <v>5484</v>
      </c>
      <c r="B573" s="91" t="s">
        <v>5174</v>
      </c>
      <c r="C573" s="8" t="s">
        <v>6140</v>
      </c>
      <c r="G573" t="str">
        <f t="shared" si="19"/>
        <v>llll</v>
      </c>
      <c r="H573" t="str">
        <f>[1]!SplitText(A573,"(",1)</f>
        <v xml:space="preserve">  Background</v>
      </c>
    </row>
    <row r="574" spans="1:8" ht="17.25" thickBot="1">
      <c r="A574" s="115" t="s">
        <v>2966</v>
      </c>
      <c r="B574" s="115" t="s">
        <v>5159</v>
      </c>
      <c r="G574" t="str">
        <f t="shared" si="19"/>
        <v>llll</v>
      </c>
      <c r="H574" t="str">
        <f>[1]!SplitText(A574,"(",1)</f>
        <v>2.5.33</v>
      </c>
    </row>
    <row r="575" spans="1:8" ht="17.25" thickBot="1">
      <c r="A575" s="102" t="s">
        <v>1591</v>
      </c>
      <c r="B575" s="103" t="s">
        <v>1635</v>
      </c>
      <c r="C575" s="103" t="s">
        <v>1593</v>
      </c>
      <c r="G575" t="str">
        <f t="shared" si="19"/>
        <v>llll</v>
      </c>
      <c r="H575" t="str">
        <f>[1]!SplitText(A575,"(",1)</f>
        <v>Name</v>
      </c>
    </row>
    <row r="576" spans="1:8" ht="17.25" thickBot="1">
      <c r="A576" s="4" t="s">
        <v>5657</v>
      </c>
      <c r="B576" s="5" t="s">
        <v>5177</v>
      </c>
      <c r="C576" s="5" t="s">
        <v>6141</v>
      </c>
      <c r="G576" t="str">
        <f t="shared" ref="G576:G623" si="20">IF(ISERROR(SEARCH("table 2:",A576&amp;B576&amp;C576&amp;D576&amp;E576&amp;F576,1)*1),"llll","o")</f>
        <v>llll</v>
      </c>
      <c r="H576" t="str">
        <f>[1]!SplitText(A576,"(",1)</f>
        <v xml:space="preserve">  Name </v>
      </c>
    </row>
    <row r="577" spans="1:8" ht="17.25" thickBot="1">
      <c r="A577" s="4" t="s">
        <v>5659</v>
      </c>
      <c r="B577" s="5" t="s">
        <v>5177</v>
      </c>
      <c r="C577" s="5" t="s">
        <v>6142</v>
      </c>
      <c r="G577" t="str">
        <f t="shared" si="20"/>
        <v>llll</v>
      </c>
      <c r="H577" t="str">
        <f>[1]!SplitText(A577,"(",1)</f>
        <v xml:space="preserve">  Description</v>
      </c>
    </row>
    <row r="578" spans="1:8" ht="17.25" thickBot="1">
      <c r="A578" s="4" t="s">
        <v>6143</v>
      </c>
      <c r="B578" s="5" t="s">
        <v>5177</v>
      </c>
      <c r="C578" s="5" t="s">
        <v>6144</v>
      </c>
      <c r="G578" t="str">
        <f t="shared" si="20"/>
        <v>llll</v>
      </c>
      <c r="H578" t="str">
        <f>[1]!SplitText(A578,"(",1)</f>
        <v xml:space="preserve">  Locid</v>
      </c>
    </row>
    <row r="579" spans="1:8" ht="17.25" thickBot="1">
      <c r="A579" s="4" t="s">
        <v>5677</v>
      </c>
      <c r="B579" s="5" t="s">
        <v>5177</v>
      </c>
      <c r="C579" s="5" t="s">
        <v>6145</v>
      </c>
      <c r="G579" t="str">
        <f t="shared" si="20"/>
        <v>llll</v>
      </c>
      <c r="H579" t="str">
        <f>[1]!SplitText(A579,"(",1)</f>
        <v xml:space="preserve">  Refno</v>
      </c>
    </row>
    <row r="580" spans="1:8" ht="17.25" thickBot="1">
      <c r="A580" s="4" t="s">
        <v>6146</v>
      </c>
      <c r="B580" s="5" t="s">
        <v>5265</v>
      </c>
      <c r="C580" s="5" t="s">
        <v>6147</v>
      </c>
      <c r="G580" t="str">
        <f t="shared" si="20"/>
        <v>llll</v>
      </c>
      <c r="H580" t="str">
        <f>[1]!SplitText(A580,"(",1)</f>
        <v xml:space="preserve">  IsCurrent</v>
      </c>
    </row>
    <row r="581" spans="1:8" ht="17.25" thickBot="1">
      <c r="A581" s="4" t="s">
        <v>6148</v>
      </c>
      <c r="B581" s="5" t="s">
        <v>6149</v>
      </c>
      <c r="C581" s="6" t="s">
        <v>6150</v>
      </c>
      <c r="G581" t="str">
        <f t="shared" si="20"/>
        <v>llll</v>
      </c>
      <c r="H581" t="str">
        <f>[1]!SplitText(A581,"(",1)</f>
        <v xml:space="preserve">  LOCATION</v>
      </c>
    </row>
    <row r="582" spans="1:8" ht="26.25" thickBot="1">
      <c r="A582" s="4" t="s">
        <v>6151</v>
      </c>
      <c r="B582" s="5" t="s">
        <v>6149</v>
      </c>
      <c r="C582" s="6" t="s">
        <v>6152</v>
      </c>
      <c r="G582" t="str">
        <f t="shared" si="20"/>
        <v>llll</v>
      </c>
      <c r="H582" t="str">
        <f>[1]!SplitText(A582,"(",1)</f>
        <v xml:space="preserve">  LOCATION</v>
      </c>
    </row>
    <row r="583" spans="1:8" ht="26.25" thickBot="1">
      <c r="A583" s="4" t="s">
        <v>6153</v>
      </c>
      <c r="B583" s="5" t="s">
        <v>6154</v>
      </c>
      <c r="C583" s="6" t="s">
        <v>6155</v>
      </c>
      <c r="G583" t="str">
        <f t="shared" si="20"/>
        <v>llll</v>
      </c>
      <c r="H583" t="str">
        <f>[1]!SplitText(A583,"(",1)</f>
        <v xml:space="preserve">  Dblist</v>
      </c>
    </row>
    <row r="584" spans="1:8" ht="25.5">
      <c r="A584" s="92" t="s">
        <v>6156</v>
      </c>
      <c r="B584" s="8" t="s">
        <v>6157</v>
      </c>
      <c r="C584" s="91" t="s">
        <v>6158</v>
      </c>
      <c r="G584" t="str">
        <f t="shared" si="20"/>
        <v>llll</v>
      </c>
      <c r="H584" t="str">
        <f>[1]!SplitText(A584,"(",1)</f>
        <v xml:space="preserve">  Sessions</v>
      </c>
    </row>
    <row r="585" spans="1:8" ht="26.25" thickBot="1">
      <c r="A585" s="4" t="s">
        <v>5198</v>
      </c>
      <c r="B585" s="5" t="s">
        <v>5177</v>
      </c>
      <c r="C585" s="6" t="s">
        <v>6159</v>
      </c>
      <c r="G585" t="str">
        <f t="shared" si="20"/>
        <v>llll</v>
      </c>
      <c r="H585" t="str">
        <f>[1]!SplitText(A585,"(",1)</f>
        <v xml:space="preserve">  String</v>
      </c>
    </row>
    <row r="586" spans="1:8" ht="17.25" thickBot="1">
      <c r="A586" s="115" t="s">
        <v>2997</v>
      </c>
      <c r="B586" s="115" t="s">
        <v>2998</v>
      </c>
      <c r="G586" t="str">
        <f t="shared" si="20"/>
        <v>llll</v>
      </c>
      <c r="H586" t="str">
        <f>[1]!SplitText(A586,"(",1)</f>
        <v>2.5.34</v>
      </c>
    </row>
    <row r="587" spans="1:8" ht="17.25" thickBot="1">
      <c r="A587" s="102" t="s">
        <v>1591</v>
      </c>
      <c r="B587" s="103" t="s">
        <v>1635</v>
      </c>
      <c r="C587" s="103" t="s">
        <v>1593</v>
      </c>
      <c r="G587" t="str">
        <f t="shared" si="20"/>
        <v>llll</v>
      </c>
      <c r="H587" t="str">
        <f>[1]!SplitText(A587,"(",1)</f>
        <v>Name</v>
      </c>
    </row>
    <row r="588" spans="1:8" ht="17.25" thickBot="1">
      <c r="A588" s="4" t="s">
        <v>6160</v>
      </c>
      <c r="B588" s="5" t="s">
        <v>5177</v>
      </c>
      <c r="C588" s="6" t="s">
        <v>6161</v>
      </c>
      <c r="G588" t="str">
        <f t="shared" si="20"/>
        <v>llll</v>
      </c>
      <c r="H588" t="str">
        <f>[1]!SplitText(A588,"(",1)</f>
        <v xml:space="preserve">  Filename </v>
      </c>
    </row>
    <row r="589" spans="1:8" ht="17.25" thickBot="1">
      <c r="A589" s="4" t="s">
        <v>6162</v>
      </c>
      <c r="B589" s="5" t="s">
        <v>5691</v>
      </c>
      <c r="C589" s="6" t="s">
        <v>6163</v>
      </c>
      <c r="G589" t="str">
        <f t="shared" si="20"/>
        <v>llll</v>
      </c>
      <c r="H589" t="str">
        <f>[1]!SplitText(A589,"(",1)</f>
        <v xml:space="preserve">  From</v>
      </c>
    </row>
    <row r="590" spans="1:8" ht="17.25" thickBot="1">
      <c r="A590" s="4" t="s">
        <v>5670</v>
      </c>
      <c r="B590" s="5" t="s">
        <v>5238</v>
      </c>
      <c r="C590" s="5" t="s">
        <v>6164</v>
      </c>
      <c r="G590" t="str">
        <f t="shared" si="20"/>
        <v>llll</v>
      </c>
      <c r="H590" t="str">
        <f>[1]!SplitText(A590,"(",1)</f>
        <v xml:space="preserve">  Number</v>
      </c>
    </row>
    <row r="591" spans="1:8" ht="17.25" thickBot="1">
      <c r="A591" s="4" t="s">
        <v>6165</v>
      </c>
      <c r="B591" s="5" t="s">
        <v>5691</v>
      </c>
      <c r="C591" s="6" t="s">
        <v>6166</v>
      </c>
      <c r="G591" t="str">
        <f t="shared" si="20"/>
        <v>llll</v>
      </c>
      <c r="H591" t="str">
        <f>[1]!SplitText(A591,"(",1)</f>
        <v xml:space="preserve">  To</v>
      </c>
    </row>
    <row r="592" spans="1:8" ht="17.25" thickBot="1">
      <c r="A592" s="115" t="s">
        <v>3011</v>
      </c>
      <c r="B592" s="115" t="s">
        <v>3012</v>
      </c>
      <c r="G592" t="str">
        <f t="shared" si="20"/>
        <v>llll</v>
      </c>
      <c r="H592" t="str">
        <f>[1]!SplitText(A592,"(",1)</f>
        <v>2.5.35</v>
      </c>
    </row>
    <row r="593" spans="1:8" ht="17.25" thickBot="1">
      <c r="A593" s="102" t="s">
        <v>1591</v>
      </c>
      <c r="B593" s="103" t="s">
        <v>1635</v>
      </c>
      <c r="C593" s="103" t="s">
        <v>1593</v>
      </c>
      <c r="G593" t="str">
        <f t="shared" si="20"/>
        <v>llll</v>
      </c>
      <c r="H593" t="str">
        <f>[1]!SplitText(A593,"(",1)</f>
        <v>Name</v>
      </c>
    </row>
    <row r="594" spans="1:8" ht="17.25" thickBot="1">
      <c r="A594" s="4" t="s">
        <v>5657</v>
      </c>
      <c r="B594" s="5" t="s">
        <v>5177</v>
      </c>
      <c r="C594" s="5" t="s">
        <v>6167</v>
      </c>
      <c r="G594" t="str">
        <f t="shared" si="20"/>
        <v>llll</v>
      </c>
      <c r="H594" t="str">
        <f>[1]!SplitText(A594,"(",1)</f>
        <v xml:space="preserve">  Name </v>
      </c>
    </row>
    <row r="595" spans="1:8" ht="17.25" thickBot="1">
      <c r="A595" s="4" t="s">
        <v>5659</v>
      </c>
      <c r="B595" s="5" t="s">
        <v>5177</v>
      </c>
      <c r="C595" s="5" t="s">
        <v>6168</v>
      </c>
      <c r="G595" t="str">
        <f t="shared" si="20"/>
        <v>llll</v>
      </c>
      <c r="H595" t="str">
        <f>[1]!SplitText(A595,"(",1)</f>
        <v xml:space="preserve">  Description</v>
      </c>
    </row>
    <row r="596" spans="1:8" ht="17.25" thickBot="1">
      <c r="A596" s="4" t="s">
        <v>5677</v>
      </c>
      <c r="B596" s="5" t="s">
        <v>5177</v>
      </c>
      <c r="C596" s="6" t="s">
        <v>5678</v>
      </c>
      <c r="G596" t="str">
        <f t="shared" si="20"/>
        <v>llll</v>
      </c>
      <c r="H596" t="str">
        <f>[1]!SplitText(A596,"(",1)</f>
        <v xml:space="preserve">  Refno</v>
      </c>
    </row>
    <row r="597" spans="1:8" ht="17.25" thickBot="1">
      <c r="A597" s="4" t="s">
        <v>6169</v>
      </c>
      <c r="B597" s="5" t="s">
        <v>6170</v>
      </c>
      <c r="C597" s="6" t="s">
        <v>6171</v>
      </c>
      <c r="G597" t="str">
        <f t="shared" si="20"/>
        <v>llll</v>
      </c>
      <c r="H597" t="str">
        <f>[1]!SplitText(A597,"(",1)</f>
        <v xml:space="preserve">  MDB</v>
      </c>
    </row>
    <row r="598" spans="1:8" ht="17.25" thickBot="1">
      <c r="A598" s="4" t="s">
        <v>6172</v>
      </c>
      <c r="B598" s="5" t="s">
        <v>6170</v>
      </c>
      <c r="C598" s="6" t="s">
        <v>6173</v>
      </c>
      <c r="G598" t="str">
        <f t="shared" si="20"/>
        <v>llll</v>
      </c>
      <c r="H598" t="str">
        <f>[1]!SplitText(A598,"(",1)</f>
        <v xml:space="preserve">  MDB</v>
      </c>
    </row>
    <row r="599" spans="1:8">
      <c r="A599" s="92" t="s">
        <v>6174</v>
      </c>
      <c r="B599" s="91" t="s">
        <v>6175</v>
      </c>
      <c r="C599" s="7" t="s">
        <v>6176</v>
      </c>
      <c r="G599" t="str">
        <f t="shared" si="20"/>
        <v>llll</v>
      </c>
      <c r="H599" t="str">
        <f>[1]!SplitText(A599,"(",1)</f>
        <v xml:space="preserve">  Current</v>
      </c>
    </row>
    <row r="600" spans="1:8" ht="17.25" thickBot="1">
      <c r="A600" s="4" t="s">
        <v>6177</v>
      </c>
      <c r="B600" s="5" t="s">
        <v>6178</v>
      </c>
      <c r="C600" s="6" t="s">
        <v>6179</v>
      </c>
      <c r="G600" t="str">
        <f t="shared" si="20"/>
        <v>llll</v>
      </c>
      <c r="H600" t="str">
        <f>[1]!SplitText(A600,"(",1)</f>
        <v xml:space="preserve">  Deferred</v>
      </c>
    </row>
    <row r="601" spans="1:8" ht="17.25" thickBot="1">
      <c r="A601" s="4" t="s">
        <v>6180</v>
      </c>
      <c r="B601" s="5" t="s">
        <v>5373</v>
      </c>
      <c r="C601" s="5" t="s">
        <v>6181</v>
      </c>
      <c r="G601" t="str">
        <f t="shared" si="20"/>
        <v>llll</v>
      </c>
      <c r="H601" t="str">
        <f>[1]!SplitText(A601,"(",1)</f>
        <v xml:space="preserve">  Mode</v>
      </c>
    </row>
    <row r="602" spans="1:8" ht="17.25" thickBot="1">
      <c r="A602" s="115" t="s">
        <v>3037</v>
      </c>
      <c r="B602" s="115" t="s">
        <v>3038</v>
      </c>
      <c r="G602" t="str">
        <f t="shared" si="20"/>
        <v>llll</v>
      </c>
      <c r="H602" t="str">
        <f>[1]!SplitText(A602,"(",1)</f>
        <v>2.5.36</v>
      </c>
    </row>
    <row r="603" spans="1:8" ht="17.25" thickBot="1">
      <c r="A603" s="102" t="s">
        <v>1591</v>
      </c>
      <c r="B603" s="103" t="s">
        <v>1635</v>
      </c>
      <c r="C603" s="103" t="s">
        <v>1593</v>
      </c>
      <c r="G603" t="str">
        <f t="shared" si="20"/>
        <v>llll</v>
      </c>
      <c r="H603" t="str">
        <f>[1]!SplitText(A603,"(",1)</f>
        <v>Name</v>
      </c>
    </row>
    <row r="604" spans="1:8" ht="17.25" thickBot="1">
      <c r="A604" s="4" t="s">
        <v>6182</v>
      </c>
      <c r="B604" s="5" t="s">
        <v>6183</v>
      </c>
      <c r="C604" s="5" t="s">
        <v>6184</v>
      </c>
      <c r="G604" t="str">
        <f t="shared" si="20"/>
        <v>llll</v>
      </c>
      <c r="H604" t="str">
        <f>[1]!SplitText(A604,"(",1)</f>
        <v xml:space="preserve">  Measure </v>
      </c>
    </row>
    <row r="605" spans="1:8" ht="39" thickBot="1">
      <c r="A605" s="4" t="s">
        <v>6185</v>
      </c>
      <c r="B605" s="5" t="s">
        <v>6183</v>
      </c>
      <c r="C605" s="6" t="s">
        <v>6186</v>
      </c>
      <c r="G605" t="str">
        <f t="shared" si="20"/>
        <v>llll</v>
      </c>
      <c r="H605" t="str">
        <f>[1]!SplitText(A605,"(",1)</f>
        <v xml:space="preserve">  Measure</v>
      </c>
    </row>
    <row r="606" spans="1:8" ht="26.25" thickBot="1">
      <c r="A606" s="4" t="s">
        <v>6187</v>
      </c>
      <c r="B606" s="5" t="s">
        <v>6183</v>
      </c>
      <c r="C606" s="6" t="s">
        <v>6188</v>
      </c>
      <c r="G606" t="str">
        <f t="shared" si="20"/>
        <v>llll</v>
      </c>
      <c r="H606" t="str">
        <f>[1]!SplitText(A606,"(",1)</f>
        <v xml:space="preserve">  Measure</v>
      </c>
    </row>
    <row r="607" spans="1:8" ht="27">
      <c r="A607" s="96" t="s">
        <v>6189</v>
      </c>
      <c r="B607" s="91" t="s">
        <v>5174</v>
      </c>
      <c r="C607" s="91" t="s">
        <v>6190</v>
      </c>
      <c r="G607" t="str">
        <f t="shared" si="20"/>
        <v>llll</v>
      </c>
      <c r="H607" t="str">
        <f>[1]!SplitText(A607,"(",1)</f>
        <v xml:space="preserve">  Description</v>
      </c>
    </row>
    <row r="608" spans="1:8" ht="17.25" thickBot="1">
      <c r="A608" s="4" t="s">
        <v>5470</v>
      </c>
      <c r="B608" s="5" t="s">
        <v>5177</v>
      </c>
      <c r="C608" s="6" t="s">
        <v>6191</v>
      </c>
      <c r="G608" t="str">
        <f t="shared" si="20"/>
        <v>llll</v>
      </c>
      <c r="H608" t="str">
        <f>[1]!SplitText(A608,"(",1)</f>
        <v xml:space="preserve">  Name</v>
      </c>
    </row>
    <row r="609" spans="1:8" ht="25.5">
      <c r="A609" s="96" t="s">
        <v>6192</v>
      </c>
      <c r="B609" s="91" t="s">
        <v>5174</v>
      </c>
      <c r="C609" s="91" t="s">
        <v>6193</v>
      </c>
      <c r="G609" t="str">
        <f t="shared" si="20"/>
        <v>llll</v>
      </c>
      <c r="H609" t="str">
        <f>[1]!SplitText(A609,"(",1)</f>
        <v xml:space="preserve">  Hashcode</v>
      </c>
    </row>
    <row r="610" spans="1:8" ht="17.25" thickBot="1">
      <c r="A610" s="145" t="s">
        <v>6194</v>
      </c>
      <c r="B610" s="5" t="s">
        <v>6195</v>
      </c>
      <c r="C610" s="5" t="s">
        <v>6196</v>
      </c>
      <c r="G610" t="str">
        <f t="shared" si="20"/>
        <v>llll</v>
      </c>
      <c r="H610" t="str">
        <f>[1]!SplitText(A610,"(",1)</f>
        <v xml:space="preserve">  currentunits</v>
      </c>
    </row>
    <row r="611" spans="1:8" ht="17.25" thickBot="1">
      <c r="A611" s="145" t="s">
        <v>6197</v>
      </c>
      <c r="B611" s="5" t="s">
        <v>5177</v>
      </c>
      <c r="C611" s="5" t="s">
        <v>6198</v>
      </c>
      <c r="G611" t="str">
        <f t="shared" si="20"/>
        <v>llll</v>
      </c>
      <c r="H611" t="str">
        <f>[1]!SplitText(A611,"(",1)</f>
        <v xml:space="preserve">  UnitQualifier</v>
      </c>
    </row>
    <row r="612" spans="1:8" ht="17.25" thickBot="1">
      <c r="A612" s="145" t="s">
        <v>6199</v>
      </c>
      <c r="B612" s="5" t="s">
        <v>5238</v>
      </c>
      <c r="C612" s="6" t="s">
        <v>6200</v>
      </c>
      <c r="G612" t="str">
        <f t="shared" si="20"/>
        <v>llll</v>
      </c>
      <c r="H612" t="str">
        <f>[1]!SplitText(A612,"(",1)</f>
        <v xml:space="preserve">  UnitFactor</v>
      </c>
    </row>
    <row r="613" spans="1:8" ht="17.25" thickBot="1">
      <c r="A613" s="145" t="s">
        <v>6201</v>
      </c>
      <c r="B613" s="5" t="s">
        <v>5265</v>
      </c>
      <c r="C613" s="6" t="s">
        <v>6202</v>
      </c>
      <c r="G613" t="str">
        <f t="shared" si="20"/>
        <v>llll</v>
      </c>
      <c r="H613" t="str">
        <f>[1]!SplitText(A613,"(",1)</f>
        <v xml:space="preserve">  SetUnits</v>
      </c>
    </row>
    <row r="614" spans="1:8" ht="39" thickBot="1">
      <c r="A614" s="176" t="s">
        <v>6203</v>
      </c>
      <c r="B614" s="91" t="s">
        <v>5419</v>
      </c>
      <c r="C614" s="7" t="s">
        <v>6204</v>
      </c>
      <c r="G614" t="str">
        <f t="shared" si="20"/>
        <v>llll</v>
      </c>
      <c r="H614" t="str">
        <f>[1]!SplitText(A614,"(",1)</f>
        <v xml:space="preserve">  Numeric</v>
      </c>
    </row>
    <row r="615" spans="1:8" ht="26.25" thickBot="1">
      <c r="A615" s="176" t="s">
        <v>6205</v>
      </c>
      <c r="B615" s="91" t="s">
        <v>5270</v>
      </c>
      <c r="C615" s="7" t="s">
        <v>6206</v>
      </c>
      <c r="G615" t="str">
        <f t="shared" si="20"/>
        <v>llll</v>
      </c>
      <c r="H615" t="str">
        <f>[1]!SplitText(A615,"(",1)</f>
        <v xml:space="preserve">  Default</v>
      </c>
    </row>
    <row r="616" spans="1:8" ht="39" thickBot="1">
      <c r="A616" s="176" t="s">
        <v>6207</v>
      </c>
      <c r="B616" s="91" t="s">
        <v>5270</v>
      </c>
      <c r="C616" s="7" t="s">
        <v>6208</v>
      </c>
      <c r="G616" t="str">
        <f t="shared" si="20"/>
        <v>llll</v>
      </c>
      <c r="H616" t="str">
        <f>[1]!SplitText(A616,"(",1)</f>
        <v xml:space="preserve">  Suspend</v>
      </c>
    </row>
    <row r="617" spans="1:8" ht="26.25" thickBot="1">
      <c r="A617" s="176" t="s">
        <v>6209</v>
      </c>
      <c r="B617" s="91" t="s">
        <v>5235</v>
      </c>
      <c r="C617" s="7" t="s">
        <v>6210</v>
      </c>
      <c r="G617" t="str">
        <f t="shared" si="20"/>
        <v>llll</v>
      </c>
      <c r="H617" t="str">
        <f>[1]!SplitText(A617,"(",1)</f>
        <v xml:space="preserve">  SuspendLevel</v>
      </c>
    </row>
    <row r="618" spans="1:8" ht="26.25" thickBot="1">
      <c r="A618" s="176" t="s">
        <v>6211</v>
      </c>
      <c r="B618" s="91" t="s">
        <v>5270</v>
      </c>
      <c r="C618" s="7" t="s">
        <v>6212</v>
      </c>
      <c r="G618" t="str">
        <f t="shared" si="20"/>
        <v>llll</v>
      </c>
      <c r="H618" t="str">
        <f>[1]!SplitText(A618,"(",1)</f>
        <v xml:space="preserve">  Reinstate</v>
      </c>
    </row>
    <row r="619" spans="1:8" ht="25.5">
      <c r="A619" s="176" t="s">
        <v>6213</v>
      </c>
      <c r="B619" s="91" t="s">
        <v>5270</v>
      </c>
      <c r="C619" s="7" t="s">
        <v>6214</v>
      </c>
      <c r="G619" t="str">
        <f t="shared" si="20"/>
        <v>llll</v>
      </c>
      <c r="H619" t="str">
        <f>[1]!SplitText(A619,"(",1)</f>
        <v xml:space="preserve">  Unsuspend</v>
      </c>
    </row>
    <row r="620" spans="1:8" ht="17.25" thickBot="1">
      <c r="A620" s="145" t="s">
        <v>6215</v>
      </c>
      <c r="B620" s="5" t="s">
        <v>5265</v>
      </c>
      <c r="C620" s="6" t="s">
        <v>6216</v>
      </c>
      <c r="G620" t="str">
        <f t="shared" si="20"/>
        <v>llll</v>
      </c>
      <c r="H620" t="str">
        <f>[1]!SplitText(A620,"(",1)</f>
        <v xml:space="preserve">  IsNull</v>
      </c>
    </row>
    <row r="621" spans="1:8" ht="26.25" thickBot="1">
      <c r="A621" s="176" t="s">
        <v>6217</v>
      </c>
      <c r="B621" s="91" t="s">
        <v>5270</v>
      </c>
      <c r="C621" s="7" t="s">
        <v>6218</v>
      </c>
      <c r="G621" t="str">
        <f t="shared" si="20"/>
        <v>llll</v>
      </c>
      <c r="H621" t="str">
        <f>[1]!SplitText(A621,"(",1)</f>
        <v xml:space="preserve">  IsStandard</v>
      </c>
    </row>
    <row r="622" spans="1:8" ht="30.75" thickBot="1">
      <c r="A622" s="144" t="s">
        <v>6219</v>
      </c>
      <c r="B622" s="91" t="s">
        <v>6220</v>
      </c>
      <c r="C622" s="91" t="s">
        <v>6221</v>
      </c>
      <c r="G622" t="str">
        <f t="shared" si="20"/>
        <v>llll</v>
      </c>
      <c r="H622" t="str">
        <f>[1]!SplitText(A622,"(",1)</f>
        <v xml:space="preserve">  DBUnits</v>
      </c>
    </row>
    <row r="623" spans="1:8">
      <c r="A623" s="176" t="s">
        <v>6222</v>
      </c>
      <c r="B623" s="8" t="s">
        <v>6223</v>
      </c>
      <c r="C623" s="91" t="s">
        <v>6224</v>
      </c>
      <c r="G623" t="str">
        <f t="shared" si="20"/>
        <v>llll</v>
      </c>
      <c r="H623" t="str">
        <f>[1]!SplitText(A623,"(",1)</f>
        <v xml:space="preserve">  UnitsOf</v>
      </c>
    </row>
    <row r="624" spans="1:8" ht="17.25" thickBot="1">
      <c r="A624" s="145" t="s">
        <v>6225</v>
      </c>
      <c r="B624" s="5" t="s">
        <v>6226</v>
      </c>
      <c r="C624" s="5" t="s">
        <v>6227</v>
      </c>
      <c r="G624" t="str">
        <f t="shared" ref="G624:G650" si="21">IF(ISERROR(SEARCH("table 2:",A624&amp;B624&amp;C624&amp;D624&amp;E624&amp;F624,1)*1),"llll","o")</f>
        <v>llll</v>
      </c>
      <c r="H624" t="str">
        <f>[1]!SplitText(A624,"(",1)</f>
        <v xml:space="preserve">  AllDimensions</v>
      </c>
    </row>
    <row r="625" spans="1:8" ht="17.25" thickBot="1">
      <c r="A625" s="176" t="s">
        <v>6228</v>
      </c>
      <c r="B625" s="8" t="s">
        <v>6223</v>
      </c>
      <c r="C625" s="91" t="s">
        <v>6229</v>
      </c>
      <c r="G625" t="str">
        <f t="shared" si="21"/>
        <v>llll</v>
      </c>
      <c r="H625" t="str">
        <f>[1]!SplitText(A625,"(",1)</f>
        <v xml:space="preserve">  AllUnits</v>
      </c>
    </row>
    <row r="626" spans="1:8" ht="38.25">
      <c r="A626" s="176" t="s">
        <v>6230</v>
      </c>
      <c r="B626" s="91" t="s">
        <v>6231</v>
      </c>
      <c r="C626" s="8" t="s">
        <v>6232</v>
      </c>
      <c r="G626" t="str">
        <f t="shared" si="21"/>
        <v>llll</v>
      </c>
      <c r="H626" t="str">
        <f>[1]!SplitText(A626,"(",1)</f>
        <v xml:space="preserve">  Enum</v>
      </c>
    </row>
    <row r="627" spans="1:8" ht="17.25" thickBot="1">
      <c r="A627" s="115" t="s">
        <v>3099</v>
      </c>
      <c r="B627" s="115" t="s">
        <v>3100</v>
      </c>
      <c r="G627" t="str">
        <f t="shared" si="21"/>
        <v>llll</v>
      </c>
      <c r="H627" t="str">
        <f>[1]!SplitText(A627,"(",1)</f>
        <v>2.5.37</v>
      </c>
    </row>
    <row r="628" spans="1:8" ht="17.25" thickBot="1">
      <c r="A628" s="102" t="s">
        <v>1591</v>
      </c>
      <c r="B628" s="103" t="s">
        <v>1635</v>
      </c>
      <c r="C628" s="103" t="s">
        <v>1593</v>
      </c>
      <c r="G628" t="str">
        <f t="shared" si="21"/>
        <v>llll</v>
      </c>
      <c r="H628" t="str">
        <f>[1]!SplitText(A628,"(",1)</f>
        <v>Name</v>
      </c>
    </row>
    <row r="629" spans="1:8" ht="17.25" thickBot="1">
      <c r="A629" s="92" t="s">
        <v>5998</v>
      </c>
      <c r="B629" s="8" t="s">
        <v>5596</v>
      </c>
      <c r="C629" s="91" t="s">
        <v>6233</v>
      </c>
      <c r="G629" t="str">
        <f t="shared" si="21"/>
        <v>llll</v>
      </c>
      <c r="H629" t="str">
        <f>[1]!SplitText(A629,"(",1)</f>
        <v xml:space="preserve">  Callback </v>
      </c>
    </row>
    <row r="630" spans="1:8" ht="26.25" thickBot="1">
      <c r="A630" s="92" t="s">
        <v>6234</v>
      </c>
      <c r="B630" s="8" t="s">
        <v>5544</v>
      </c>
      <c r="C630" s="7" t="s">
        <v>6235</v>
      </c>
      <c r="G630" t="str">
        <f t="shared" si="21"/>
        <v>llll</v>
      </c>
      <c r="H630" t="str">
        <f>[1]!SplitText(A630,"(",1)</f>
        <v xml:space="preserve">  PickedField  </v>
      </c>
    </row>
    <row r="631" spans="1:8" ht="25.5">
      <c r="A631" s="92" t="s">
        <v>6236</v>
      </c>
      <c r="B631" s="8" t="s">
        <v>5544</v>
      </c>
      <c r="C631" s="91" t="s">
        <v>6237</v>
      </c>
      <c r="G631" t="str">
        <f t="shared" si="21"/>
        <v>llll</v>
      </c>
      <c r="H631" t="str">
        <f>[1]!SplitText(A631,"(",1)</f>
        <v xml:space="preserve">  PickedFieldName </v>
      </c>
    </row>
    <row r="632" spans="1:8" ht="27.75" thickBot="1">
      <c r="A632" s="4" t="s">
        <v>6238</v>
      </c>
      <c r="B632" s="6" t="s">
        <v>5273</v>
      </c>
      <c r="C632" s="6" t="s">
        <v>6239</v>
      </c>
      <c r="G632" t="str">
        <f t="shared" si="21"/>
        <v>llll</v>
      </c>
      <c r="H632" t="str">
        <f>[1]!SplitText(A632,"(",1)</f>
        <v xml:space="preserve">  Add</v>
      </c>
    </row>
    <row r="633" spans="1:8" ht="64.5" thickBot="1">
      <c r="A633" s="92" t="s">
        <v>6240</v>
      </c>
      <c r="B633" s="91" t="s">
        <v>5467</v>
      </c>
      <c r="C633" s="7" t="s">
        <v>6241</v>
      </c>
      <c r="G633" t="str">
        <f t="shared" si="21"/>
        <v>llll</v>
      </c>
      <c r="H633" t="str">
        <f>[1]!SplitText(A633,"(",1)</f>
        <v xml:space="preserve">  Add</v>
      </c>
    </row>
    <row r="634" spans="1:8" ht="64.5" thickBot="1">
      <c r="A634" s="92" t="s">
        <v>6242</v>
      </c>
      <c r="B634" s="91" t="s">
        <v>5467</v>
      </c>
      <c r="C634" s="7" t="s">
        <v>6243</v>
      </c>
      <c r="G634" t="str">
        <f t="shared" si="21"/>
        <v>llll</v>
      </c>
      <c r="H634" t="str">
        <f>[1]!SplitText(A634,"(",1)</f>
        <v xml:space="preserve">  Add</v>
      </c>
    </row>
    <row r="635" spans="1:8" ht="64.5" thickBot="1">
      <c r="A635" s="92" t="s">
        <v>6244</v>
      </c>
      <c r="B635" s="91" t="s">
        <v>5467</v>
      </c>
      <c r="C635" s="7" t="s">
        <v>6245</v>
      </c>
      <c r="G635" t="str">
        <f t="shared" si="21"/>
        <v>llll</v>
      </c>
      <c r="H635" t="str">
        <f>[1]!SplitText(A635,"(",1)</f>
        <v xml:space="preserve">  Add</v>
      </c>
    </row>
    <row r="636" spans="1:8" ht="64.5" thickBot="1">
      <c r="A636" s="92" t="s">
        <v>6246</v>
      </c>
      <c r="B636" s="91" t="s">
        <v>5467</v>
      </c>
      <c r="C636" s="7" t="s">
        <v>6247</v>
      </c>
      <c r="G636" t="str">
        <f t="shared" si="21"/>
        <v>llll</v>
      </c>
      <c r="H636" t="str">
        <f>[1]!SplitText(A636,"(",1)</f>
        <v xml:space="preserve">  Add</v>
      </c>
    </row>
    <row r="637" spans="1:8" ht="26.25" thickBot="1">
      <c r="A637" s="92" t="s">
        <v>6248</v>
      </c>
      <c r="B637" s="91" t="s">
        <v>5316</v>
      </c>
      <c r="C637" s="7" t="s">
        <v>6249</v>
      </c>
      <c r="G637" t="str">
        <f t="shared" si="21"/>
        <v>llll</v>
      </c>
      <c r="H637" t="str">
        <f>[1]!SplitText(A637,"(",1)</f>
        <v xml:space="preserve">  Clear</v>
      </c>
    </row>
    <row r="638" spans="1:8" ht="27.75" thickBot="1">
      <c r="A638" s="92" t="s">
        <v>6250</v>
      </c>
      <c r="B638" s="91" t="s">
        <v>5316</v>
      </c>
      <c r="C638" s="7" t="s">
        <v>6251</v>
      </c>
      <c r="G638" t="str">
        <f t="shared" si="21"/>
        <v>llll</v>
      </c>
      <c r="H638" t="str">
        <f>[1]!SplitText(A638,"(",1)</f>
        <v xml:space="preserve">  Clear</v>
      </c>
    </row>
    <row r="639" spans="1:8" ht="54.75" thickBot="1">
      <c r="A639" s="96" t="s">
        <v>6252</v>
      </c>
      <c r="B639" s="91" t="s">
        <v>5270</v>
      </c>
      <c r="C639" s="7" t="s">
        <v>6253</v>
      </c>
      <c r="G639" t="str">
        <f t="shared" si="21"/>
        <v>llll</v>
      </c>
      <c r="H639" t="str">
        <f>[1]!SplitText(A639,"(",1)</f>
        <v xml:space="preserve">  FieldProperty</v>
      </c>
    </row>
    <row r="640" spans="1:8" ht="17.25" thickBot="1">
      <c r="A640" s="92" t="s">
        <v>5920</v>
      </c>
      <c r="B640" s="91" t="s">
        <v>5174</v>
      </c>
      <c r="C640" s="7" t="s">
        <v>6254</v>
      </c>
      <c r="G640" t="str">
        <f t="shared" si="21"/>
        <v>llll</v>
      </c>
      <c r="H640" t="str">
        <f>[1]!SplitText(A640,"(",1)</f>
        <v xml:space="preserve">  FullName</v>
      </c>
    </row>
    <row r="641" spans="1:8" ht="81.75" thickBot="1">
      <c r="A641" s="92" t="s">
        <v>6255</v>
      </c>
      <c r="B641" s="91" t="s">
        <v>5467</v>
      </c>
      <c r="C641" s="7" t="s">
        <v>6256</v>
      </c>
      <c r="G641" t="str">
        <f t="shared" si="21"/>
        <v>llll</v>
      </c>
      <c r="H641" t="str">
        <f>[1]!SplitText(A641,"(",1)</f>
        <v xml:space="preserve">  InsertAfter</v>
      </c>
    </row>
    <row r="642" spans="1:8" ht="68.25" thickBot="1">
      <c r="A642" s="92" t="s">
        <v>6257</v>
      </c>
      <c r="B642" s="91" t="s">
        <v>5467</v>
      </c>
      <c r="C642" s="7" t="s">
        <v>6258</v>
      </c>
      <c r="G642" t="str">
        <f t="shared" si="21"/>
        <v>llll</v>
      </c>
      <c r="H642" t="str">
        <f>[1]!SplitText(A642,"(",1)</f>
        <v xml:space="preserve">  InsertAfter</v>
      </c>
    </row>
    <row r="643" spans="1:8" ht="68.25" thickBot="1">
      <c r="A643" s="92" t="s">
        <v>6259</v>
      </c>
      <c r="B643" s="91" t="s">
        <v>5467</v>
      </c>
      <c r="C643" s="7" t="s">
        <v>6260</v>
      </c>
      <c r="G643" t="str">
        <f t="shared" si="21"/>
        <v>llll</v>
      </c>
      <c r="H643" t="str">
        <f>[1]!SplitText(A643,"(",1)</f>
        <v xml:space="preserve">  InsertAfter</v>
      </c>
    </row>
    <row r="644" spans="1:8" ht="77.25" thickBot="1">
      <c r="A644" s="92" t="s">
        <v>6261</v>
      </c>
      <c r="B644" s="91" t="s">
        <v>5467</v>
      </c>
      <c r="C644" s="7" t="s">
        <v>6262</v>
      </c>
      <c r="G644" t="str">
        <f t="shared" si="21"/>
        <v>llll</v>
      </c>
      <c r="H644" t="str">
        <f>[1]!SplitText(A644,"(",1)</f>
        <v xml:space="preserve">  InsertAfter</v>
      </c>
    </row>
    <row r="645" spans="1:8" ht="54.75" thickBot="1">
      <c r="A645" s="96" t="s">
        <v>6263</v>
      </c>
      <c r="B645" s="91" t="s">
        <v>5316</v>
      </c>
      <c r="C645" s="7" t="s">
        <v>6264</v>
      </c>
      <c r="G645" t="str">
        <f t="shared" si="21"/>
        <v>llll</v>
      </c>
      <c r="H645" t="str">
        <f>[1]!SplitText(A645,"(",1)</f>
        <v xml:space="preserve">  InsertAfter</v>
      </c>
    </row>
    <row r="646" spans="1:8" ht="95.25" thickBot="1">
      <c r="A646" s="92" t="s">
        <v>6265</v>
      </c>
      <c r="B646" s="91" t="s">
        <v>5467</v>
      </c>
      <c r="C646" s="7" t="s">
        <v>6266</v>
      </c>
      <c r="G646" t="str">
        <f t="shared" si="21"/>
        <v>llll</v>
      </c>
      <c r="H646" t="str">
        <f>[1]!SplitText(A646,"(",1)</f>
        <v xml:space="preserve">  InsertBefore</v>
      </c>
    </row>
    <row r="647" spans="1:8" ht="81.75" thickBot="1">
      <c r="A647" s="92" t="s">
        <v>6267</v>
      </c>
      <c r="B647" s="91" t="s">
        <v>5467</v>
      </c>
      <c r="C647" s="7" t="s">
        <v>6268</v>
      </c>
      <c r="G647" t="str">
        <f t="shared" si="21"/>
        <v>llll</v>
      </c>
      <c r="H647" t="str">
        <f>[1]!SplitText(A647,"(",1)</f>
        <v xml:space="preserve">  InsertBefore</v>
      </c>
    </row>
    <row r="648" spans="1:8" ht="81.75" thickBot="1">
      <c r="A648" s="92" t="s">
        <v>6269</v>
      </c>
      <c r="B648" s="91" t="s">
        <v>5467</v>
      </c>
      <c r="C648" s="7" t="s">
        <v>6270</v>
      </c>
      <c r="G648" t="str">
        <f t="shared" si="21"/>
        <v>llll</v>
      </c>
      <c r="H648" t="str">
        <f>[1]!SplitText(A648,"(",1)</f>
        <v xml:space="preserve">  InsertBefore</v>
      </c>
    </row>
    <row r="649" spans="1:8" ht="81.75" thickBot="1">
      <c r="A649" s="92" t="s">
        <v>6271</v>
      </c>
      <c r="B649" s="91" t="s">
        <v>5467</v>
      </c>
      <c r="C649" s="7" t="s">
        <v>6272</v>
      </c>
      <c r="G649" t="str">
        <f t="shared" si="21"/>
        <v>llll</v>
      </c>
      <c r="H649" t="str">
        <f>[1]!SplitText(A649,"(",1)</f>
        <v xml:space="preserve">  InsertBefore</v>
      </c>
    </row>
    <row r="650" spans="1:8" ht="68.25" thickBot="1">
      <c r="A650" s="96" t="s">
        <v>6273</v>
      </c>
      <c r="B650" s="91" t="s">
        <v>5316</v>
      </c>
      <c r="C650" s="7" t="s">
        <v>6274</v>
      </c>
      <c r="G650" t="str">
        <f t="shared" si="21"/>
        <v>llll</v>
      </c>
      <c r="H650" t="str">
        <f>[1]!SplitText(A650,"(",1)</f>
        <v xml:space="preserve">  InsertBefore</v>
      </c>
    </row>
    <row r="651" spans="1:8">
      <c r="A651" s="92" t="s">
        <v>5394</v>
      </c>
      <c r="B651" s="91" t="s">
        <v>5174</v>
      </c>
      <c r="C651" s="7" t="s">
        <v>6275</v>
      </c>
      <c r="G651" t="str">
        <f t="shared" ref="G651:G695" si="22">IF(ISERROR(SEARCH("table 2:",A651&amp;B651&amp;C651&amp;D651&amp;E651&amp;F651,1)*1),"llll","o")</f>
        <v>llll</v>
      </c>
      <c r="H651" t="str">
        <f>[1]!SplitText(A651,"(",1)</f>
        <v xml:space="preserve">  Name</v>
      </c>
    </row>
    <row r="652" spans="1:8" ht="17.25" thickBot="1">
      <c r="A652" s="4" t="s">
        <v>5396</v>
      </c>
      <c r="B652" s="5" t="s">
        <v>6276</v>
      </c>
      <c r="C652" s="5" t="s">
        <v>6277</v>
      </c>
      <c r="G652" t="str">
        <f t="shared" si="22"/>
        <v>llll</v>
      </c>
      <c r="H652" t="str">
        <f>[1]!SplitText(A652,"(",1)</f>
        <v xml:space="preserve">  Owner</v>
      </c>
    </row>
    <row r="653" spans="1:8" ht="26.25" thickBot="1">
      <c r="A653" s="4" t="s">
        <v>6278</v>
      </c>
      <c r="B653" s="5" t="s">
        <v>6003</v>
      </c>
      <c r="C653" s="6" t="s">
        <v>6279</v>
      </c>
      <c r="G653" t="str">
        <f t="shared" si="22"/>
        <v>llll</v>
      </c>
      <c r="H653" t="str">
        <f>[1]!SplitText(A653,"(",1)</f>
        <v xml:space="preserve">  PopupGadget</v>
      </c>
    </row>
    <row r="654" spans="1:8" ht="17.25" thickBot="1">
      <c r="A654" s="4" t="s">
        <v>5482</v>
      </c>
      <c r="B654" s="6" t="s">
        <v>5273</v>
      </c>
      <c r="C654" s="5" t="s">
        <v>5582</v>
      </c>
      <c r="G654" t="str">
        <f t="shared" si="22"/>
        <v>llll</v>
      </c>
      <c r="H654" t="str">
        <f>[1]!SplitText(A654,"(",1)</f>
        <v xml:space="preserve">  Refresh</v>
      </c>
    </row>
    <row r="655" spans="1:8" ht="41.25" thickBot="1">
      <c r="A655" s="92" t="s">
        <v>6280</v>
      </c>
      <c r="B655" s="91" t="s">
        <v>5467</v>
      </c>
      <c r="C655" s="7" t="s">
        <v>6281</v>
      </c>
      <c r="G655" t="str">
        <f t="shared" si="22"/>
        <v>llll</v>
      </c>
      <c r="H655" t="str">
        <f>[1]!SplitText(A655,"(",1)</f>
        <v xml:space="preserve">  Select</v>
      </c>
    </row>
    <row r="656" spans="1:8" ht="27.75" thickBot="1">
      <c r="A656" s="92" t="s">
        <v>6282</v>
      </c>
      <c r="B656" s="91" t="s">
        <v>5270</v>
      </c>
      <c r="C656" s="7" t="s">
        <v>6283</v>
      </c>
      <c r="G656" t="str">
        <f t="shared" si="22"/>
        <v>llll</v>
      </c>
      <c r="H656" t="str">
        <f>[1]!SplitText(A656,"(",1)</f>
        <v xml:space="preserve">  Selected</v>
      </c>
    </row>
    <row r="657" spans="1:8" ht="41.25" thickBot="1">
      <c r="A657" s="92" t="s">
        <v>6284</v>
      </c>
      <c r="B657" s="91" t="s">
        <v>5316</v>
      </c>
      <c r="C657" s="7" t="s">
        <v>6285</v>
      </c>
      <c r="G657" t="str">
        <f t="shared" si="22"/>
        <v>llll</v>
      </c>
      <c r="H657" t="str">
        <f>[1]!SplitText(A657,"(",1)</f>
        <v xml:space="preserve">  SetActive</v>
      </c>
    </row>
    <row r="658" spans="1:8" ht="67.5">
      <c r="A658" s="96" t="s">
        <v>6286</v>
      </c>
      <c r="B658" s="91" t="s">
        <v>5467</v>
      </c>
      <c r="C658" s="7" t="s">
        <v>6287</v>
      </c>
      <c r="G658" t="str">
        <f t="shared" si="22"/>
        <v>llll</v>
      </c>
      <c r="H658" t="str">
        <f>[1]!SplitText(A658,"(",1)</f>
        <v xml:space="preserve">  SetFieldProperty</v>
      </c>
    </row>
    <row r="659" spans="1:8" ht="17.25" thickBot="1">
      <c r="A659" s="115" t="s">
        <v>3177</v>
      </c>
      <c r="B659" s="115" t="s">
        <v>3178</v>
      </c>
      <c r="G659" t="str">
        <f t="shared" si="22"/>
        <v>llll</v>
      </c>
      <c r="H659" t="str">
        <f>[1]!SplitText(A659,"(",1)</f>
        <v>2.5.39</v>
      </c>
    </row>
    <row r="660" spans="1:8" ht="17.25" thickBot="1">
      <c r="A660" s="102" t="s">
        <v>1963</v>
      </c>
      <c r="B660" s="103" t="s">
        <v>1635</v>
      </c>
      <c r="C660" s="103" t="s">
        <v>1593</v>
      </c>
      <c r="G660" t="str">
        <f t="shared" si="22"/>
        <v>llll</v>
      </c>
      <c r="H660" t="str">
        <f>[1]!SplitText(A660,"(",1)</f>
        <v>Member</v>
      </c>
    </row>
    <row r="661" spans="1:8" ht="26.25" thickBot="1">
      <c r="A661" s="104" t="s">
        <v>2892</v>
      </c>
      <c r="B661" s="5" t="s">
        <v>3179</v>
      </c>
      <c r="C661" s="6" t="s">
        <v>3180</v>
      </c>
      <c r="G661" t="str">
        <f t="shared" si="22"/>
        <v>llll</v>
      </c>
      <c r="H661" t="str">
        <f>[1]!SplitText(A661,"(",1)</f>
        <v>val</v>
      </c>
    </row>
    <row r="662" spans="1:8" ht="17.25" thickBot="1">
      <c r="A662" s="104" t="s">
        <v>3181</v>
      </c>
      <c r="B662" s="5" t="s">
        <v>3182</v>
      </c>
      <c r="C662" s="5" t="s">
        <v>3183</v>
      </c>
      <c r="G662" t="str">
        <f t="shared" si="22"/>
        <v>llll</v>
      </c>
      <c r="H662" t="str">
        <f>[1]!SplitText(A662,"(",1)</f>
        <v>range</v>
      </c>
    </row>
    <row r="663" spans="1:8" ht="26.25" thickBot="1">
      <c r="A663" s="104" t="s">
        <v>3184</v>
      </c>
      <c r="B663" s="5" t="s">
        <v>3185</v>
      </c>
      <c r="C663" s="6" t="s">
        <v>3186</v>
      </c>
      <c r="G663" t="str">
        <f t="shared" si="22"/>
        <v>llll</v>
      </c>
      <c r="H663" t="str">
        <f>[1]!SplitText(A663,"(",1)</f>
        <v>ndp</v>
      </c>
    </row>
    <row r="664" spans="1:8" ht="17.25" thickBot="1">
      <c r="A664" s="104" t="s">
        <v>3187</v>
      </c>
      <c r="B664" s="5" t="s">
        <v>3188</v>
      </c>
      <c r="C664" s="5" t="s">
        <v>3189</v>
      </c>
      <c r="G664" t="str">
        <f t="shared" si="22"/>
        <v>llll</v>
      </c>
      <c r="H664" t="str">
        <f>[1]!SplitText(A664,"(",1)</f>
        <v>modifiedEvents</v>
      </c>
    </row>
    <row r="665" spans="1:8" ht="17.25" thickBot="1">
      <c r="A665" s="104" t="s">
        <v>3190</v>
      </c>
      <c r="B665" s="5" t="s">
        <v>3188</v>
      </c>
      <c r="C665" s="5" t="s">
        <v>3191</v>
      </c>
      <c r="G665" t="str">
        <f t="shared" si="22"/>
        <v>llll</v>
      </c>
      <c r="H665" t="str">
        <f>[1]!SplitText(A665,"(",1)</f>
        <v>editable</v>
      </c>
    </row>
    <row r="666" spans="1:8" ht="39" thickBot="1">
      <c r="A666" s="135" t="s">
        <v>3194</v>
      </c>
      <c r="B666" s="5" t="s">
        <v>1632</v>
      </c>
      <c r="C666" s="6" t="s">
        <v>3195</v>
      </c>
      <c r="G666" t="str">
        <f t="shared" si="22"/>
        <v>llll</v>
      </c>
      <c r="H666" t="str">
        <f>[1]!SplitText(A666,"(",1)</f>
        <v>setRange</v>
      </c>
    </row>
    <row r="667" spans="1:8" ht="17.25" thickBot="1">
      <c r="A667" s="115" t="s">
        <v>3202</v>
      </c>
      <c r="B667" s="115" t="s">
        <v>1602</v>
      </c>
      <c r="G667" t="str">
        <f t="shared" si="22"/>
        <v>llll</v>
      </c>
      <c r="H667" t="str">
        <f>[1]!SplitText(A667,"(",1)</f>
        <v>2.5.40</v>
      </c>
    </row>
    <row r="668" spans="1:8" ht="17.25" thickBot="1">
      <c r="A668" s="102" t="s">
        <v>1591</v>
      </c>
      <c r="B668" s="103" t="s">
        <v>1592</v>
      </c>
      <c r="C668" s="103" t="s">
        <v>1593</v>
      </c>
      <c r="G668" t="str">
        <f t="shared" si="22"/>
        <v>llll</v>
      </c>
      <c r="H668" t="str">
        <f>[1]!SplitText(A668,"(",1)</f>
        <v>Name</v>
      </c>
    </row>
    <row r="669" spans="1:8" ht="17.25" thickBot="1">
      <c r="A669" s="4" t="s">
        <v>6288</v>
      </c>
      <c r="B669" s="5" t="s">
        <v>5177</v>
      </c>
      <c r="C669" s="6" t="s">
        <v>6289</v>
      </c>
      <c r="G669" t="str">
        <f t="shared" si="22"/>
        <v>llll</v>
      </c>
      <c r="H669" t="str">
        <f>[1]!SplitText(A669,"(",1)</f>
        <v xml:space="preserve">  GetPathName</v>
      </c>
    </row>
    <row r="670" spans="1:8" ht="17.25" thickBot="1">
      <c r="A670" s="115" t="s">
        <v>3208</v>
      </c>
      <c r="B670" s="115" t="s">
        <v>3209</v>
      </c>
      <c r="G670" t="str">
        <f t="shared" si="22"/>
        <v>llll</v>
      </c>
      <c r="H670" t="str">
        <f>[1]!SplitText(A670,"(",1)</f>
        <v>2.5.41</v>
      </c>
    </row>
    <row r="671" spans="1:8" ht="17.25" thickBot="1">
      <c r="A671" s="102" t="s">
        <v>1591</v>
      </c>
      <c r="B671" s="103" t="s">
        <v>1635</v>
      </c>
      <c r="C671" s="103" t="s">
        <v>1593</v>
      </c>
      <c r="G671" t="str">
        <f t="shared" si="22"/>
        <v>llll</v>
      </c>
      <c r="H671" t="str">
        <f>[1]!SplitText(A671,"(",1)</f>
        <v>Name</v>
      </c>
    </row>
    <row r="672" spans="1:8" ht="17.25" thickBot="1">
      <c r="A672" s="92" t="s">
        <v>5540</v>
      </c>
      <c r="B672" s="8" t="s">
        <v>5541</v>
      </c>
      <c r="C672" s="91" t="s">
        <v>5542</v>
      </c>
      <c r="G672" t="str">
        <f t="shared" si="22"/>
        <v>llll</v>
      </c>
      <c r="H672" t="str">
        <f>[1]!SplitText(A672,"(",1)</f>
        <v xml:space="preserve">  DText  </v>
      </c>
    </row>
    <row r="673" spans="1:8" ht="17.25" thickBot="1">
      <c r="A673" s="92" t="s">
        <v>6098</v>
      </c>
      <c r="B673" s="8" t="s">
        <v>6099</v>
      </c>
      <c r="C673" s="91" t="s">
        <v>5545</v>
      </c>
      <c r="G673" t="str">
        <f t="shared" si="22"/>
        <v>llll</v>
      </c>
      <c r="H673" t="str">
        <f>[1]!SplitText(A673,"(",1)</f>
        <v xml:space="preserve">  DText[n] </v>
      </c>
    </row>
    <row r="674" spans="1:8">
      <c r="A674" s="92" t="s">
        <v>5546</v>
      </c>
      <c r="B674" s="8" t="s">
        <v>5541</v>
      </c>
      <c r="C674" s="91" t="s">
        <v>5547</v>
      </c>
      <c r="G674" t="str">
        <f t="shared" si="22"/>
        <v>llll</v>
      </c>
      <c r="H674" t="str">
        <f>[1]!SplitText(A674,"(",1)</f>
        <v xml:space="preserve">  RText  </v>
      </c>
    </row>
    <row r="675" spans="1:8" ht="17.25" thickBot="1">
      <c r="A675" s="4" t="s">
        <v>6290</v>
      </c>
      <c r="B675" s="5" t="s">
        <v>5549</v>
      </c>
      <c r="C675" s="6" t="s">
        <v>5550</v>
      </c>
      <c r="G675" t="str">
        <f t="shared" si="22"/>
        <v>llll</v>
      </c>
      <c r="H675" t="str">
        <f>[1]!SplitText(A675,"(",1)</f>
        <v xml:space="preserve">  RText[n]</v>
      </c>
    </row>
    <row r="676" spans="1:8" ht="17.25" thickBot="1">
      <c r="A676" s="176" t="s">
        <v>5557</v>
      </c>
      <c r="B676" s="8" t="s">
        <v>5558</v>
      </c>
      <c r="C676" s="91" t="s">
        <v>5559</v>
      </c>
      <c r="G676" t="str">
        <f t="shared" si="22"/>
        <v>llll</v>
      </c>
      <c r="H676" t="str">
        <f>[1]!SplitText(A676,"(",1)</f>
        <v xml:space="preserve">  Count </v>
      </c>
    </row>
    <row r="677" spans="1:8" ht="25.5">
      <c r="A677" s="176" t="s">
        <v>5560</v>
      </c>
      <c r="B677" s="8" t="s">
        <v>5186</v>
      </c>
      <c r="C677" s="91" t="s">
        <v>5561</v>
      </c>
      <c r="G677" t="str">
        <f t="shared" si="22"/>
        <v>llll</v>
      </c>
      <c r="H677" t="str">
        <f>[1]!SplitText(A677,"(",1)</f>
        <v xml:space="preserve">  Val </v>
      </c>
    </row>
    <row r="678" spans="1:8" ht="26.25" thickBot="1">
      <c r="A678" s="4" t="s">
        <v>5562</v>
      </c>
      <c r="B678" s="6" t="s">
        <v>5273</v>
      </c>
      <c r="C678" s="6" t="s">
        <v>5563</v>
      </c>
      <c r="G678" t="str">
        <f t="shared" si="22"/>
        <v>llll</v>
      </c>
      <c r="H678" t="str">
        <f>[1]!SplitText(A678,"(",1)</f>
        <v xml:space="preserve">  Add</v>
      </c>
    </row>
    <row r="679" spans="1:8" ht="39" thickBot="1">
      <c r="A679" s="4" t="s">
        <v>5564</v>
      </c>
      <c r="B679" s="6" t="s">
        <v>5273</v>
      </c>
      <c r="C679" s="6" t="s">
        <v>5565</v>
      </c>
      <c r="G679" t="str">
        <f t="shared" si="22"/>
        <v>llll</v>
      </c>
      <c r="H679" t="str">
        <f>[1]!SplitText(A679,"(",1)</f>
        <v xml:space="preserve">  Add</v>
      </c>
    </row>
    <row r="680" spans="1:8" ht="17.25" thickBot="1">
      <c r="A680" s="4" t="s">
        <v>5277</v>
      </c>
      <c r="B680" s="6" t="s">
        <v>5273</v>
      </c>
      <c r="C680" s="5" t="s">
        <v>5566</v>
      </c>
      <c r="G680" t="str">
        <f t="shared" si="22"/>
        <v>llll</v>
      </c>
      <c r="H680" t="str">
        <f>[1]!SplitText(A680,"(",1)</f>
        <v xml:space="preserve">  Clear</v>
      </c>
    </row>
    <row r="681" spans="1:8" ht="17.25" thickBot="1">
      <c r="A681" s="4" t="s">
        <v>5567</v>
      </c>
      <c r="B681" s="6" t="s">
        <v>5273</v>
      </c>
      <c r="C681" s="6" t="s">
        <v>5568</v>
      </c>
      <c r="G681" t="str">
        <f t="shared" si="22"/>
        <v>llll</v>
      </c>
      <c r="H681" t="str">
        <f>[1]!SplitText(A681,"(",1)</f>
        <v xml:space="preserve">  ClearSelection</v>
      </c>
    </row>
    <row r="682" spans="1:8" ht="17.25" thickBot="1">
      <c r="A682" s="4" t="s">
        <v>5388</v>
      </c>
      <c r="B682" s="5" t="s">
        <v>5177</v>
      </c>
      <c r="C682" s="5" t="s">
        <v>5569</v>
      </c>
      <c r="G682" t="str">
        <f t="shared" si="22"/>
        <v>llll</v>
      </c>
      <c r="H682" t="str">
        <f>[1]!SplitText(A682,"(",1)</f>
        <v xml:space="preserve">  FullName</v>
      </c>
    </row>
    <row r="683" spans="1:8" ht="17.25" thickBot="1">
      <c r="A683" s="4" t="s">
        <v>5470</v>
      </c>
      <c r="B683" s="5" t="s">
        <v>5177</v>
      </c>
      <c r="C683" s="5" t="s">
        <v>5570</v>
      </c>
      <c r="G683" t="str">
        <f t="shared" si="22"/>
        <v>llll</v>
      </c>
      <c r="H683" t="str">
        <f>[1]!SplitText(A683,"(",1)</f>
        <v xml:space="preserve">  Name</v>
      </c>
    </row>
    <row r="684" spans="1:8" ht="17.25" thickBot="1">
      <c r="A684" s="4" t="s">
        <v>5396</v>
      </c>
      <c r="B684" s="5" t="s">
        <v>4994</v>
      </c>
      <c r="C684" s="5" t="s">
        <v>5472</v>
      </c>
      <c r="G684" t="str">
        <f t="shared" si="22"/>
        <v>llll</v>
      </c>
      <c r="H684" t="str">
        <f>[1]!SplitText(A684,"(",1)</f>
        <v xml:space="preserve">  Owner</v>
      </c>
    </row>
    <row r="685" spans="1:8" ht="40.5">
      <c r="A685" s="134" t="s">
        <v>5571</v>
      </c>
      <c r="B685" s="91" t="s">
        <v>5316</v>
      </c>
      <c r="C685" s="91" t="s">
        <v>5572</v>
      </c>
      <c r="G685" t="str">
        <f t="shared" si="22"/>
        <v>llll</v>
      </c>
      <c r="H685" t="str">
        <f>[1]!SplitText(A685,"(",1)</f>
        <v xml:space="preserve">  Select</v>
      </c>
    </row>
    <row r="686" spans="1:8" ht="17.25" thickBot="1">
      <c r="A686" s="4" t="s">
        <v>5573</v>
      </c>
      <c r="B686" s="5" t="s">
        <v>5177</v>
      </c>
      <c r="C686" s="5" t="s">
        <v>5574</v>
      </c>
      <c r="G686" t="str">
        <f t="shared" si="22"/>
        <v>llll</v>
      </c>
      <c r="H686" t="str">
        <f>[1]!SplitText(A686,"(",1)</f>
        <v xml:space="preserve">  Selection</v>
      </c>
    </row>
    <row r="687" spans="1:8" ht="27.75" thickBot="1">
      <c r="A687" s="4" t="s">
        <v>5575</v>
      </c>
      <c r="B687" s="5" t="s">
        <v>5177</v>
      </c>
      <c r="C687" s="6" t="s">
        <v>5576</v>
      </c>
      <c r="G687" t="str">
        <f t="shared" si="22"/>
        <v>llll</v>
      </c>
      <c r="H687" t="str">
        <f>[1]!SplitText(A687,"(",1)</f>
        <v xml:space="preserve">  Selection</v>
      </c>
    </row>
    <row r="688" spans="1:8" ht="27.75" thickBot="1">
      <c r="A688" s="4" t="s">
        <v>5473</v>
      </c>
      <c r="B688" s="6" t="s">
        <v>5273</v>
      </c>
      <c r="C688" s="6" t="s">
        <v>5579</v>
      </c>
      <c r="G688" t="str">
        <f t="shared" si="22"/>
        <v>llll</v>
      </c>
      <c r="H688" t="str">
        <f>[1]!SplitText(A688,"(",1)</f>
        <v xml:space="preserve">  SetPopup</v>
      </c>
    </row>
    <row r="689" spans="1:8">
      <c r="A689" s="92" t="s">
        <v>5580</v>
      </c>
      <c r="B689" s="8" t="s">
        <v>5581</v>
      </c>
      <c r="C689" s="91" t="s">
        <v>5582</v>
      </c>
      <c r="G689" t="str">
        <f t="shared" si="22"/>
        <v>llll</v>
      </c>
      <c r="H689" t="str">
        <f>[1]!SplitText(A689,"(",1)</f>
        <v xml:space="preserve">  Refresh</v>
      </c>
    </row>
    <row r="690" spans="1:8" ht="17.25" thickBot="1">
      <c r="A690" s="4" t="s">
        <v>5480</v>
      </c>
      <c r="B690" s="6" t="s">
        <v>5273</v>
      </c>
      <c r="C690" s="5" t="s">
        <v>5481</v>
      </c>
      <c r="G690" t="str">
        <f t="shared" si="22"/>
        <v>llll</v>
      </c>
      <c r="H690" t="str">
        <f>[1]!SplitText(A690,"(",1)</f>
        <v xml:space="preserve">  SetFocus</v>
      </c>
    </row>
    <row r="691" spans="1:8" ht="27.75" thickBot="1">
      <c r="A691" s="4" t="s">
        <v>5475</v>
      </c>
      <c r="B691" s="6" t="s">
        <v>5273</v>
      </c>
      <c r="C691" s="6" t="s">
        <v>5583</v>
      </c>
      <c r="G691" t="str">
        <f t="shared" si="22"/>
        <v>llll</v>
      </c>
      <c r="H691" t="str">
        <f>[1]!SplitText(A691,"(",1)</f>
        <v xml:space="preserve">  RemovePopup</v>
      </c>
    </row>
    <row r="692" spans="1:8" ht="17.25" thickBot="1">
      <c r="A692" s="4" t="s">
        <v>5477</v>
      </c>
      <c r="B692" s="5" t="s">
        <v>5478</v>
      </c>
      <c r="C692" s="6" t="s">
        <v>5584</v>
      </c>
      <c r="G692" t="str">
        <f t="shared" si="22"/>
        <v>llll</v>
      </c>
      <c r="H692" t="str">
        <f>[1]!SplitText(A692,"(",1)</f>
        <v xml:space="preserve">  GetPickedPopup</v>
      </c>
    </row>
    <row r="693" spans="1:8" ht="17.25" thickBot="1">
      <c r="A693" s="4" t="s">
        <v>5404</v>
      </c>
      <c r="B693" s="5" t="s">
        <v>5265</v>
      </c>
      <c r="C693" s="5" t="s">
        <v>5585</v>
      </c>
      <c r="G693" t="str">
        <f t="shared" si="22"/>
        <v>llll</v>
      </c>
      <c r="H693" t="str">
        <f>[1]!SplitText(A693,"(",1)</f>
        <v xml:space="preserve">  Shown</v>
      </c>
    </row>
    <row r="694" spans="1:8" ht="17.25" thickBot="1">
      <c r="A694" s="4" t="s">
        <v>5406</v>
      </c>
      <c r="B694" s="5" t="s">
        <v>5177</v>
      </c>
      <c r="C694" s="5" t="s">
        <v>5586</v>
      </c>
      <c r="G694" t="str">
        <f t="shared" si="22"/>
        <v>llll</v>
      </c>
      <c r="H694" t="str">
        <f>[1]!SplitText(A694,"(",1)</f>
        <v xml:space="preserve">  Type</v>
      </c>
    </row>
    <row r="695" spans="1:8" ht="63.75">
      <c r="A695" s="92" t="s">
        <v>5484</v>
      </c>
      <c r="B695" s="91" t="s">
        <v>5174</v>
      </c>
      <c r="C695" s="8" t="s">
        <v>5485</v>
      </c>
      <c r="G695" t="str">
        <f t="shared" si="22"/>
        <v>llll</v>
      </c>
      <c r="H695" t="str">
        <f>[1]!SplitText(A695,"(",1)</f>
        <v xml:space="preserve">  Background</v>
      </c>
    </row>
    <row r="696" spans="1:8" ht="26.25" thickBot="1">
      <c r="A696" s="4" t="s">
        <v>5587</v>
      </c>
      <c r="B696" s="5" t="s">
        <v>5177</v>
      </c>
      <c r="C696" s="6" t="s">
        <v>5588</v>
      </c>
      <c r="G696" t="str">
        <f t="shared" ref="G696:G740" si="23">IF(ISERROR(SEARCH("table 2:",A696&amp;B696&amp;C696&amp;D696&amp;E696&amp;F696,1)*1),"llll","o")</f>
        <v>llll</v>
      </c>
      <c r="H696" t="str">
        <f>[1]!SplitText(A696,"(",1)</f>
        <v xml:space="preserve">  DisplayText</v>
      </c>
    </row>
    <row r="697" spans="1:8" ht="17.25" thickBot="1">
      <c r="A697" s="4" t="s">
        <v>5589</v>
      </c>
      <c r="B697" s="6" t="s">
        <v>5273</v>
      </c>
      <c r="C697" s="6" t="s">
        <v>5590</v>
      </c>
      <c r="G697" t="str">
        <f t="shared" si="23"/>
        <v>llll</v>
      </c>
      <c r="H697" t="str">
        <f>[1]!SplitText(A697,"(",1)</f>
        <v xml:space="preserve">  SetPopup</v>
      </c>
    </row>
    <row r="698" spans="1:8" ht="17.25" thickBot="1">
      <c r="A698" s="4" t="s">
        <v>5591</v>
      </c>
      <c r="B698" s="6" t="s">
        <v>5273</v>
      </c>
      <c r="C698" s="6" t="s">
        <v>5592</v>
      </c>
      <c r="G698" t="str">
        <f t="shared" si="23"/>
        <v>llll</v>
      </c>
      <c r="H698" t="str">
        <f>[1]!SplitText(A698,"(",1)</f>
        <v xml:space="preserve">  Clear</v>
      </c>
    </row>
    <row r="699" spans="1:8" ht="27.75" thickBot="1">
      <c r="A699" s="4" t="s">
        <v>5593</v>
      </c>
      <c r="B699" s="6" t="s">
        <v>5273</v>
      </c>
      <c r="C699" s="5" t="s">
        <v>5594</v>
      </c>
      <c r="G699" t="str">
        <f t="shared" si="23"/>
        <v>llll</v>
      </c>
      <c r="H699" t="str">
        <f>[1]!SplitText(A699,"(",1)</f>
        <v xml:space="preserve">  Clear</v>
      </c>
    </row>
    <row r="700" spans="1:8" ht="17.25" thickBot="1">
      <c r="A700" s="115" t="s">
        <v>3216</v>
      </c>
      <c r="B700" s="115" t="s">
        <v>3217</v>
      </c>
      <c r="G700" t="str">
        <f t="shared" si="23"/>
        <v>llll</v>
      </c>
      <c r="H700" t="str">
        <f>[1]!SplitText(A700,"(",1)</f>
        <v>2.5.42</v>
      </c>
    </row>
    <row r="701" spans="1:8" ht="17.25" thickBot="1">
      <c r="A701" s="102" t="s">
        <v>1591</v>
      </c>
      <c r="B701" s="103" t="s">
        <v>1635</v>
      </c>
      <c r="C701" s="103" t="s">
        <v>1593</v>
      </c>
      <c r="G701" t="str">
        <f t="shared" si="23"/>
        <v>llll</v>
      </c>
      <c r="H701" t="str">
        <f>[1]!SplitText(A701,"(",1)</f>
        <v>Name</v>
      </c>
    </row>
    <row r="702" spans="1:8" ht="17.25" thickBot="1">
      <c r="A702" s="4" t="s">
        <v>6291</v>
      </c>
      <c r="B702" s="5" t="s">
        <v>5186</v>
      </c>
      <c r="C702" s="5" t="s">
        <v>6292</v>
      </c>
      <c r="G702" t="str">
        <f t="shared" si="23"/>
        <v>llll</v>
      </c>
      <c r="H702" t="str">
        <f>[1]!SplitText(A702,"(",1)</f>
        <v xml:space="preserve">  Alpha </v>
      </c>
    </row>
    <row r="703" spans="1:8" ht="17.25" thickBot="1">
      <c r="A703" s="4" t="s">
        <v>6293</v>
      </c>
      <c r="B703" s="5" t="s">
        <v>5186</v>
      </c>
      <c r="C703" s="5" t="s">
        <v>6294</v>
      </c>
      <c r="G703" t="str">
        <f t="shared" si="23"/>
        <v>llll</v>
      </c>
      <c r="H703" t="str">
        <f>[1]!SplitText(A703,"(",1)</f>
        <v xml:space="preserve">  Beta </v>
      </c>
    </row>
    <row r="704" spans="1:8" ht="17.25" thickBot="1">
      <c r="A704" s="4" t="s">
        <v>6295</v>
      </c>
      <c r="B704" s="5" t="s">
        <v>5186</v>
      </c>
      <c r="C704" s="5" t="s">
        <v>6296</v>
      </c>
      <c r="G704" t="str">
        <f t="shared" si="23"/>
        <v>llll</v>
      </c>
      <c r="H704" t="str">
        <f>[1]!SplitText(A704,"(",1)</f>
        <v xml:space="preserve">  Gamma </v>
      </c>
    </row>
    <row r="705" spans="1:8">
      <c r="A705" s="92" t="s">
        <v>5735</v>
      </c>
      <c r="B705" s="8" t="s">
        <v>6297</v>
      </c>
      <c r="C705" s="91" t="s">
        <v>6298</v>
      </c>
      <c r="G705" t="str">
        <f t="shared" si="23"/>
        <v>llll</v>
      </c>
      <c r="H705" t="str">
        <f>[1]!SplitText(A705,"(",1)</f>
        <v xml:space="preserve">  Origin  </v>
      </c>
    </row>
    <row r="706" spans="1:8" ht="27.75" thickBot="1">
      <c r="A706" s="4" t="s">
        <v>6299</v>
      </c>
      <c r="B706" s="6" t="s">
        <v>6300</v>
      </c>
      <c r="C706" s="5" t="s">
        <v>6301</v>
      </c>
      <c r="G706" t="str">
        <f t="shared" si="23"/>
        <v>llll</v>
      </c>
      <c r="H706" t="str">
        <f>[1]!SplitText(A706,"(",1)</f>
        <v xml:space="preserve">  Orientation</v>
      </c>
    </row>
    <row r="707" spans="1:8" ht="27.75" thickBot="1">
      <c r="A707" s="4" t="s">
        <v>6302</v>
      </c>
      <c r="B707" s="6" t="s">
        <v>6300</v>
      </c>
      <c r="C707" s="6" t="s">
        <v>6303</v>
      </c>
      <c r="G707" t="str">
        <f t="shared" si="23"/>
        <v>llll</v>
      </c>
      <c r="H707" t="str">
        <f>[1]!SplitText(A707,"(",1)</f>
        <v xml:space="preserve">  Orientation</v>
      </c>
    </row>
    <row r="708" spans="1:8" ht="17.25" thickBot="1">
      <c r="A708" s="4" t="s">
        <v>6304</v>
      </c>
      <c r="B708" s="5" t="s">
        <v>5265</v>
      </c>
      <c r="C708" s="5" t="s">
        <v>6305</v>
      </c>
      <c r="G708" t="str">
        <f t="shared" si="23"/>
        <v>llll</v>
      </c>
      <c r="H708" t="str">
        <f>[1]!SplitText(A708,"(",1)</f>
        <v xml:space="preserve">  EQ</v>
      </c>
    </row>
    <row r="709" spans="1:8" ht="17.25" thickBot="1">
      <c r="A709" s="4" t="s">
        <v>6306</v>
      </c>
      <c r="B709" s="5" t="s">
        <v>5265</v>
      </c>
      <c r="C709" s="6" t="s">
        <v>6307</v>
      </c>
      <c r="G709" t="str">
        <f t="shared" si="23"/>
        <v>llll</v>
      </c>
      <c r="H709" t="str">
        <f>[1]!SplitText(A709,"(",1)</f>
        <v xml:space="preserve">  LT</v>
      </c>
    </row>
    <row r="710" spans="1:8" ht="17.25" thickBot="1">
      <c r="A710" s="4" t="s">
        <v>5746</v>
      </c>
      <c r="B710" s="5" t="s">
        <v>5177</v>
      </c>
      <c r="C710" s="5" t="s">
        <v>6308</v>
      </c>
      <c r="G710" t="str">
        <f t="shared" si="23"/>
        <v>llll</v>
      </c>
      <c r="H710" t="str">
        <f>[1]!SplitText(A710,"(",1)</f>
        <v xml:space="preserve">  String</v>
      </c>
    </row>
    <row r="711" spans="1:8" ht="17.25" thickBot="1">
      <c r="A711" s="4" t="s">
        <v>6309</v>
      </c>
      <c r="B711" s="6" t="s">
        <v>6300</v>
      </c>
      <c r="C711" s="6" t="s">
        <v>6310</v>
      </c>
      <c r="G711" t="str">
        <f t="shared" si="23"/>
        <v>llll</v>
      </c>
      <c r="H711" t="str">
        <f>[1]!SplitText(A711,"(",1)</f>
        <v xml:space="preserve">  WRT</v>
      </c>
    </row>
    <row r="712" spans="1:8" ht="17.25" thickBot="1">
      <c r="A712" s="92" t="s">
        <v>6311</v>
      </c>
      <c r="B712" s="91" t="s">
        <v>5763</v>
      </c>
      <c r="C712" s="7" t="s">
        <v>6312</v>
      </c>
      <c r="G712" t="str">
        <f t="shared" si="23"/>
        <v>llll</v>
      </c>
      <c r="H712" t="str">
        <f>[1]!SplitText(A712,"(",1)</f>
        <v xml:space="preserve">  XDir</v>
      </c>
    </row>
    <row r="713" spans="1:8" ht="17.25" thickBot="1">
      <c r="A713" s="92" t="s">
        <v>6313</v>
      </c>
      <c r="B713" s="91" t="s">
        <v>5763</v>
      </c>
      <c r="C713" s="7" t="s">
        <v>6314</v>
      </c>
      <c r="G713" t="str">
        <f t="shared" si="23"/>
        <v>llll</v>
      </c>
      <c r="H713" t="str">
        <f>[1]!SplitText(A713,"(",1)</f>
        <v xml:space="preserve">  YDir</v>
      </c>
    </row>
    <row r="714" spans="1:8">
      <c r="A714" s="92" t="s">
        <v>6315</v>
      </c>
      <c r="B714" s="91" t="s">
        <v>6316</v>
      </c>
      <c r="C714" s="7" t="s">
        <v>6317</v>
      </c>
      <c r="G714" t="str">
        <f t="shared" si="23"/>
        <v>llll</v>
      </c>
      <c r="H714" t="str">
        <f>[1]!SplitText(A714,"(",1)</f>
        <v xml:space="preserve">  ZDir</v>
      </c>
    </row>
    <row r="715" spans="1:8" ht="17.25" thickBot="1">
      <c r="A715" s="115" t="s">
        <v>3250</v>
      </c>
      <c r="B715" s="115" t="s">
        <v>5110</v>
      </c>
      <c r="G715" t="str">
        <f t="shared" si="23"/>
        <v>llll</v>
      </c>
      <c r="H715" t="str">
        <f>[1]!SplitText(A715,"(",1)</f>
        <v>2.5.43</v>
      </c>
    </row>
    <row r="716" spans="1:8" ht="17.25" thickBot="1">
      <c r="A716" s="102" t="s">
        <v>1591</v>
      </c>
      <c r="B716" s="103" t="s">
        <v>1635</v>
      </c>
      <c r="C716" s="103" t="s">
        <v>1593</v>
      </c>
      <c r="G716" t="str">
        <f t="shared" si="23"/>
        <v>llll</v>
      </c>
      <c r="H716" t="str">
        <f>[1]!SplitText(A716,"(",1)</f>
        <v>Name</v>
      </c>
    </row>
    <row r="717" spans="1:8" ht="25.5">
      <c r="A717" s="92" t="s">
        <v>5464</v>
      </c>
      <c r="B717" s="8" t="s">
        <v>5596</v>
      </c>
      <c r="C717" s="7" t="s">
        <v>6318</v>
      </c>
      <c r="G717" t="str">
        <f t="shared" si="23"/>
        <v>llll</v>
      </c>
      <c r="H717" t="str">
        <f>[1]!SplitText(A717,"(",1)</f>
        <v xml:space="preserve">  Val  </v>
      </c>
    </row>
    <row r="718" spans="1:8" ht="17.25" thickBot="1">
      <c r="A718" s="4" t="s">
        <v>6319</v>
      </c>
      <c r="B718" s="5" t="s">
        <v>5186</v>
      </c>
      <c r="C718" s="6" t="s">
        <v>6320</v>
      </c>
      <c r="G718" t="str">
        <f t="shared" si="23"/>
        <v>llll</v>
      </c>
      <c r="H718" t="str">
        <f>[1]!SplitText(A718,"(",1)</f>
        <v xml:space="preserve">  Background</v>
      </c>
    </row>
    <row r="719" spans="1:8" ht="17.25" thickBot="1">
      <c r="A719" s="92" t="s">
        <v>5459</v>
      </c>
      <c r="B719" s="8" t="s">
        <v>5596</v>
      </c>
      <c r="C719" s="91" t="s">
        <v>6321</v>
      </c>
      <c r="G719" t="str">
        <f t="shared" si="23"/>
        <v>llll</v>
      </c>
      <c r="H719" t="str">
        <f>[1]!SplitText(A719,"(",1)</f>
        <v xml:space="preserve">  Background </v>
      </c>
    </row>
    <row r="720" spans="1:8" ht="67.5">
      <c r="A720" s="96" t="s">
        <v>6322</v>
      </c>
      <c r="B720" s="91" t="s">
        <v>6323</v>
      </c>
      <c r="C720" s="91" t="s">
        <v>6324</v>
      </c>
      <c r="G720" t="str">
        <f t="shared" si="23"/>
        <v>llll</v>
      </c>
      <c r="H720" t="str">
        <f>[1]!SplitText(A720,"(",1)</f>
        <v xml:space="preserve">  AddPixmap</v>
      </c>
    </row>
    <row r="721" spans="1:8" ht="17.25" thickBot="1">
      <c r="A721" s="4" t="s">
        <v>5388</v>
      </c>
      <c r="B721" s="5" t="s">
        <v>5177</v>
      </c>
      <c r="C721" s="5" t="s">
        <v>5469</v>
      </c>
      <c r="G721" t="str">
        <f t="shared" si="23"/>
        <v>llll</v>
      </c>
      <c r="H721" t="str">
        <f>[1]!SplitText(A721,"(",1)</f>
        <v xml:space="preserve">  FullName</v>
      </c>
    </row>
    <row r="722" spans="1:8" ht="17.25" thickBot="1">
      <c r="A722" s="4" t="s">
        <v>5470</v>
      </c>
      <c r="B722" s="5" t="s">
        <v>5177</v>
      </c>
      <c r="C722" s="5" t="s">
        <v>5471</v>
      </c>
      <c r="G722" t="str">
        <f t="shared" si="23"/>
        <v>llll</v>
      </c>
      <c r="H722" t="str">
        <f>[1]!SplitText(A722,"(",1)</f>
        <v xml:space="preserve">  Name</v>
      </c>
    </row>
    <row r="723" spans="1:8" ht="17.25" thickBot="1">
      <c r="A723" s="4" t="s">
        <v>5396</v>
      </c>
      <c r="B723" s="5" t="s">
        <v>4994</v>
      </c>
      <c r="C723" s="5" t="s">
        <v>5472</v>
      </c>
      <c r="G723" t="str">
        <f t="shared" si="23"/>
        <v>llll</v>
      </c>
      <c r="H723" t="str">
        <f>[1]!SplitText(A723,"(",1)</f>
        <v xml:space="preserve">  Owner</v>
      </c>
    </row>
    <row r="724" spans="1:8" ht="17.25" thickBot="1">
      <c r="A724" s="4" t="s">
        <v>6325</v>
      </c>
      <c r="B724" s="6" t="s">
        <v>5273</v>
      </c>
      <c r="C724" s="6" t="s">
        <v>5474</v>
      </c>
      <c r="G724" t="str">
        <f t="shared" si="23"/>
        <v>llll</v>
      </c>
      <c r="H724" t="str">
        <f>[1]!SplitText(A724,"(",1)</f>
        <v xml:space="preserve">  SetPopup </v>
      </c>
    </row>
    <row r="725" spans="1:8" ht="17.25" thickBot="1">
      <c r="A725" s="4" t="s">
        <v>5932</v>
      </c>
      <c r="B725" s="6" t="s">
        <v>5273</v>
      </c>
      <c r="C725" s="6" t="s">
        <v>5476</v>
      </c>
      <c r="G725" t="str">
        <f t="shared" si="23"/>
        <v>llll</v>
      </c>
      <c r="H725" t="str">
        <f>[1]!SplitText(A725,"(",1)</f>
        <v xml:space="preserve">  RemovePopup</v>
      </c>
    </row>
    <row r="726" spans="1:8" ht="17.25" thickBot="1">
      <c r="A726" s="4" t="s">
        <v>5477</v>
      </c>
      <c r="B726" s="5" t="s">
        <v>5478</v>
      </c>
      <c r="C726" s="6" t="s">
        <v>5584</v>
      </c>
      <c r="G726" t="str">
        <f t="shared" si="23"/>
        <v>llll</v>
      </c>
      <c r="H726" t="str">
        <f>[1]!SplitText(A726,"(",1)</f>
        <v xml:space="preserve">  GetPickedPopup</v>
      </c>
    </row>
    <row r="727" spans="1:8" ht="17.25" thickBot="1">
      <c r="A727" s="4" t="s">
        <v>5404</v>
      </c>
      <c r="B727" s="5" t="s">
        <v>5265</v>
      </c>
      <c r="C727" s="5" t="s">
        <v>5585</v>
      </c>
      <c r="G727" t="str">
        <f t="shared" si="23"/>
        <v>llll</v>
      </c>
      <c r="H727" t="str">
        <f>[1]!SplitText(A727,"(",1)</f>
        <v xml:space="preserve">  Shown</v>
      </c>
    </row>
    <row r="728" spans="1:8" ht="17.25" thickBot="1">
      <c r="A728" s="4" t="s">
        <v>5406</v>
      </c>
      <c r="B728" s="5" t="s">
        <v>5177</v>
      </c>
      <c r="C728" s="5" t="s">
        <v>6326</v>
      </c>
      <c r="G728" t="str">
        <f t="shared" si="23"/>
        <v>llll</v>
      </c>
      <c r="H728" t="str">
        <f>[1]!SplitText(A728,"(",1)</f>
        <v xml:space="preserve">  Type</v>
      </c>
    </row>
    <row r="729" spans="1:8" ht="63.75">
      <c r="A729" s="92" t="s">
        <v>5484</v>
      </c>
      <c r="B729" s="91" t="s">
        <v>5174</v>
      </c>
      <c r="C729" s="8" t="s">
        <v>5485</v>
      </c>
      <c r="G729" t="str">
        <f t="shared" si="23"/>
        <v>llll</v>
      </c>
      <c r="H729" t="str">
        <f>[1]!SplitText(A729,"(",1)</f>
        <v xml:space="preserve">  Background</v>
      </c>
    </row>
    <row r="730" spans="1:8" ht="17.25" thickBot="1">
      <c r="A730" s="115" t="s">
        <v>3267</v>
      </c>
      <c r="B730" s="115" t="s">
        <v>3268</v>
      </c>
      <c r="G730" t="str">
        <f t="shared" si="23"/>
        <v>llll</v>
      </c>
      <c r="H730" t="str">
        <f>[1]!SplitText(A730,"(",1)</f>
        <v>2.5.44</v>
      </c>
    </row>
    <row r="731" spans="1:8" ht="17.25" thickBot="1">
      <c r="A731" s="102" t="s">
        <v>1591</v>
      </c>
      <c r="B731" s="103" t="s">
        <v>1635</v>
      </c>
      <c r="C731" s="103" t="s">
        <v>1593</v>
      </c>
      <c r="G731" t="str">
        <f t="shared" si="23"/>
        <v>llll</v>
      </c>
      <c r="H731" t="str">
        <f>[1]!SplitText(A731,"(",1)</f>
        <v>Name</v>
      </c>
    </row>
    <row r="732" spans="1:8" ht="17.25" thickBot="1">
      <c r="A732" s="4" t="s">
        <v>6063</v>
      </c>
      <c r="B732" s="5" t="s">
        <v>5180</v>
      </c>
      <c r="C732" s="5" t="s">
        <v>6327</v>
      </c>
      <c r="G732" t="str">
        <f t="shared" si="23"/>
        <v>llll</v>
      </c>
      <c r="H732" t="str">
        <f>[1]!SplitText(A732,"(",1)</f>
        <v xml:space="preserve">  Orientation</v>
      </c>
    </row>
    <row r="733" spans="1:8">
      <c r="A733" s="92" t="s">
        <v>5182</v>
      </c>
      <c r="B733" s="8" t="s">
        <v>5183</v>
      </c>
      <c r="C733" s="91" t="s">
        <v>6328</v>
      </c>
      <c r="G733" t="str">
        <f t="shared" si="23"/>
        <v>llll</v>
      </c>
      <c r="H733" t="str">
        <f>[1]!SplitText(A733,"(",1)</f>
        <v xml:space="preserve">  Position </v>
      </c>
    </row>
    <row r="734" spans="1:8" ht="27.75" thickBot="1">
      <c r="A734" s="4" t="s">
        <v>6329</v>
      </c>
      <c r="B734" s="5" t="s">
        <v>6088</v>
      </c>
      <c r="C734" s="6" t="s">
        <v>6330</v>
      </c>
      <c r="G734" t="str">
        <f t="shared" si="23"/>
        <v>llll</v>
      </c>
      <c r="H734" t="str">
        <f>[1]!SplitText(A734,"(",1)</f>
        <v xml:space="preserve">  Plane</v>
      </c>
    </row>
    <row r="735" spans="1:8" ht="17.25" thickBot="1">
      <c r="A735" s="4" t="s">
        <v>5198</v>
      </c>
      <c r="B735" s="5" t="s">
        <v>5177</v>
      </c>
      <c r="C735" s="6" t="s">
        <v>6331</v>
      </c>
      <c r="G735" t="str">
        <f t="shared" si="23"/>
        <v>llll</v>
      </c>
      <c r="H735" t="str">
        <f>[1]!SplitText(A735,"(",1)</f>
        <v xml:space="preserve">  String</v>
      </c>
    </row>
    <row r="736" spans="1:8" ht="27.75" thickBot="1">
      <c r="A736" s="4" t="s">
        <v>6332</v>
      </c>
      <c r="B736" s="6" t="s">
        <v>5223</v>
      </c>
      <c r="C736" s="6" t="s">
        <v>6333</v>
      </c>
      <c r="G736" t="str">
        <f t="shared" si="23"/>
        <v>llll</v>
      </c>
      <c r="H736" t="str">
        <f>[1]!SplitText(A736,"(",1)</f>
        <v xml:space="preserve">  Direction</v>
      </c>
    </row>
    <row r="737" spans="1:8" ht="26.25" thickBot="1">
      <c r="A737" s="4" t="s">
        <v>6334</v>
      </c>
      <c r="B737" s="6" t="s">
        <v>5273</v>
      </c>
      <c r="C737" s="6" t="s">
        <v>6335</v>
      </c>
      <c r="G737" t="str">
        <f t="shared" si="23"/>
        <v>llll</v>
      </c>
      <c r="H737" t="str">
        <f>[1]!SplitText(A737,"(",1)</f>
        <v xml:space="preserve">  Towards</v>
      </c>
    </row>
    <row r="738" spans="1:8" ht="26.25" thickBot="1">
      <c r="A738" s="4" t="s">
        <v>6336</v>
      </c>
      <c r="B738" s="5" t="s">
        <v>5220</v>
      </c>
      <c r="C738" s="6" t="s">
        <v>6337</v>
      </c>
      <c r="G738" t="str">
        <f t="shared" si="23"/>
        <v>llll</v>
      </c>
      <c r="H738" t="str">
        <f>[1]!SplitText(A738,"(",1)</f>
        <v xml:space="preserve">  Intersection</v>
      </c>
    </row>
    <row r="739" spans="1:8" ht="27.75" thickBot="1">
      <c r="A739" s="96" t="s">
        <v>6338</v>
      </c>
      <c r="B739" s="91" t="s">
        <v>6339</v>
      </c>
      <c r="C739" s="91" t="s">
        <v>6340</v>
      </c>
      <c r="G739" t="str">
        <f t="shared" si="23"/>
        <v>llll</v>
      </c>
      <c r="H739" t="str">
        <f>[1]!SplitText(A739,"(",1)</f>
        <v xml:space="preserve">  Intersection</v>
      </c>
    </row>
    <row r="740" spans="1:8" ht="25.5">
      <c r="A740" s="92" t="s">
        <v>6341</v>
      </c>
      <c r="B740" s="7" t="s">
        <v>6342</v>
      </c>
      <c r="C740" s="91" t="s">
        <v>6343</v>
      </c>
      <c r="G740" t="str">
        <f t="shared" si="23"/>
        <v>llll</v>
      </c>
      <c r="H740" t="str">
        <f>[1]!SplitText(A740,"(",1)</f>
        <v xml:space="preserve">  Intersections</v>
      </c>
    </row>
    <row r="741" spans="1:8" ht="41.25" thickBot="1">
      <c r="A741" s="4" t="s">
        <v>6344</v>
      </c>
      <c r="B741" s="5" t="s">
        <v>5220</v>
      </c>
      <c r="C741" s="6" t="s">
        <v>6345</v>
      </c>
      <c r="G741" t="str">
        <f t="shared" ref="G741:G787" si="24">IF(ISERROR(SEARCH("table 2:",A741&amp;B741&amp;C741&amp;D741&amp;E741&amp;F741,1)*1),"llll","o")</f>
        <v>llll</v>
      </c>
      <c r="H741" t="str">
        <f>[1]!SplitText(A741,"(",1)</f>
        <v xml:space="preserve">  Intersection</v>
      </c>
    </row>
    <row r="742" spans="1:8" ht="25.5">
      <c r="A742" s="92" t="s">
        <v>6346</v>
      </c>
      <c r="B742" s="8" t="s">
        <v>6347</v>
      </c>
      <c r="C742" s="91" t="s">
        <v>6348</v>
      </c>
      <c r="G742" t="str">
        <f t="shared" si="24"/>
        <v>llll</v>
      </c>
      <c r="H742" t="str">
        <f>[1]!SplitText(A742,"(",1)</f>
        <v xml:space="preserve">  PointVector</v>
      </c>
    </row>
    <row r="743" spans="1:8" ht="41.25" thickBot="1">
      <c r="A743" s="4" t="s">
        <v>6349</v>
      </c>
      <c r="B743" s="5" t="s">
        <v>5220</v>
      </c>
      <c r="C743" s="6" t="s">
        <v>6350</v>
      </c>
      <c r="G743" t="str">
        <f t="shared" si="24"/>
        <v>llll</v>
      </c>
      <c r="H743" t="str">
        <f>[1]!SplitText(A743,"(",1)</f>
        <v xml:space="preserve">  ThreeDPosition</v>
      </c>
    </row>
    <row r="744" spans="1:8" ht="26.25" thickBot="1">
      <c r="A744" s="4" t="s">
        <v>5240</v>
      </c>
      <c r="B744" s="5" t="s">
        <v>5220</v>
      </c>
      <c r="C744" s="6" t="s">
        <v>6351</v>
      </c>
      <c r="G744" t="str">
        <f t="shared" si="24"/>
        <v>llll</v>
      </c>
      <c r="H744" t="str">
        <f>[1]!SplitText(A744,"(",1)</f>
        <v xml:space="preserve">  Near</v>
      </c>
    </row>
    <row r="745" spans="1:8" ht="17.25" thickBot="1">
      <c r="A745" s="4" t="s">
        <v>6352</v>
      </c>
      <c r="B745" s="5" t="s">
        <v>6353</v>
      </c>
      <c r="C745" s="6" t="s">
        <v>6354</v>
      </c>
      <c r="G745" t="str">
        <f t="shared" si="24"/>
        <v>llll</v>
      </c>
      <c r="H745" t="str">
        <f>[1]!SplitText(A745,"(",1)</f>
        <v xml:space="preserve">  Line</v>
      </c>
    </row>
    <row r="746" spans="1:8" ht="90" thickBot="1">
      <c r="A746" s="4" t="s">
        <v>6355</v>
      </c>
      <c r="B746" s="5" t="s">
        <v>6353</v>
      </c>
      <c r="C746" s="6" t="s">
        <v>6356</v>
      </c>
      <c r="G746" t="str">
        <f t="shared" si="24"/>
        <v>llll</v>
      </c>
      <c r="H746" t="str">
        <f>[1]!SplitText(A746,"(",1)</f>
        <v xml:space="preserve">  Intersection</v>
      </c>
    </row>
    <row r="747" spans="1:8" ht="25.5">
      <c r="A747" s="92" t="s">
        <v>6357</v>
      </c>
      <c r="B747" s="8" t="s">
        <v>6358</v>
      </c>
      <c r="C747" s="91" t="s">
        <v>6359</v>
      </c>
      <c r="G747" t="str">
        <f t="shared" si="24"/>
        <v>llll</v>
      </c>
      <c r="H747" t="str">
        <f>[1]!SplitText(A747,"(",1)</f>
        <v xml:space="preserve">  XYOffset</v>
      </c>
    </row>
    <row r="748" spans="1:8">
      <c r="A748" s="115" t="s">
        <v>3311</v>
      </c>
      <c r="B748" s="115" t="s">
        <v>3312</v>
      </c>
      <c r="G748" t="str">
        <f t="shared" si="24"/>
        <v>llll</v>
      </c>
      <c r="H748" t="str">
        <f>[1]!SplitText(A748,"(",1)</f>
        <v>2.5.45</v>
      </c>
    </row>
    <row r="749" spans="1:8" ht="17.25" thickBot="1">
      <c r="A749" s="126" t="s">
        <v>1874</v>
      </c>
      <c r="G749" t="str">
        <f t="shared" si="24"/>
        <v>llll</v>
      </c>
      <c r="H749" t="str">
        <f>[1]!SplitText(A749,"(",1)</f>
        <v>Members</v>
      </c>
    </row>
    <row r="750" spans="1:8" ht="17.25" thickBot="1">
      <c r="A750" s="102" t="s">
        <v>1591</v>
      </c>
      <c r="B750" s="103" t="s">
        <v>1635</v>
      </c>
      <c r="C750" s="103" t="s">
        <v>1593</v>
      </c>
      <c r="G750" t="str">
        <f t="shared" si="24"/>
        <v>llll</v>
      </c>
      <c r="H750" t="str">
        <f>[1]!SplitText(A750,"(",1)</f>
        <v>Name</v>
      </c>
    </row>
    <row r="751" spans="1:8" ht="17.25" thickBot="1">
      <c r="A751" s="92" t="s">
        <v>5182</v>
      </c>
      <c r="B751" s="8" t="s">
        <v>5183</v>
      </c>
      <c r="C751" s="91" t="s">
        <v>6360</v>
      </c>
      <c r="G751" t="str">
        <f t="shared" si="24"/>
        <v>llll</v>
      </c>
      <c r="H751" t="str">
        <f>[1]!SplitText(A751,"(",1)</f>
        <v xml:space="preserve">  Position </v>
      </c>
    </row>
    <row r="752" spans="1:8" ht="17.25" thickBot="1">
      <c r="A752" s="92" t="s">
        <v>6361</v>
      </c>
      <c r="B752" s="7" t="s">
        <v>6362</v>
      </c>
      <c r="C752" s="91" t="s">
        <v>6363</v>
      </c>
      <c r="G752" t="str">
        <f t="shared" si="24"/>
        <v>llll</v>
      </c>
      <c r="H752" t="str">
        <f>[1]!SplitText(A752,"(",1)</f>
        <v xml:space="preserve">  Orientation </v>
      </c>
    </row>
    <row r="753" spans="1:8" ht="26.25" thickBot="1">
      <c r="A753" s="92" t="s">
        <v>6364</v>
      </c>
      <c r="B753" s="8" t="s">
        <v>6365</v>
      </c>
      <c r="C753" s="91" t="s">
        <v>6366</v>
      </c>
      <c r="G753" t="str">
        <f t="shared" si="24"/>
        <v>llll</v>
      </c>
      <c r="H753" t="str">
        <f>[1]!SplitText(A753,"(",1)</f>
        <v xml:space="preserve">  XSpacings </v>
      </c>
    </row>
    <row r="754" spans="1:8" ht="26.25" thickBot="1">
      <c r="A754" s="92" t="s">
        <v>6367</v>
      </c>
      <c r="B754" s="8" t="s">
        <v>6365</v>
      </c>
      <c r="C754" s="91" t="s">
        <v>6368</v>
      </c>
      <c r="G754" t="str">
        <f t="shared" si="24"/>
        <v>llll</v>
      </c>
      <c r="H754" t="str">
        <f>[1]!SplitText(A754,"(",1)</f>
        <v xml:space="preserve">  YSpacings </v>
      </c>
    </row>
    <row r="755" spans="1:8" ht="54">
      <c r="A755" s="96" t="s">
        <v>6369</v>
      </c>
      <c r="B755" s="91" t="s">
        <v>6370</v>
      </c>
      <c r="C755" s="7" t="s">
        <v>6371</v>
      </c>
      <c r="G755" t="str">
        <f t="shared" si="24"/>
        <v>llll</v>
      </c>
      <c r="H755" t="str">
        <f>[1]!SplitText(A755,"(",1)</f>
        <v xml:space="preserve">  Plantgrid</v>
      </c>
    </row>
    <row r="756" spans="1:8" ht="17.25" thickBot="1">
      <c r="A756" s="4" t="s">
        <v>6372</v>
      </c>
      <c r="B756" s="5" t="s">
        <v>5238</v>
      </c>
      <c r="C756" s="5" t="s">
        <v>6373</v>
      </c>
      <c r="G756" t="str">
        <f t="shared" si="24"/>
        <v>llll</v>
      </c>
      <c r="H756" t="str">
        <f>[1]!SplitText(A756,"(",1)</f>
        <v xml:space="preserve">  Xsize</v>
      </c>
    </row>
    <row r="757" spans="1:8" ht="17.25" thickBot="1">
      <c r="A757" s="4" t="s">
        <v>6374</v>
      </c>
      <c r="B757" s="5" t="s">
        <v>5238</v>
      </c>
      <c r="C757" s="5" t="s">
        <v>6375</v>
      </c>
      <c r="G757" t="str">
        <f t="shared" si="24"/>
        <v>llll</v>
      </c>
      <c r="H757" t="str">
        <f>[1]!SplitText(A757,"(",1)</f>
        <v xml:space="preserve">  Ysize</v>
      </c>
    </row>
    <row r="758" spans="1:8" ht="41.25" thickBot="1">
      <c r="A758" s="4" t="s">
        <v>6376</v>
      </c>
      <c r="B758" s="5" t="s">
        <v>5265</v>
      </c>
      <c r="C758" s="6" t="s">
        <v>6377</v>
      </c>
      <c r="G758" t="str">
        <f t="shared" si="24"/>
        <v>llll</v>
      </c>
      <c r="H758" t="str">
        <f>[1]!SplitText(A758,"(",1)</f>
        <v xml:space="preserve">  OutofBounds</v>
      </c>
    </row>
    <row r="759" spans="1:8" ht="17.25" thickBot="1">
      <c r="A759" s="115" t="s">
        <v>3332</v>
      </c>
      <c r="B759" s="115" t="s">
        <v>3333</v>
      </c>
      <c r="G759" t="str">
        <f t="shared" si="24"/>
        <v>llll</v>
      </c>
      <c r="H759" t="str">
        <f>[1]!SplitText(A759,"(",1)</f>
        <v>2.5.46</v>
      </c>
    </row>
    <row r="760" spans="1:8" ht="17.25" thickBot="1">
      <c r="A760" s="102" t="s">
        <v>1591</v>
      </c>
      <c r="B760" s="103" t="s">
        <v>1592</v>
      </c>
      <c r="C760" s="103" t="s">
        <v>1593</v>
      </c>
      <c r="G760" t="str">
        <f t="shared" si="24"/>
        <v>llll</v>
      </c>
      <c r="H760" t="str">
        <f>[1]!SplitText(A760,"(",1)</f>
        <v>Name</v>
      </c>
    </row>
    <row r="761" spans="1:8" ht="45">
      <c r="A761" s="176" t="s">
        <v>6378</v>
      </c>
      <c r="B761" s="91" t="s">
        <v>5316</v>
      </c>
      <c r="C761" s="7" t="s">
        <v>6379</v>
      </c>
      <c r="G761" t="str">
        <f t="shared" si="24"/>
        <v>llll</v>
      </c>
      <c r="H761" t="str">
        <f>[1]!SplitText(A761,"(",1)</f>
        <v xml:space="preserve">  ASSIGN</v>
      </c>
    </row>
    <row r="762" spans="1:8" ht="17.25" thickBot="1">
      <c r="A762" s="145" t="s">
        <v>6380</v>
      </c>
      <c r="B762" s="5" t="s">
        <v>5238</v>
      </c>
      <c r="C762" s="5" t="s">
        <v>6381</v>
      </c>
      <c r="G762" t="str">
        <f t="shared" si="24"/>
        <v>llll</v>
      </c>
      <c r="H762" t="str">
        <f>[1]!SplitText(A762,"(",1)</f>
        <v xml:space="preserve">  GRIDANGLE</v>
      </c>
    </row>
    <row r="763" spans="1:8" ht="17.25" thickBot="1">
      <c r="A763" s="145" t="s">
        <v>6382</v>
      </c>
      <c r="B763" s="5" t="s">
        <v>5273</v>
      </c>
      <c r="C763" s="5" t="s">
        <v>6383</v>
      </c>
      <c r="G763" t="str">
        <f t="shared" si="24"/>
        <v>llll</v>
      </c>
      <c r="H763" t="str">
        <f>[1]!SplitText(A763,"(",1)</f>
        <v xml:space="preserve">  GRIDANGLE</v>
      </c>
    </row>
    <row r="764" spans="1:8" ht="30">
      <c r="A764" s="176" t="s">
        <v>6384</v>
      </c>
      <c r="B764" s="91" t="s">
        <v>5316</v>
      </c>
      <c r="C764" s="7" t="s">
        <v>6385</v>
      </c>
      <c r="G764" t="str">
        <f t="shared" si="24"/>
        <v>llll</v>
      </c>
      <c r="H764" t="str">
        <f>[1]!SplitText(A764,"(",1)</f>
        <v xml:space="preserve">  GRIDPOINT</v>
      </c>
    </row>
    <row r="765" spans="1:8" ht="17.25" thickBot="1">
      <c r="A765" s="145" t="s">
        <v>6386</v>
      </c>
      <c r="B765" s="5" t="s">
        <v>5220</v>
      </c>
      <c r="C765" s="5" t="s">
        <v>6387</v>
      </c>
      <c r="G765" t="str">
        <f t="shared" si="24"/>
        <v>llll</v>
      </c>
      <c r="H765" t="str">
        <f>[1]!SplitText(A765,"(",1)</f>
        <v xml:space="preserve">  GRIDPOSITION</v>
      </c>
    </row>
    <row r="766" spans="1:8" ht="17.25" thickBot="1">
      <c r="A766" s="145" t="s">
        <v>6388</v>
      </c>
      <c r="B766" s="5" t="s">
        <v>5288</v>
      </c>
      <c r="C766" s="6" t="s">
        <v>6389</v>
      </c>
      <c r="G766" t="str">
        <f t="shared" si="24"/>
        <v>llll</v>
      </c>
      <c r="H766" t="str">
        <f>[1]!SplitText(A766,"(",1)</f>
        <v xml:space="preserve">  GRIDXSPACINGS</v>
      </c>
    </row>
    <row r="767" spans="1:8" ht="45.75" thickBot="1">
      <c r="A767" s="145" t="s">
        <v>6390</v>
      </c>
      <c r="B767" s="5" t="s">
        <v>5273</v>
      </c>
      <c r="C767" s="5" t="s">
        <v>6391</v>
      </c>
      <c r="G767" t="str">
        <f t="shared" si="24"/>
        <v>llll</v>
      </c>
      <c r="H767" t="str">
        <f>[1]!SplitText(A767,"(",1)</f>
        <v xml:space="preserve">  GRIDXSPACINGS</v>
      </c>
    </row>
    <row r="768" spans="1:8" ht="17.25" thickBot="1">
      <c r="A768" s="145" t="s">
        <v>6392</v>
      </c>
      <c r="B768" s="5" t="s">
        <v>6393</v>
      </c>
      <c r="C768" s="5" t="s">
        <v>6394</v>
      </c>
      <c r="G768" t="str">
        <f t="shared" si="24"/>
        <v>llll</v>
      </c>
      <c r="H768" t="str">
        <f>[1]!SplitText(A768,"(",1)</f>
        <v xml:space="preserve">  GRIDXYPOSITION</v>
      </c>
    </row>
    <row r="769" spans="1:8" ht="45.75" thickBot="1">
      <c r="A769" s="145" t="s">
        <v>6395</v>
      </c>
      <c r="B769" s="5" t="s">
        <v>5273</v>
      </c>
      <c r="C769" s="5" t="s">
        <v>6396</v>
      </c>
      <c r="G769" t="str">
        <f t="shared" si="24"/>
        <v>llll</v>
      </c>
      <c r="H769" t="str">
        <f>[1]!SplitText(A769,"(",1)</f>
        <v xml:space="preserve">  GRIDXYPOSITION</v>
      </c>
    </row>
    <row r="770" spans="1:8" ht="17.25" thickBot="1">
      <c r="A770" s="145" t="s">
        <v>6397</v>
      </c>
      <c r="B770" s="5" t="s">
        <v>5249</v>
      </c>
      <c r="C770" s="6" t="s">
        <v>6398</v>
      </c>
      <c r="G770" t="str">
        <f t="shared" si="24"/>
        <v>llll</v>
      </c>
      <c r="H770" t="str">
        <f>[1]!SplitText(A770,"(",1)</f>
        <v xml:space="preserve">  GRIDXYSIZE</v>
      </c>
    </row>
    <row r="771" spans="1:8" ht="17.25" thickBot="1">
      <c r="A771" s="145" t="s">
        <v>6399</v>
      </c>
      <c r="B771" s="5" t="s">
        <v>5249</v>
      </c>
      <c r="C771" s="6" t="s">
        <v>6400</v>
      </c>
      <c r="G771" t="str">
        <f t="shared" si="24"/>
        <v>llll</v>
      </c>
      <c r="H771" t="str">
        <f>[1]!SplitText(A771,"(",1)</f>
        <v xml:space="preserve">  GRIDYSPACINGS</v>
      </c>
    </row>
    <row r="772" spans="1:8" ht="45.75" thickBot="1">
      <c r="A772" s="145" t="s">
        <v>6401</v>
      </c>
      <c r="B772" s="5" t="s">
        <v>5273</v>
      </c>
      <c r="C772" s="5" t="s">
        <v>6402</v>
      </c>
      <c r="G772" t="str">
        <f t="shared" si="24"/>
        <v>llll</v>
      </c>
      <c r="H772" t="str">
        <f>[1]!SplitText(A772,"(",1)</f>
        <v xml:space="preserve">  GRIDYSPACINGS</v>
      </c>
    </row>
    <row r="773" spans="1:8" ht="17.25" thickBot="1">
      <c r="A773" s="145" t="s">
        <v>6403</v>
      </c>
      <c r="B773" s="5" t="s">
        <v>5238</v>
      </c>
      <c r="C773" s="6" t="s">
        <v>6404</v>
      </c>
      <c r="G773" t="str">
        <f t="shared" si="24"/>
        <v>llll</v>
      </c>
      <c r="H773" t="str">
        <f>[1]!SplitText(A773,"(",1)</f>
        <v xml:space="preserve">  GROSSAREA</v>
      </c>
    </row>
    <row r="774" spans="1:8" ht="17.25" thickBot="1">
      <c r="A774" s="145" t="s">
        <v>6405</v>
      </c>
      <c r="B774" s="5" t="s">
        <v>5238</v>
      </c>
      <c r="C774" s="5" t="s">
        <v>6406</v>
      </c>
      <c r="G774" t="str">
        <f t="shared" si="24"/>
        <v>llll</v>
      </c>
      <c r="H774" t="str">
        <f>[1]!SplitText(A774,"(",1)</f>
        <v xml:space="preserve">  NETAREA</v>
      </c>
    </row>
    <row r="775" spans="1:8" ht="17.25" thickBot="1">
      <c r="A775" s="176" t="s">
        <v>6407</v>
      </c>
      <c r="B775" s="91" t="s">
        <v>6408</v>
      </c>
      <c r="C775" s="8" t="s">
        <v>6409</v>
      </c>
      <c r="G775" t="str">
        <f t="shared" si="24"/>
        <v>llll</v>
      </c>
      <c r="H775" t="str">
        <f>[1]!SplitText(A775,"(",1)</f>
        <v xml:space="preserve">  ORIENTATION</v>
      </c>
    </row>
    <row r="776" spans="1:8" ht="45.75" thickBot="1">
      <c r="A776" s="176" t="s">
        <v>6410</v>
      </c>
      <c r="B776" s="91" t="s">
        <v>5316</v>
      </c>
      <c r="C776" s="8" t="s">
        <v>6411</v>
      </c>
      <c r="G776" t="str">
        <f t="shared" si="24"/>
        <v>llll</v>
      </c>
      <c r="H776" t="str">
        <f>[1]!SplitText(A776,"(",1)</f>
        <v xml:space="preserve">  ORIENTATION</v>
      </c>
    </row>
    <row r="777" spans="1:8" ht="25.5">
      <c r="A777" s="176" t="s">
        <v>6412</v>
      </c>
      <c r="B777" s="91" t="s">
        <v>6413</v>
      </c>
      <c r="C777" s="7" t="s">
        <v>6414</v>
      </c>
      <c r="G777" t="str">
        <f t="shared" si="24"/>
        <v>llll</v>
      </c>
      <c r="H777" t="str">
        <f>[1]!SplitText(A777,"(",1)</f>
        <v xml:space="preserve">  PLANE</v>
      </c>
    </row>
    <row r="778" spans="1:8" ht="17.25" thickBot="1">
      <c r="A778" s="145" t="s">
        <v>6415</v>
      </c>
      <c r="B778" s="6" t="s">
        <v>6416</v>
      </c>
      <c r="C778" s="5" t="s">
        <v>6417</v>
      </c>
      <c r="G778" t="str">
        <f t="shared" si="24"/>
        <v>llll</v>
      </c>
      <c r="H778" t="str">
        <f>[1]!SplitText(A778,"(",1)</f>
        <v xml:space="preserve">  PLATFORMGRID</v>
      </c>
    </row>
    <row r="779" spans="1:8" ht="51">
      <c r="A779" s="176" t="s">
        <v>6418</v>
      </c>
      <c r="B779" s="91" t="s">
        <v>6419</v>
      </c>
      <c r="C779" s="7" t="s">
        <v>6420</v>
      </c>
      <c r="G779" t="str">
        <f t="shared" si="24"/>
        <v>llll</v>
      </c>
      <c r="H779" t="str">
        <f>[1]!SplitText(A779,"(",1)</f>
        <v xml:space="preserve">  PLATFORMGRID</v>
      </c>
    </row>
    <row r="780" spans="1:8" ht="17.25" thickBot="1">
      <c r="A780" s="145" t="s">
        <v>6421</v>
      </c>
      <c r="B780" s="5" t="s">
        <v>5220</v>
      </c>
      <c r="C780" s="5" t="s">
        <v>6422</v>
      </c>
      <c r="G780" t="str">
        <f t="shared" si="24"/>
        <v>llll</v>
      </c>
      <c r="H780" t="str">
        <f>[1]!SplitText(A780,"(",1)</f>
        <v xml:space="preserve">  POSITION</v>
      </c>
    </row>
    <row r="781" spans="1:8" ht="30.75" thickBot="1">
      <c r="A781" s="145" t="s">
        <v>6423</v>
      </c>
      <c r="B781" s="5" t="s">
        <v>5273</v>
      </c>
      <c r="C781" s="5" t="s">
        <v>6424</v>
      </c>
      <c r="G781" t="str">
        <f t="shared" si="24"/>
        <v>llll</v>
      </c>
      <c r="H781" t="str">
        <f>[1]!SplitText(A781,"(",1)</f>
        <v xml:space="preserve">  POSITION</v>
      </c>
    </row>
    <row r="782" spans="1:8" ht="26.25" thickBot="1">
      <c r="A782" s="145" t="s">
        <v>6425</v>
      </c>
      <c r="B782" s="5" t="s">
        <v>5288</v>
      </c>
      <c r="C782" s="6" t="s">
        <v>6426</v>
      </c>
      <c r="G782" t="str">
        <f t="shared" si="24"/>
        <v>llll</v>
      </c>
      <c r="H782" t="str">
        <f>[1]!SplitText(A782,"(",1)</f>
        <v xml:space="preserve">  XYSIZE</v>
      </c>
    </row>
    <row r="783" spans="1:8" ht="45.75" thickBot="1">
      <c r="A783" s="145" t="s">
        <v>6427</v>
      </c>
      <c r="B783" s="5" t="s">
        <v>5273</v>
      </c>
      <c r="C783" s="6" t="s">
        <v>6428</v>
      </c>
      <c r="G783" t="str">
        <f t="shared" si="24"/>
        <v>llll</v>
      </c>
      <c r="H783" t="str">
        <f>[1]!SplitText(A783,"(",1)</f>
        <v xml:space="preserve">  ADDINNERBOUNDARY</v>
      </c>
    </row>
    <row r="784" spans="1:8" ht="45.75" thickBot="1">
      <c r="A784" s="145" t="s">
        <v>6429</v>
      </c>
      <c r="B784" s="5" t="s">
        <v>5273</v>
      </c>
      <c r="C784" s="6" t="s">
        <v>6430</v>
      </c>
      <c r="G784" t="str">
        <f t="shared" si="24"/>
        <v>llll</v>
      </c>
      <c r="H784" t="str">
        <f>[1]!SplitText(A784,"(",1)</f>
        <v xml:space="preserve">  CLEARINNERBOUNDARY</v>
      </c>
    </row>
    <row r="785" spans="1:8" ht="30">
      <c r="A785" s="176" t="s">
        <v>6431</v>
      </c>
      <c r="B785" s="91" t="s">
        <v>6432</v>
      </c>
      <c r="C785" s="8" t="s">
        <v>6433</v>
      </c>
      <c r="G785" t="str">
        <f t="shared" si="24"/>
        <v>llll</v>
      </c>
      <c r="H785" t="str">
        <f>[1]!SplitText(A785,"(",1)</f>
        <v xml:space="preserve">  INNERBOUNDARIES</v>
      </c>
    </row>
    <row r="786" spans="1:8" ht="45.75" thickBot="1">
      <c r="A786" s="145" t="s">
        <v>6434</v>
      </c>
      <c r="B786" s="5" t="s">
        <v>5273</v>
      </c>
      <c r="C786" s="5" t="s">
        <v>6435</v>
      </c>
      <c r="G786" t="str">
        <f t="shared" si="24"/>
        <v>llll</v>
      </c>
      <c r="H786" t="str">
        <f>[1]!SplitText(A786,"(",1)</f>
        <v xml:space="preserve">  INNERBOUNDARIES</v>
      </c>
    </row>
    <row r="787" spans="1:8" ht="45.75" thickBot="1">
      <c r="A787" s="145" t="s">
        <v>6436</v>
      </c>
      <c r="B787" s="5" t="s">
        <v>6437</v>
      </c>
      <c r="C787" s="6" t="s">
        <v>6438</v>
      </c>
      <c r="G787" t="str">
        <f t="shared" si="24"/>
        <v>llll</v>
      </c>
      <c r="H787" t="str">
        <f>[1]!SplitText(A787,"(",1)</f>
        <v xml:space="preserve">  INNERBOUNDARY</v>
      </c>
    </row>
    <row r="788" spans="1:8" ht="45.75" thickBot="1">
      <c r="A788" s="176" t="s">
        <v>6439</v>
      </c>
      <c r="B788" s="91" t="s">
        <v>5235</v>
      </c>
      <c r="C788" s="7" t="s">
        <v>6440</v>
      </c>
      <c r="G788" t="str">
        <f t="shared" ref="G788:G829" si="25">IF(ISERROR(SEARCH("table 2:",A788&amp;B788&amp;C788&amp;D788&amp;E788&amp;F788,1)*1),"llll","o")</f>
        <v>llll</v>
      </c>
      <c r="H788" t="str">
        <f>[1]!SplitText(A788,"(",1)</f>
        <v xml:space="preserve">  NUMBEROFINNERBOUNDARIES</v>
      </c>
    </row>
    <row r="789" spans="1:8" ht="17.25" thickBot="1">
      <c r="A789" s="176" t="s">
        <v>6441</v>
      </c>
      <c r="B789" s="91" t="s">
        <v>6442</v>
      </c>
      <c r="C789" s="7" t="s">
        <v>6443</v>
      </c>
      <c r="G789" t="str">
        <f t="shared" si="25"/>
        <v>llll</v>
      </c>
      <c r="H789" t="str">
        <f>[1]!SplitText(A789,"(",1)</f>
        <v xml:space="preserve">  OUTERBOUNDARY</v>
      </c>
    </row>
    <row r="790" spans="1:8" ht="45">
      <c r="A790" s="144" t="s">
        <v>6444</v>
      </c>
      <c r="B790" s="91" t="s">
        <v>6408</v>
      </c>
      <c r="C790" s="91" t="s">
        <v>6445</v>
      </c>
      <c r="G790" t="str">
        <f t="shared" si="25"/>
        <v>llll</v>
      </c>
      <c r="H790" t="str">
        <f>[1]!SplitText(A790,"(",1)</f>
        <v xml:space="preserve">  CELLORIENTATION</v>
      </c>
    </row>
    <row r="791" spans="1:8" ht="45.75" thickBot="1">
      <c r="A791" s="145" t="s">
        <v>6446</v>
      </c>
      <c r="B791" s="5" t="s">
        <v>5220</v>
      </c>
      <c r="C791" s="6" t="s">
        <v>6447</v>
      </c>
      <c r="G791" t="str">
        <f t="shared" si="25"/>
        <v>llll</v>
      </c>
      <c r="H791" t="str">
        <f>[1]!SplitText(A791,"(",1)</f>
        <v xml:space="preserve">  CELLPOSITION</v>
      </c>
    </row>
    <row r="792" spans="1:8" ht="45.75" thickBot="1">
      <c r="A792" s="145" t="s">
        <v>6448</v>
      </c>
      <c r="B792" s="5" t="s">
        <v>6437</v>
      </c>
      <c r="C792" s="6" t="s">
        <v>6449</v>
      </c>
      <c r="G792" t="str">
        <f t="shared" si="25"/>
        <v>llll</v>
      </c>
      <c r="H792" t="str">
        <f>[1]!SplitText(A792,"(",1)</f>
        <v xml:space="preserve">  CELLPROFILE</v>
      </c>
    </row>
    <row r="793" spans="1:8" ht="30.75" thickBot="1">
      <c r="A793" s="145" t="s">
        <v>6450</v>
      </c>
      <c r="B793" s="5" t="s">
        <v>5249</v>
      </c>
      <c r="C793" s="6" t="s">
        <v>6451</v>
      </c>
      <c r="G793" t="str">
        <f t="shared" si="25"/>
        <v>llll</v>
      </c>
      <c r="H793" t="str">
        <f>[1]!SplitText(A793,"(",1)</f>
        <v xml:space="preserve">  CELLSIZE</v>
      </c>
    </row>
    <row r="794" spans="1:8" ht="45.75" thickBot="1">
      <c r="A794" s="144" t="s">
        <v>6452</v>
      </c>
      <c r="B794" s="91" t="s">
        <v>6339</v>
      </c>
      <c r="C794" s="91" t="s">
        <v>6453</v>
      </c>
      <c r="G794" t="str">
        <f t="shared" si="25"/>
        <v>llll</v>
      </c>
      <c r="H794" t="str">
        <f>[1]!SplitText(A794,"(",1)</f>
        <v xml:space="preserve">  CELLXYPOSITION</v>
      </c>
    </row>
    <row r="795" spans="1:8" ht="45.75" thickBot="1">
      <c r="A795" s="144" t="s">
        <v>6454</v>
      </c>
      <c r="B795" s="91" t="s">
        <v>6455</v>
      </c>
      <c r="C795" s="91" t="s">
        <v>6456</v>
      </c>
      <c r="G795" t="str">
        <f t="shared" si="25"/>
        <v>llll</v>
      </c>
      <c r="H795" t="str">
        <f>[1]!SplitText(A795,"(",1)</f>
        <v xml:space="preserve">  ISCELLTRIMMED</v>
      </c>
    </row>
    <row r="796" spans="1:8" ht="45">
      <c r="A796" s="144" t="s">
        <v>6457</v>
      </c>
      <c r="B796" s="91" t="s">
        <v>6455</v>
      </c>
      <c r="C796" s="91" t="s">
        <v>6458</v>
      </c>
      <c r="G796" t="str">
        <f t="shared" si="25"/>
        <v>llll</v>
      </c>
      <c r="H796" t="str">
        <f>[1]!SplitText(A796,"(",1)</f>
        <v xml:space="preserve">  ISCELLUNTRIMMED</v>
      </c>
    </row>
    <row r="797" spans="1:8" ht="45.75" thickBot="1">
      <c r="A797" s="145" t="s">
        <v>6459</v>
      </c>
      <c r="B797" s="5" t="s">
        <v>6460</v>
      </c>
      <c r="C797" s="5" t="s">
        <v>6461</v>
      </c>
      <c r="G797" t="str">
        <f t="shared" si="25"/>
        <v>llll</v>
      </c>
      <c r="H797" t="str">
        <f>[1]!SplitText(A797,"(",1)</f>
        <v xml:space="preserve">  ISCELLWITHIN</v>
      </c>
    </row>
    <row r="798" spans="1:8" ht="45.75" thickBot="1">
      <c r="A798" s="145" t="s">
        <v>6462</v>
      </c>
      <c r="B798" s="5" t="s">
        <v>5288</v>
      </c>
      <c r="C798" s="6" t="s">
        <v>6463</v>
      </c>
      <c r="G798" t="str">
        <f t="shared" si="25"/>
        <v>llll</v>
      </c>
      <c r="H798" t="str">
        <f>[1]!SplitText(A798,"(",1)</f>
        <v xml:space="preserve">  LISTOFTRIMMEDCELLS</v>
      </c>
    </row>
    <row r="799" spans="1:8" ht="45.75" thickBot="1">
      <c r="A799" s="145" t="s">
        <v>6464</v>
      </c>
      <c r="B799" s="5" t="s">
        <v>5288</v>
      </c>
      <c r="C799" s="6" t="s">
        <v>6465</v>
      </c>
      <c r="G799" t="str">
        <f t="shared" si="25"/>
        <v>llll</v>
      </c>
      <c r="H799" t="str">
        <f>[1]!SplitText(A799,"(",1)</f>
        <v xml:space="preserve">  LISTOFTRIMMEDCELLS</v>
      </c>
    </row>
    <row r="800" spans="1:8" ht="45.75" thickBot="1">
      <c r="A800" s="145" t="s">
        <v>6466</v>
      </c>
      <c r="B800" s="5" t="s">
        <v>5288</v>
      </c>
      <c r="C800" s="6" t="s">
        <v>6467</v>
      </c>
      <c r="G800" t="str">
        <f t="shared" si="25"/>
        <v>llll</v>
      </c>
      <c r="H800" t="str">
        <f>[1]!SplitText(A800,"(",1)</f>
        <v xml:space="preserve">  LISTOFUNTRIMMEDCELLS</v>
      </c>
    </row>
    <row r="801" spans="1:8" ht="45.75" thickBot="1">
      <c r="A801" s="145" t="s">
        <v>6468</v>
      </c>
      <c r="B801" s="5" t="s">
        <v>5238</v>
      </c>
      <c r="C801" s="6" t="s">
        <v>6469</v>
      </c>
      <c r="G801" t="str">
        <f t="shared" si="25"/>
        <v>llll</v>
      </c>
      <c r="H801" t="str">
        <f>[1]!SplitText(A801,"(",1)</f>
        <v xml:space="preserve">  TOTALNUMBEROFCELLS</v>
      </c>
    </row>
    <row r="802" spans="1:8" ht="45">
      <c r="A802" s="144" t="s">
        <v>6470</v>
      </c>
      <c r="B802" s="91" t="s">
        <v>5282</v>
      </c>
      <c r="C802" s="91" t="s">
        <v>6471</v>
      </c>
      <c r="G802" t="str">
        <f t="shared" si="25"/>
        <v>llll</v>
      </c>
      <c r="H802" t="str">
        <f>[1]!SplitText(A802,"(",1)</f>
        <v xml:space="preserve">  TRIMMEDCELLSIZE</v>
      </c>
    </row>
    <row r="803" spans="1:8" ht="17.25" thickBot="1">
      <c r="A803" s="145" t="s">
        <v>6472</v>
      </c>
      <c r="B803" s="5" t="s">
        <v>5288</v>
      </c>
      <c r="C803" s="5" t="s">
        <v>6473</v>
      </c>
      <c r="G803" t="str">
        <f t="shared" si="25"/>
        <v>llll</v>
      </c>
      <c r="H803" t="str">
        <f>[1]!SplitText(A803,"(",1)</f>
        <v xml:space="preserve">  XGRIDLINES</v>
      </c>
    </row>
    <row r="804" spans="1:8" ht="17.25" thickBot="1">
      <c r="A804" s="145" t="s">
        <v>6474</v>
      </c>
      <c r="B804" s="5" t="s">
        <v>5288</v>
      </c>
      <c r="C804" s="6" t="s">
        <v>6475</v>
      </c>
      <c r="G804" t="str">
        <f t="shared" si="25"/>
        <v>llll</v>
      </c>
      <c r="H804" t="str">
        <f>[1]!SplitText(A804,"(",1)</f>
        <v xml:space="preserve">  XGRIDLINES</v>
      </c>
    </row>
    <row r="805" spans="1:8" ht="17.25" thickBot="1">
      <c r="A805" s="145" t="s">
        <v>6476</v>
      </c>
      <c r="B805" s="5" t="s">
        <v>5288</v>
      </c>
      <c r="C805" s="5" t="s">
        <v>6477</v>
      </c>
      <c r="G805" t="str">
        <f t="shared" si="25"/>
        <v>llll</v>
      </c>
      <c r="H805" t="str">
        <f>[1]!SplitText(A805,"(",1)</f>
        <v xml:space="preserve">  YGRIDLINES</v>
      </c>
    </row>
    <row r="806" spans="1:8" ht="17.25" thickBot="1">
      <c r="A806" s="145" t="s">
        <v>6478</v>
      </c>
      <c r="B806" s="5" t="s">
        <v>5288</v>
      </c>
      <c r="C806" s="6" t="s">
        <v>6479</v>
      </c>
      <c r="G806" t="str">
        <f t="shared" si="25"/>
        <v>llll</v>
      </c>
      <c r="H806" t="str">
        <f>[1]!SplitText(A806,"(",1)</f>
        <v xml:space="preserve">  YGRIDLINES</v>
      </c>
    </row>
    <row r="807" spans="1:8" ht="17.25" thickBot="1">
      <c r="A807" s="115" t="s">
        <v>3438</v>
      </c>
      <c r="B807" s="115" t="s">
        <v>3439</v>
      </c>
      <c r="G807" t="str">
        <f t="shared" si="25"/>
        <v>llll</v>
      </c>
      <c r="H807" t="str">
        <f>[1]!SplitText(A807,"(",1)</f>
        <v>2.5.47</v>
      </c>
    </row>
    <row r="808" spans="1:8" ht="17.25" thickBot="1">
      <c r="A808" s="102" t="s">
        <v>1591</v>
      </c>
      <c r="B808" s="103" t="s">
        <v>1592</v>
      </c>
      <c r="C808" s="103" t="s">
        <v>1593</v>
      </c>
      <c r="G808" t="str">
        <f t="shared" si="25"/>
        <v>llll</v>
      </c>
      <c r="H808" t="str">
        <f>[1]!SplitText(A808,"(",1)</f>
        <v>Name</v>
      </c>
    </row>
    <row r="809" spans="1:8" ht="60.75" thickBot="1">
      <c r="A809" s="145" t="s">
        <v>6480</v>
      </c>
      <c r="B809" s="5" t="s">
        <v>6006</v>
      </c>
      <c r="C809" s="6" t="s">
        <v>6481</v>
      </c>
      <c r="G809" t="str">
        <f t="shared" si="25"/>
        <v>llll</v>
      </c>
      <c r="H809" t="str">
        <f>[1]!SplitText(A809,"(",1)</f>
        <v xml:space="preserve">  AddParameters</v>
      </c>
    </row>
    <row r="810" spans="1:8" ht="45.75" thickBot="1">
      <c r="A810" s="145" t="s">
        <v>6482</v>
      </c>
      <c r="B810" s="5" t="s">
        <v>6006</v>
      </c>
      <c r="C810" s="6" t="s">
        <v>6483</v>
      </c>
      <c r="G810" t="str">
        <f t="shared" si="25"/>
        <v>llll</v>
      </c>
      <c r="H810" t="str">
        <f>[1]!SplitText(A810,"(",1)</f>
        <v xml:space="preserve">  AddScope</v>
      </c>
    </row>
    <row r="811" spans="1:8" ht="120">
      <c r="A811" s="144" t="s">
        <v>6484</v>
      </c>
      <c r="B811" s="91" t="s">
        <v>6485</v>
      </c>
      <c r="C811" s="91" t="s">
        <v>6486</v>
      </c>
      <c r="G811" t="str">
        <f t="shared" si="25"/>
        <v>llll</v>
      </c>
      <c r="H811" t="str">
        <f>[1]!SplitText(A811,"(",1)</f>
        <v xml:space="preserve">  AddScope</v>
      </c>
    </row>
    <row r="812" spans="1:8" ht="90.75" thickBot="1">
      <c r="A812" s="145" t="s">
        <v>6487</v>
      </c>
      <c r="B812" s="5" t="s">
        <v>6006</v>
      </c>
      <c r="C812" s="5" t="s">
        <v>6488</v>
      </c>
      <c r="G812" t="str">
        <f t="shared" si="25"/>
        <v>llll</v>
      </c>
      <c r="H812" t="str">
        <f>[1]!SplitText(A812,"(",1)</f>
        <v xml:space="preserve">  ExportAsCsv</v>
      </c>
    </row>
    <row r="813" spans="1:8" ht="90.75" thickBot="1">
      <c r="A813" s="145" t="s">
        <v>6489</v>
      </c>
      <c r="B813" s="5" t="s">
        <v>6006</v>
      </c>
      <c r="C813" s="5" t="s">
        <v>6490</v>
      </c>
      <c r="G813" t="str">
        <f t="shared" si="25"/>
        <v>llll</v>
      </c>
      <c r="H813" t="str">
        <f>[1]!SplitText(A813,"(",1)</f>
        <v xml:space="preserve">  ExportAsPdf</v>
      </c>
    </row>
    <row r="814" spans="1:8" ht="90.75" thickBot="1">
      <c r="A814" s="145" t="s">
        <v>6491</v>
      </c>
      <c r="B814" s="5" t="s">
        <v>6006</v>
      </c>
      <c r="C814" s="5" t="s">
        <v>6492</v>
      </c>
      <c r="G814" t="str">
        <f t="shared" si="25"/>
        <v>llll</v>
      </c>
      <c r="H814" t="str">
        <f>[1]!SplitText(A814,"(",1)</f>
        <v xml:space="preserve">  ExportAsXlsx</v>
      </c>
    </row>
    <row r="815" spans="1:8" ht="90.75" thickBot="1">
      <c r="A815" s="145" t="s">
        <v>6493</v>
      </c>
      <c r="B815" s="5" t="s">
        <v>6006</v>
      </c>
      <c r="C815" s="5" t="s">
        <v>6494</v>
      </c>
      <c r="G815" t="str">
        <f t="shared" si="25"/>
        <v>llll</v>
      </c>
      <c r="H815" t="str">
        <f>[1]!SplitText(A815,"(",1)</f>
        <v xml:space="preserve">  ExportAsXls</v>
      </c>
    </row>
    <row r="816" spans="1:8" ht="45">
      <c r="A816" s="149" t="s">
        <v>6495</v>
      </c>
      <c r="B816" s="91" t="s">
        <v>6029</v>
      </c>
      <c r="C816" s="91" t="s">
        <v>6496</v>
      </c>
      <c r="G816" t="str">
        <f t="shared" si="25"/>
        <v>llll</v>
      </c>
      <c r="H816" t="str">
        <f>[1]!SplitText(A816,"(",1)</f>
        <v xml:space="preserve">  InitializePrinterSetting </v>
      </c>
    </row>
    <row r="817" spans="1:8" ht="30.75" thickBot="1">
      <c r="A817" s="145" t="s">
        <v>6497</v>
      </c>
      <c r="B817" s="5" t="s">
        <v>6498</v>
      </c>
      <c r="C817" s="5" t="s">
        <v>6499</v>
      </c>
      <c r="G817" t="str">
        <f t="shared" si="25"/>
        <v>llll</v>
      </c>
      <c r="H817" t="str">
        <f>[1]!SplitText(A817,"(",1)</f>
        <v xml:space="preserve">  OpenReportManager</v>
      </c>
    </row>
    <row r="818" spans="1:8" ht="30">
      <c r="A818" s="176" t="s">
        <v>6500</v>
      </c>
      <c r="B818" s="91" t="s">
        <v>6501</v>
      </c>
      <c r="C818" s="7" t="s">
        <v>6502</v>
      </c>
      <c r="G818" t="str">
        <f t="shared" si="25"/>
        <v>llll</v>
      </c>
      <c r="H818" t="str">
        <f>[1]!SplitText(A818,"(",1)</f>
        <v xml:space="preserve">  Print</v>
      </c>
    </row>
    <row r="819" spans="1:8" ht="45.75" thickBot="1">
      <c r="A819" s="145" t="s">
        <v>6503</v>
      </c>
      <c r="B819" s="5" t="s">
        <v>6006</v>
      </c>
      <c r="C819" s="5" t="s">
        <v>6504</v>
      </c>
      <c r="G819" t="str">
        <f t="shared" si="25"/>
        <v>llll</v>
      </c>
      <c r="H819" t="str">
        <f>[1]!SplitText(A819,"(",1)</f>
        <v xml:space="preserve">  PrintDirect</v>
      </c>
    </row>
    <row r="820" spans="1:8" ht="90">
      <c r="A820" s="176" t="s">
        <v>6505</v>
      </c>
      <c r="B820" s="91" t="s">
        <v>6029</v>
      </c>
      <c r="C820" s="7" t="s">
        <v>6506</v>
      </c>
      <c r="G820" t="str">
        <f t="shared" si="25"/>
        <v>llll</v>
      </c>
      <c r="H820" t="str">
        <f>[1]!SplitText(A820,"(",1)</f>
        <v xml:space="preserve">  PublishToAVEVANET</v>
      </c>
    </row>
    <row r="821" spans="1:8" ht="30.75" thickBot="1">
      <c r="A821" s="145" t="s">
        <v>6507</v>
      </c>
      <c r="B821" s="5" t="s">
        <v>6006</v>
      </c>
      <c r="C821" s="5" t="s">
        <v>6508</v>
      </c>
      <c r="G821" t="str">
        <f t="shared" si="25"/>
        <v>llll</v>
      </c>
      <c r="H821" t="str">
        <f>[1]!SplitText(A821,"(",1)</f>
        <v xml:space="preserve">  RemoveParameters</v>
      </c>
    </row>
    <row r="822" spans="1:8" ht="17.25" thickBot="1">
      <c r="A822" s="145" t="s">
        <v>6509</v>
      </c>
      <c r="B822" s="5" t="s">
        <v>6006</v>
      </c>
      <c r="C822" s="5" t="s">
        <v>6510</v>
      </c>
      <c r="G822" t="str">
        <f t="shared" si="25"/>
        <v>llll</v>
      </c>
      <c r="H822" t="str">
        <f>[1]!SplitText(A822,"(",1)</f>
        <v xml:space="preserve">  RemoveScope</v>
      </c>
    </row>
    <row r="823" spans="1:8" ht="17.25" thickBot="1">
      <c r="A823" s="115" t="s">
        <v>3480</v>
      </c>
      <c r="B823" s="115" t="s">
        <v>3481</v>
      </c>
      <c r="G823" t="str">
        <f t="shared" si="25"/>
        <v>llll</v>
      </c>
      <c r="H823" t="str">
        <f>[1]!SplitText(A823,"(",1)</f>
        <v>2.5.48</v>
      </c>
    </row>
    <row r="824" spans="1:8" ht="17.25" thickBot="1">
      <c r="A824" s="102" t="s">
        <v>1591</v>
      </c>
      <c r="B824" s="103" t="s">
        <v>1592</v>
      </c>
      <c r="C824" s="103" t="s">
        <v>1593</v>
      </c>
      <c r="G824" t="str">
        <f t="shared" si="25"/>
        <v>llll</v>
      </c>
      <c r="H824" t="str">
        <f>[1]!SplitText(A824,"(",1)</f>
        <v>Name</v>
      </c>
    </row>
    <row r="825" spans="1:8" ht="30.75" thickBot="1">
      <c r="A825" s="145" t="s">
        <v>6511</v>
      </c>
      <c r="B825" s="5" t="s">
        <v>6512</v>
      </c>
      <c r="C825" s="5" t="s">
        <v>6513</v>
      </c>
      <c r="G825" t="str">
        <f t="shared" si="25"/>
        <v>llll</v>
      </c>
      <c r="H825" t="str">
        <f>[1]!SplitText(A825,"(",1)</f>
        <v xml:space="preserve">  PMLSecureLogin</v>
      </c>
    </row>
    <row r="826" spans="1:8" ht="45.75" thickBot="1">
      <c r="A826" s="145" t="s">
        <v>6514</v>
      </c>
      <c r="B826" s="5" t="s">
        <v>5273</v>
      </c>
      <c r="C826" s="5" t="s">
        <v>6515</v>
      </c>
      <c r="G826" t="str">
        <f t="shared" si="25"/>
        <v>llll</v>
      </c>
      <c r="H826" t="str">
        <f>[1]!SplitText(A826,"(",1)</f>
        <v xml:space="preserve">  EmbedMacro</v>
      </c>
    </row>
    <row r="827" spans="1:8" ht="45.75" thickBot="1">
      <c r="A827" s="149" t="s">
        <v>6516</v>
      </c>
      <c r="B827" s="91" t="s">
        <v>5270</v>
      </c>
      <c r="C827" s="91" t="s">
        <v>6517</v>
      </c>
      <c r="G827" t="str">
        <f t="shared" si="25"/>
        <v>llll</v>
      </c>
      <c r="H827" t="str">
        <f>[1]!SplitText(A827,"(",1)</f>
        <v xml:space="preserve">  HasLicenceToEmbedMacro</v>
      </c>
    </row>
    <row r="828" spans="1:8" ht="25.5">
      <c r="A828" s="176" t="s">
        <v>6518</v>
      </c>
      <c r="B828" s="91" t="s">
        <v>5316</v>
      </c>
      <c r="C828" s="7" t="s">
        <v>6519</v>
      </c>
      <c r="G828" t="str">
        <f t="shared" si="25"/>
        <v>llll</v>
      </c>
      <c r="H828" t="str">
        <f>[1]!SplitText(A828,"(",1)</f>
        <v xml:space="preserve">  Macro</v>
      </c>
    </row>
    <row r="829" spans="1:8" ht="17.25" thickBot="1">
      <c r="A829" s="145" t="s">
        <v>6172</v>
      </c>
      <c r="B829" s="5" t="s">
        <v>5273</v>
      </c>
      <c r="C829" s="5" t="s">
        <v>6520</v>
      </c>
      <c r="G829" t="str">
        <f t="shared" si="25"/>
        <v>llll</v>
      </c>
      <c r="H829" t="str">
        <f>[1]!SplitText(A829,"(",1)</f>
        <v xml:space="preserve">  MDB</v>
      </c>
    </row>
    <row r="830" spans="1:8" ht="17.25" thickBot="1">
      <c r="A830" s="145" t="s">
        <v>6521</v>
      </c>
      <c r="B830" s="5" t="s">
        <v>5273</v>
      </c>
      <c r="C830" s="5" t="s">
        <v>6522</v>
      </c>
      <c r="G830" t="str">
        <f t="shared" ref="G830:G877" si="26">IF(ISERROR(SEARCH("table 2:",A830&amp;B830&amp;C830&amp;D830&amp;E830&amp;F830,1)*1),"llll","o")</f>
        <v>llll</v>
      </c>
      <c r="H830" t="str">
        <f>[1]!SplitText(A830,"(",1)</f>
        <v xml:space="preserve">  Password</v>
      </c>
    </row>
    <row r="831" spans="1:8" ht="17.25" thickBot="1">
      <c r="A831" s="145" t="s">
        <v>6523</v>
      </c>
      <c r="B831" s="5" t="s">
        <v>5273</v>
      </c>
      <c r="C831" s="5" t="s">
        <v>6524</v>
      </c>
      <c r="G831" t="str">
        <f t="shared" si="26"/>
        <v>llll</v>
      </c>
      <c r="H831" t="str">
        <f>[1]!SplitText(A831,"(",1)</f>
        <v xml:space="preserve">  Project</v>
      </c>
    </row>
    <row r="832" spans="1:8" ht="30.75" thickBot="1">
      <c r="A832" s="145" t="s">
        <v>6525</v>
      </c>
      <c r="B832" s="5" t="s">
        <v>5273</v>
      </c>
      <c r="C832" s="5" t="s">
        <v>6526</v>
      </c>
      <c r="G832" t="str">
        <f t="shared" si="26"/>
        <v>llll</v>
      </c>
      <c r="H832" t="str">
        <f>[1]!SplitText(A832,"(",1)</f>
        <v xml:space="preserve">  SaveToFile</v>
      </c>
    </row>
    <row r="833" spans="1:8" ht="17.25" thickBot="1">
      <c r="A833" s="145" t="s">
        <v>6527</v>
      </c>
      <c r="B833" s="5" t="s">
        <v>5273</v>
      </c>
      <c r="C833" s="5" t="s">
        <v>6528</v>
      </c>
      <c r="G833" t="str">
        <f t="shared" si="26"/>
        <v>llll</v>
      </c>
      <c r="H833" t="str">
        <f>[1]!SplitText(A833,"(",1)</f>
        <v xml:space="preserve">  User</v>
      </c>
    </row>
    <row r="834" spans="1:8" ht="45.75" thickBot="1">
      <c r="A834" s="145" t="s">
        <v>6529</v>
      </c>
      <c r="B834" s="5" t="s">
        <v>5273</v>
      </c>
      <c r="C834" s="5" t="s">
        <v>6530</v>
      </c>
      <c r="G834" t="str">
        <f t="shared" si="26"/>
        <v>llll</v>
      </c>
      <c r="H834" t="str">
        <f>[1]!SplitText(A834,"(",1)</f>
        <v xml:space="preserve">  VerifyAfter</v>
      </c>
    </row>
    <row r="835" spans="1:8" ht="45.75" thickBot="1">
      <c r="A835" s="145" t="s">
        <v>6531</v>
      </c>
      <c r="B835" s="5" t="s">
        <v>5273</v>
      </c>
      <c r="C835" s="5" t="s">
        <v>6532</v>
      </c>
      <c r="G835" t="str">
        <f t="shared" si="26"/>
        <v>llll</v>
      </c>
      <c r="H835" t="str">
        <f>[1]!SplitText(A835,"(",1)</f>
        <v xml:space="preserve">  VerifyBefore</v>
      </c>
    </row>
    <row r="836" spans="1:8" ht="45">
      <c r="A836" s="176" t="s">
        <v>6533</v>
      </c>
      <c r="B836" s="91" t="s">
        <v>5316</v>
      </c>
      <c r="C836" s="7" t="s">
        <v>6534</v>
      </c>
      <c r="G836" t="str">
        <f t="shared" si="26"/>
        <v>llll</v>
      </c>
      <c r="H836" t="str">
        <f>[1]!SplitText(A836,"(",1)</f>
        <v xml:space="preserve">  VerifyHostnames</v>
      </c>
    </row>
    <row r="837" spans="1:8" ht="45.75" thickBot="1">
      <c r="A837" s="145" t="s">
        <v>6535</v>
      </c>
      <c r="B837" s="5" t="s">
        <v>5273</v>
      </c>
      <c r="C837" s="6" t="s">
        <v>6536</v>
      </c>
      <c r="G837" t="str">
        <f t="shared" si="26"/>
        <v>llll</v>
      </c>
      <c r="H837" t="str">
        <f>[1]!SplitText(A837,"(",1)</f>
        <v xml:space="preserve">  VerifyWinusers</v>
      </c>
    </row>
    <row r="838" spans="1:8" ht="17.25" thickBot="1">
      <c r="A838" s="115" t="s">
        <v>3512</v>
      </c>
      <c r="B838" s="115" t="s">
        <v>3513</v>
      </c>
      <c r="G838" t="str">
        <f t="shared" si="26"/>
        <v>llll</v>
      </c>
      <c r="H838" t="str">
        <f>[1]!SplitText(A838,"(",1)</f>
        <v>2.5.49</v>
      </c>
    </row>
    <row r="839" spans="1:8" ht="17.25" thickBot="1">
      <c r="A839" s="102" t="s">
        <v>1591</v>
      </c>
      <c r="B839" s="103" t="s">
        <v>1592</v>
      </c>
      <c r="C839" s="103" t="s">
        <v>1593</v>
      </c>
      <c r="G839" t="str">
        <f t="shared" si="26"/>
        <v>llll</v>
      </c>
      <c r="H839" t="str">
        <f>[1]!SplitText(A839,"(",1)</f>
        <v>Name</v>
      </c>
    </row>
    <row r="840" spans="1:8" ht="17.25" thickBot="1">
      <c r="A840" s="145" t="s">
        <v>6537</v>
      </c>
      <c r="B840" s="5" t="s">
        <v>6538</v>
      </c>
      <c r="C840" s="5" t="s">
        <v>6513</v>
      </c>
      <c r="G840" t="str">
        <f t="shared" si="26"/>
        <v>llll</v>
      </c>
      <c r="H840" t="str">
        <f>[1]!SplitText(A840,"(",1)</f>
        <v xml:space="preserve">  PMLUserLogin</v>
      </c>
    </row>
    <row r="841" spans="1:8" ht="25.5">
      <c r="A841" s="176" t="s">
        <v>6539</v>
      </c>
      <c r="B841" s="91" t="s">
        <v>5467</v>
      </c>
      <c r="C841" s="7" t="s">
        <v>6519</v>
      </c>
      <c r="G841" t="str">
        <f t="shared" si="26"/>
        <v>llll</v>
      </c>
      <c r="H841" t="str">
        <f>[1]!SplitText(A841,"(",1)</f>
        <v xml:space="preserve">  Macro</v>
      </c>
    </row>
    <row r="842" spans="1:8" ht="17.25" thickBot="1">
      <c r="A842" s="145" t="s">
        <v>6172</v>
      </c>
      <c r="B842" s="5" t="s">
        <v>5273</v>
      </c>
      <c r="C842" s="5" t="s">
        <v>6520</v>
      </c>
      <c r="G842" t="str">
        <f t="shared" si="26"/>
        <v>llll</v>
      </c>
      <c r="H842" t="str">
        <f>[1]!SplitText(A842,"(",1)</f>
        <v xml:space="preserve">  MDB</v>
      </c>
    </row>
    <row r="843" spans="1:8" ht="17.25" thickBot="1">
      <c r="A843" s="145" t="s">
        <v>6523</v>
      </c>
      <c r="B843" s="5" t="s">
        <v>5273</v>
      </c>
      <c r="C843" s="5" t="s">
        <v>6524</v>
      </c>
      <c r="G843" t="str">
        <f t="shared" si="26"/>
        <v>llll</v>
      </c>
      <c r="H843" t="str">
        <f>[1]!SplitText(A843,"(",1)</f>
        <v xml:space="preserve">  Project</v>
      </c>
    </row>
    <row r="844" spans="1:8" ht="30.75" thickBot="1">
      <c r="A844" s="145" t="s">
        <v>6525</v>
      </c>
      <c r="B844" s="5" t="s">
        <v>5273</v>
      </c>
      <c r="C844" s="6" t="s">
        <v>6526</v>
      </c>
      <c r="G844" t="str">
        <f t="shared" si="26"/>
        <v>llll</v>
      </c>
      <c r="H844" t="str">
        <f>[1]!SplitText(A844,"(",1)</f>
        <v xml:space="preserve">  SaveToFile</v>
      </c>
    </row>
    <row r="845" spans="1:8" ht="45">
      <c r="A845" s="144" t="s">
        <v>6540</v>
      </c>
      <c r="B845" s="91" t="s">
        <v>5316</v>
      </c>
      <c r="C845" s="91" t="s">
        <v>6541</v>
      </c>
      <c r="G845" t="str">
        <f t="shared" si="26"/>
        <v>llll</v>
      </c>
      <c r="H845" t="str">
        <f>[1]!SplitText(A845,"(",1)</f>
        <v xml:space="preserve">  VerifyNonInteractive</v>
      </c>
    </row>
    <row r="846" spans="1:8" ht="17.25" thickBot="1">
      <c r="A846" s="115" t="s">
        <v>3523</v>
      </c>
      <c r="B846" s="115" t="s">
        <v>3524</v>
      </c>
      <c r="G846" t="str">
        <f t="shared" si="26"/>
        <v>llll</v>
      </c>
      <c r="H846" t="str">
        <f>[1]!SplitText(A846,"(",1)</f>
        <v>2.5.50</v>
      </c>
    </row>
    <row r="847" spans="1:8" ht="17.25" thickBot="1">
      <c r="A847" s="102" t="s">
        <v>1591</v>
      </c>
      <c r="B847" s="103" t="s">
        <v>1635</v>
      </c>
      <c r="C847" s="103" t="s">
        <v>1593</v>
      </c>
      <c r="G847" t="str">
        <f t="shared" si="26"/>
        <v>llll</v>
      </c>
      <c r="H847" t="str">
        <f>[1]!SplitText(A847,"(",1)</f>
        <v>Name</v>
      </c>
    </row>
    <row r="848" spans="1:8" ht="17.25" thickBot="1">
      <c r="A848" s="92" t="s">
        <v>6542</v>
      </c>
      <c r="B848" s="7" t="s">
        <v>6543</v>
      </c>
      <c r="C848" s="91" t="s">
        <v>6544</v>
      </c>
      <c r="G848" t="str">
        <f t="shared" si="26"/>
        <v>llll</v>
      </c>
      <c r="H848" t="str">
        <f>[1]!SplitText(A848,"(",1)</f>
        <v xml:space="preserve">  Direction </v>
      </c>
    </row>
    <row r="849" spans="1:8" ht="17.25" thickBot="1">
      <c r="A849" s="92" t="s">
        <v>5182</v>
      </c>
      <c r="B849" s="8" t="s">
        <v>5183</v>
      </c>
      <c r="C849" s="91" t="s">
        <v>6545</v>
      </c>
      <c r="G849" t="str">
        <f t="shared" si="26"/>
        <v>llll</v>
      </c>
      <c r="H849" t="str">
        <f>[1]!SplitText(A849,"(",1)</f>
        <v xml:space="preserve">  Position </v>
      </c>
    </row>
    <row r="850" spans="1:8" ht="40.5">
      <c r="A850" s="96" t="s">
        <v>6546</v>
      </c>
      <c r="B850" s="91" t="s">
        <v>6547</v>
      </c>
      <c r="C850" s="91" t="s">
        <v>6548</v>
      </c>
      <c r="G850" t="str">
        <f t="shared" si="26"/>
        <v>llll</v>
      </c>
      <c r="H850" t="str">
        <f>[1]!SplitText(A850,"(",1)</f>
        <v xml:space="preserve">  Pointvector</v>
      </c>
    </row>
    <row r="851" spans="1:8" ht="17.25" thickBot="1">
      <c r="A851" s="4" t="s">
        <v>5198</v>
      </c>
      <c r="B851" s="5" t="s">
        <v>5177</v>
      </c>
      <c r="C851" s="5" t="s">
        <v>6549</v>
      </c>
      <c r="G851" t="str">
        <f t="shared" si="26"/>
        <v>llll</v>
      </c>
      <c r="H851" t="str">
        <f>[1]!SplitText(A851,"(",1)</f>
        <v xml:space="preserve">  String</v>
      </c>
    </row>
    <row r="852" spans="1:8" ht="17.25" thickBot="1">
      <c r="A852" s="4" t="s">
        <v>6550</v>
      </c>
      <c r="B852" s="5" t="s">
        <v>6551</v>
      </c>
      <c r="C852" s="6" t="s">
        <v>6552</v>
      </c>
      <c r="G852" t="str">
        <f t="shared" si="26"/>
        <v>llll</v>
      </c>
      <c r="H852" t="str">
        <f>[1]!SplitText(A852,"(",1)</f>
        <v xml:space="preserve">  Offset</v>
      </c>
    </row>
    <row r="853" spans="1:8" ht="26.25" thickBot="1">
      <c r="A853" s="4" t="s">
        <v>6334</v>
      </c>
      <c r="B853" s="5" t="s">
        <v>6551</v>
      </c>
      <c r="C853" s="6" t="s">
        <v>6553</v>
      </c>
      <c r="G853" t="str">
        <f t="shared" si="26"/>
        <v>llll</v>
      </c>
      <c r="H853" t="str">
        <f>[1]!SplitText(A853,"(",1)</f>
        <v xml:space="preserve">  Towards</v>
      </c>
    </row>
    <row r="854" spans="1:8" ht="26.25" thickBot="1">
      <c r="A854" s="4" t="s">
        <v>5205</v>
      </c>
      <c r="B854" s="5" t="s">
        <v>6551</v>
      </c>
      <c r="C854" s="6" t="s">
        <v>6554</v>
      </c>
      <c r="G854" t="str">
        <f t="shared" si="26"/>
        <v>llll</v>
      </c>
      <c r="H854" t="str">
        <f>[1]!SplitText(A854,"(",1)</f>
        <v xml:space="preserve">  Through</v>
      </c>
    </row>
    <row r="855" spans="1:8" ht="41.25" thickBot="1">
      <c r="A855" s="4" t="s">
        <v>6555</v>
      </c>
      <c r="B855" s="5" t="s">
        <v>5220</v>
      </c>
      <c r="C855" s="6" t="s">
        <v>6556</v>
      </c>
      <c r="G855" t="str">
        <f t="shared" si="26"/>
        <v>llll</v>
      </c>
      <c r="H855" t="str">
        <f>[1]!SplitText(A855,"(",1)</f>
        <v xml:space="preserve">  Intersection</v>
      </c>
    </row>
    <row r="856" spans="1:8" ht="26.25" thickBot="1">
      <c r="A856" s="4" t="s">
        <v>6336</v>
      </c>
      <c r="B856" s="5" t="s">
        <v>5220</v>
      </c>
      <c r="C856" s="6" t="s">
        <v>6557</v>
      </c>
      <c r="G856" t="str">
        <f t="shared" si="26"/>
        <v>llll</v>
      </c>
      <c r="H856" t="str">
        <f>[1]!SplitText(A856,"(",1)</f>
        <v xml:space="preserve">  Intersection</v>
      </c>
    </row>
    <row r="857" spans="1:8" ht="27.75" thickBot="1">
      <c r="A857" s="4" t="s">
        <v>6355</v>
      </c>
      <c r="B857" s="5" t="s">
        <v>5220</v>
      </c>
      <c r="C857" s="6" t="s">
        <v>6558</v>
      </c>
      <c r="G857" t="str">
        <f t="shared" si="26"/>
        <v>llll</v>
      </c>
      <c r="H857" t="str">
        <f>[1]!SplitText(A857,"(",1)</f>
        <v xml:space="preserve">  Intersection</v>
      </c>
    </row>
    <row r="858" spans="1:8" ht="25.5">
      <c r="A858" s="92" t="s">
        <v>6341</v>
      </c>
      <c r="B858" s="7" t="s">
        <v>6342</v>
      </c>
      <c r="C858" s="91" t="s">
        <v>6559</v>
      </c>
      <c r="G858" t="str">
        <f t="shared" si="26"/>
        <v>llll</v>
      </c>
      <c r="H858" t="str">
        <f>[1]!SplitText(A858,"(",1)</f>
        <v xml:space="preserve">  Intersections</v>
      </c>
    </row>
    <row r="859" spans="1:8" ht="26.25" thickBot="1">
      <c r="A859" s="4" t="s">
        <v>6087</v>
      </c>
      <c r="B859" s="5" t="s">
        <v>6088</v>
      </c>
      <c r="C859" s="6" t="s">
        <v>6560</v>
      </c>
      <c r="G859" t="str">
        <f t="shared" si="26"/>
        <v>llll</v>
      </c>
      <c r="H859" t="str">
        <f>[1]!SplitText(A859,"(",1)</f>
        <v xml:space="preserve">  Plane</v>
      </c>
    </row>
    <row r="860" spans="1:8" ht="39" thickBot="1">
      <c r="A860" s="4" t="s">
        <v>6352</v>
      </c>
      <c r="B860" s="5" t="s">
        <v>6353</v>
      </c>
      <c r="C860" s="6" t="s">
        <v>6561</v>
      </c>
      <c r="G860" t="str">
        <f t="shared" si="26"/>
        <v>llll</v>
      </c>
      <c r="H860" t="str">
        <f>[1]!SplitText(A860,"(",1)</f>
        <v xml:space="preserve">  Line</v>
      </c>
    </row>
    <row r="861" spans="1:8" ht="17.25" thickBot="1">
      <c r="A861" s="115" t="s">
        <v>3545</v>
      </c>
      <c r="B861" s="115" t="s">
        <v>3546</v>
      </c>
      <c r="G861" t="str">
        <f t="shared" si="26"/>
        <v>llll</v>
      </c>
      <c r="H861" t="str">
        <f>[1]!SplitText(A861,"(",1)</f>
        <v>2.5.51</v>
      </c>
    </row>
    <row r="862" spans="1:8" ht="17.25" thickBot="1">
      <c r="A862" s="102" t="s">
        <v>1591</v>
      </c>
      <c r="B862" s="103" t="s">
        <v>1635</v>
      </c>
      <c r="C862" s="103" t="s">
        <v>3547</v>
      </c>
      <c r="G862" t="str">
        <f t="shared" si="26"/>
        <v>llll</v>
      </c>
      <c r="H862" t="str">
        <f>[1]!SplitText(A862,"(",1)</f>
        <v>Name</v>
      </c>
    </row>
    <row r="863" spans="1:8">
      <c r="A863" s="92" t="s">
        <v>5728</v>
      </c>
      <c r="B863" s="8" t="s">
        <v>6562</v>
      </c>
      <c r="C863" s="91" t="s">
        <v>6563</v>
      </c>
      <c r="G863" t="str">
        <f t="shared" si="26"/>
        <v>llll</v>
      </c>
      <c r="H863" t="str">
        <f>[1]!SplitText(A863,"(",1)</f>
        <v xml:space="preserve">  East  </v>
      </c>
    </row>
    <row r="864" spans="1:8" ht="17.25" thickBot="1">
      <c r="A864" s="4" t="s">
        <v>6564</v>
      </c>
      <c r="B864" s="5" t="s">
        <v>5186</v>
      </c>
      <c r="C864" s="5" t="s">
        <v>6565</v>
      </c>
      <c r="G864" t="str">
        <f t="shared" si="26"/>
        <v>llll</v>
      </c>
      <c r="H864" t="str">
        <f>[1]!SplitText(A864,"(",1)</f>
        <v xml:space="preserve">  North </v>
      </c>
    </row>
    <row r="865" spans="1:8" ht="17.25" thickBot="1">
      <c r="A865" s="4" t="s">
        <v>6566</v>
      </c>
      <c r="B865" s="5" t="s">
        <v>5186</v>
      </c>
      <c r="C865" s="5" t="s">
        <v>6567</v>
      </c>
      <c r="G865" t="str">
        <f t="shared" si="26"/>
        <v>llll</v>
      </c>
      <c r="H865" t="str">
        <f>[1]!SplitText(A865,"(",1)</f>
        <v xml:space="preserve">  Up </v>
      </c>
    </row>
    <row r="866" spans="1:8">
      <c r="A866" s="92" t="s">
        <v>5735</v>
      </c>
      <c r="B866" s="8" t="s">
        <v>6297</v>
      </c>
      <c r="C866" s="91" t="s">
        <v>6568</v>
      </c>
      <c r="G866" t="str">
        <f t="shared" si="26"/>
        <v>llll</v>
      </c>
      <c r="H866" t="str">
        <f>[1]!SplitText(A866,"(",1)</f>
        <v xml:space="preserve">  Origin  </v>
      </c>
    </row>
    <row r="867" spans="1:8" ht="17.25" thickBot="1">
      <c r="A867" s="4" t="s">
        <v>6569</v>
      </c>
      <c r="B867" s="5" t="s">
        <v>5220</v>
      </c>
      <c r="C867" s="6" t="s">
        <v>6570</v>
      </c>
      <c r="G867" t="str">
        <f t="shared" si="26"/>
        <v>llll</v>
      </c>
      <c r="H867" t="str">
        <f>[1]!SplitText(A867,"(",1)</f>
        <v xml:space="preserve">  Position</v>
      </c>
    </row>
    <row r="868" spans="1:8" ht="27.75" thickBot="1">
      <c r="A868" s="4" t="s">
        <v>6571</v>
      </c>
      <c r="B868" s="5" t="s">
        <v>5220</v>
      </c>
      <c r="C868" s="6" t="s">
        <v>6572</v>
      </c>
      <c r="G868" t="str">
        <f t="shared" si="26"/>
        <v>llll</v>
      </c>
      <c r="H868" t="str">
        <f>[1]!SplitText(A868,"(",1)</f>
        <v xml:space="preserve">  Position</v>
      </c>
    </row>
    <row r="869" spans="1:8" ht="27.75" thickBot="1">
      <c r="A869" s="4" t="s">
        <v>6573</v>
      </c>
      <c r="B869" s="5" t="s">
        <v>5238</v>
      </c>
      <c r="C869" s="6" t="s">
        <v>6574</v>
      </c>
      <c r="G869" t="str">
        <f t="shared" si="26"/>
        <v>llll</v>
      </c>
      <c r="H869" t="str">
        <f>[1]!SplitText(A869,"(",1)</f>
        <v xml:space="preserve">  Component</v>
      </c>
    </row>
    <row r="870" spans="1:8" ht="17.25" thickBot="1">
      <c r="A870" s="4" t="s">
        <v>6575</v>
      </c>
      <c r="B870" s="5" t="s">
        <v>5265</v>
      </c>
      <c r="C870" s="5" t="s">
        <v>6576</v>
      </c>
      <c r="G870" t="str">
        <f t="shared" si="26"/>
        <v>llll</v>
      </c>
      <c r="H870" t="str">
        <f>[1]!SplitText(A870,"(",1)</f>
        <v xml:space="preserve">  EQ</v>
      </c>
    </row>
    <row r="871" spans="1:8" ht="17.25" thickBot="1">
      <c r="A871" s="4" t="s">
        <v>6577</v>
      </c>
      <c r="B871" s="5" t="s">
        <v>5265</v>
      </c>
      <c r="C871" s="6" t="s">
        <v>6578</v>
      </c>
      <c r="G871" t="str">
        <f t="shared" si="26"/>
        <v>llll</v>
      </c>
      <c r="H871" t="str">
        <f>[1]!SplitText(A871,"(",1)</f>
        <v xml:space="preserve">  LT</v>
      </c>
    </row>
    <row r="872" spans="1:8" ht="17.25" thickBot="1">
      <c r="A872" s="4" t="s">
        <v>5712</v>
      </c>
      <c r="B872" s="5" t="s">
        <v>5177</v>
      </c>
      <c r="C872" s="5" t="s">
        <v>6579</v>
      </c>
      <c r="G872" t="str">
        <f t="shared" si="26"/>
        <v>llll</v>
      </c>
      <c r="H872" t="str">
        <f>[1]!SplitText(A872,"(",1)</f>
        <v xml:space="preserve">  String</v>
      </c>
    </row>
    <row r="873" spans="1:8" ht="17.25" thickBot="1">
      <c r="A873" s="4" t="s">
        <v>5748</v>
      </c>
      <c r="B873" s="5" t="s">
        <v>5220</v>
      </c>
      <c r="C873" s="6" t="s">
        <v>6580</v>
      </c>
      <c r="G873" t="str">
        <f t="shared" si="26"/>
        <v>llll</v>
      </c>
      <c r="H873" t="str">
        <f>[1]!SplitText(A873,"(",1)</f>
        <v xml:space="preserve">  WRT</v>
      </c>
    </row>
    <row r="874" spans="1:8" ht="27.75" thickBot="1">
      <c r="A874" s="4" t="s">
        <v>6581</v>
      </c>
      <c r="B874" s="5" t="s">
        <v>5238</v>
      </c>
      <c r="C874" s="6" t="s">
        <v>6582</v>
      </c>
      <c r="G874" t="str">
        <f t="shared" si="26"/>
        <v>llll</v>
      </c>
      <c r="H874" t="str">
        <f>[1]!SplitText(A874,"(",1)</f>
        <v xml:space="preserve">  Angle </v>
      </c>
    </row>
    <row r="875" spans="1:8" ht="54.75" thickBot="1">
      <c r="A875" s="96" t="s">
        <v>6583</v>
      </c>
      <c r="B875" s="91" t="s">
        <v>5196</v>
      </c>
      <c r="C875" s="91" t="s">
        <v>6584</v>
      </c>
      <c r="G875" t="str">
        <f t="shared" si="26"/>
        <v>llll</v>
      </c>
      <c r="H875" t="str">
        <f>[1]!SplitText(A875,"(",1)</f>
        <v xml:space="preserve">  ArcCentre</v>
      </c>
    </row>
    <row r="876" spans="1:8" ht="54.75" thickBot="1">
      <c r="A876" s="96" t="s">
        <v>6585</v>
      </c>
      <c r="B876" s="91" t="s">
        <v>5196</v>
      </c>
      <c r="C876" s="91" t="s">
        <v>6586</v>
      </c>
      <c r="G876" t="str">
        <f t="shared" si="26"/>
        <v>llll</v>
      </c>
      <c r="H876" t="str">
        <f>[1]!SplitText(A876,"(",1)</f>
        <v xml:space="preserve">  ArcCentre</v>
      </c>
    </row>
    <row r="877" spans="1:8" ht="41.25" thickBot="1">
      <c r="A877" s="96" t="s">
        <v>6587</v>
      </c>
      <c r="B877" s="91" t="s">
        <v>5196</v>
      </c>
      <c r="C877" s="91" t="s">
        <v>6588</v>
      </c>
      <c r="G877" t="str">
        <f t="shared" si="26"/>
        <v>llll</v>
      </c>
      <c r="H877" t="str">
        <f>[1]!SplitText(A877,"(",1)</f>
        <v xml:space="preserve">  ArcFillet</v>
      </c>
    </row>
    <row r="878" spans="1:8" ht="54.75" thickBot="1">
      <c r="A878" s="96" t="s">
        <v>6589</v>
      </c>
      <c r="B878" s="91" t="s">
        <v>5196</v>
      </c>
      <c r="C878" s="91" t="s">
        <v>6590</v>
      </c>
      <c r="G878" t="str">
        <f t="shared" ref="G878:G925" si="27">IF(ISERROR(SEARCH("table 2:",A878&amp;B878&amp;C878&amp;D878&amp;E878&amp;F878,1)*1),"llll","o")</f>
        <v>llll</v>
      </c>
      <c r="H878" t="str">
        <f>[1]!SplitText(A878,"(",1)</f>
        <v xml:space="preserve">  ArcRadius</v>
      </c>
    </row>
    <row r="879" spans="1:8" ht="41.25" thickBot="1">
      <c r="A879" s="96" t="s">
        <v>6591</v>
      </c>
      <c r="B879" s="91" t="s">
        <v>5196</v>
      </c>
      <c r="C879" s="91" t="s">
        <v>6592</v>
      </c>
      <c r="G879" t="str">
        <f t="shared" si="27"/>
        <v>llll</v>
      </c>
      <c r="H879" t="str">
        <f>[1]!SplitText(A879,"(",1)</f>
        <v xml:space="preserve">  ArcThru</v>
      </c>
    </row>
    <row r="880" spans="1:8" ht="41.25" thickBot="1">
      <c r="A880" s="96" t="s">
        <v>6593</v>
      </c>
      <c r="B880" s="91" t="s">
        <v>5196</v>
      </c>
      <c r="C880" s="91" t="s">
        <v>6594</v>
      </c>
      <c r="G880" t="str">
        <f t="shared" si="27"/>
        <v>llll</v>
      </c>
      <c r="H880" t="str">
        <f>[1]!SplitText(A880,"(",1)</f>
        <v xml:space="preserve">  ArcThru</v>
      </c>
    </row>
    <row r="881" spans="1:8" ht="40.5">
      <c r="A881" s="96" t="s">
        <v>6595</v>
      </c>
      <c r="B881" s="91" t="s">
        <v>5196</v>
      </c>
      <c r="C881" s="91" t="s">
        <v>6596</v>
      </c>
      <c r="G881" t="str">
        <f t="shared" si="27"/>
        <v>llll</v>
      </c>
      <c r="H881" t="str">
        <f>[1]!SplitText(A881,"(",1)</f>
        <v xml:space="preserve">  Arc3Lines</v>
      </c>
    </row>
    <row r="882" spans="1:8" ht="27.75" thickBot="1">
      <c r="A882" s="4" t="s">
        <v>6597</v>
      </c>
      <c r="B882" s="5" t="s">
        <v>5265</v>
      </c>
      <c r="C882" s="5" t="s">
        <v>6598</v>
      </c>
      <c r="G882" t="str">
        <f t="shared" si="27"/>
        <v>llll</v>
      </c>
      <c r="H882" t="str">
        <f>[1]!SplitText(A882,"(",1)</f>
        <v xml:space="preserve">  Direction</v>
      </c>
    </row>
    <row r="883" spans="1:8" ht="26.25" thickBot="1">
      <c r="A883" s="4" t="s">
        <v>6599</v>
      </c>
      <c r="B883" s="5" t="s">
        <v>5238</v>
      </c>
      <c r="C883" s="6" t="s">
        <v>6600</v>
      </c>
      <c r="G883" t="str">
        <f t="shared" si="27"/>
        <v>llll</v>
      </c>
      <c r="H883" t="str">
        <f>[1]!SplitText(A883,"(",1)</f>
        <v xml:space="preserve">  Distance</v>
      </c>
    </row>
    <row r="884" spans="1:8">
      <c r="A884" s="92" t="s">
        <v>6601</v>
      </c>
      <c r="B884" s="91" t="s">
        <v>6339</v>
      </c>
      <c r="C884" s="8" t="s">
        <v>6602</v>
      </c>
      <c r="G884" t="str">
        <f t="shared" si="27"/>
        <v>llll</v>
      </c>
      <c r="H884" t="str">
        <f>[1]!SplitText(A884,"(",1)</f>
        <v xml:space="preserve">  MidPoint</v>
      </c>
    </row>
    <row r="885" spans="1:8" ht="27.75" thickBot="1">
      <c r="A885" s="4" t="s">
        <v>6603</v>
      </c>
      <c r="B885" s="5" t="s">
        <v>5265</v>
      </c>
      <c r="C885" s="6" t="s">
        <v>6604</v>
      </c>
      <c r="G885" t="str">
        <f t="shared" si="27"/>
        <v>llll</v>
      </c>
      <c r="H885" t="str">
        <f>[1]!SplitText(A885,"(",1)</f>
        <v xml:space="preserve">  Near</v>
      </c>
    </row>
    <row r="886" spans="1:8" ht="27.75" thickBot="1">
      <c r="A886" s="4" t="s">
        <v>6605</v>
      </c>
      <c r="B886" s="5" t="s">
        <v>5220</v>
      </c>
      <c r="C886" s="6" t="s">
        <v>6606</v>
      </c>
      <c r="G886" t="str">
        <f t="shared" si="27"/>
        <v>llll</v>
      </c>
      <c r="H886" t="str">
        <f>[1]!SplitText(A886,"(",1)</f>
        <v xml:space="preserve">  Offset</v>
      </c>
    </row>
    <row r="887" spans="1:8" ht="27.75" thickBot="1">
      <c r="A887" s="4" t="s">
        <v>6607</v>
      </c>
      <c r="B887" s="5" t="s">
        <v>6088</v>
      </c>
      <c r="C887" s="6" t="s">
        <v>6608</v>
      </c>
      <c r="G887" t="str">
        <f t="shared" si="27"/>
        <v>llll</v>
      </c>
      <c r="H887" t="str">
        <f>[1]!SplitText(A887,"(",1)</f>
        <v xml:space="preserve">  Plane</v>
      </c>
    </row>
    <row r="888" spans="1:8" ht="26.25" thickBot="1">
      <c r="A888" s="92" t="s">
        <v>6609</v>
      </c>
      <c r="B888" s="91" t="s">
        <v>5235</v>
      </c>
      <c r="C888" s="7" t="s">
        <v>6610</v>
      </c>
      <c r="G888" t="str">
        <f t="shared" si="27"/>
        <v>llll</v>
      </c>
      <c r="H888" t="str">
        <f>[1]!SplitText(A888,"(",1)</f>
        <v xml:space="preserve">  Distance</v>
      </c>
    </row>
    <row r="889" spans="1:8" ht="25.5">
      <c r="A889" s="92" t="s">
        <v>6611</v>
      </c>
      <c r="B889" s="91" t="s">
        <v>5235</v>
      </c>
      <c r="C889" s="7" t="s">
        <v>6612</v>
      </c>
      <c r="G889" t="str">
        <f t="shared" si="27"/>
        <v>llll</v>
      </c>
      <c r="H889" t="str">
        <f>[1]!SplitText(A889,"(",1)</f>
        <v xml:space="preserve">  Distance</v>
      </c>
    </row>
    <row r="890" spans="1:8" ht="17.25" thickBot="1">
      <c r="A890" s="4" t="s">
        <v>6613</v>
      </c>
      <c r="B890" s="5" t="s">
        <v>5238</v>
      </c>
      <c r="C890" s="6" t="s">
        <v>6614</v>
      </c>
      <c r="G890" t="str">
        <f t="shared" si="27"/>
        <v>llll</v>
      </c>
      <c r="H890" t="str">
        <f>[1]!SplitText(A890,"(",1)</f>
        <v xml:space="preserve">  Distance</v>
      </c>
    </row>
    <row r="891" spans="1:8" ht="26.25" thickBot="1">
      <c r="A891" s="4" t="s">
        <v>6615</v>
      </c>
      <c r="B891" s="5" t="s">
        <v>6353</v>
      </c>
      <c r="C891" s="6" t="s">
        <v>6616</v>
      </c>
      <c r="G891" t="str">
        <f t="shared" si="27"/>
        <v>llll</v>
      </c>
      <c r="H891" t="str">
        <f>[1]!SplitText(A891,"(",1)</f>
        <v xml:space="preserve">  Line</v>
      </c>
    </row>
    <row r="892" spans="1:8">
      <c r="A892" s="92" t="s">
        <v>6601</v>
      </c>
      <c r="B892" s="91" t="s">
        <v>6339</v>
      </c>
      <c r="C892" s="8" t="s">
        <v>6602</v>
      </c>
      <c r="G892" t="str">
        <f t="shared" si="27"/>
        <v>llll</v>
      </c>
      <c r="H892" t="str">
        <f>[1]!SplitText(A892,"(",1)</f>
        <v xml:space="preserve">  MidPoint</v>
      </c>
    </row>
    <row r="893" spans="1:8" ht="27.75" thickBot="1">
      <c r="A893" s="4" t="s">
        <v>6603</v>
      </c>
      <c r="B893" s="5" t="s">
        <v>5265</v>
      </c>
      <c r="C893" s="6" t="s">
        <v>6604</v>
      </c>
      <c r="G893" t="str">
        <f t="shared" si="27"/>
        <v>llll</v>
      </c>
      <c r="H893" t="str">
        <f>[1]!SplitText(A893,"(",1)</f>
        <v xml:space="preserve">  Near</v>
      </c>
    </row>
    <row r="894" spans="1:8" ht="27">
      <c r="A894" s="96" t="s">
        <v>6617</v>
      </c>
      <c r="B894" s="91" t="s">
        <v>6339</v>
      </c>
      <c r="C894" s="91" t="s">
        <v>6606</v>
      </c>
      <c r="G894" t="str">
        <f t="shared" si="27"/>
        <v>llll</v>
      </c>
      <c r="H894" t="str">
        <f>[1]!SplitText(A894,"(",1)</f>
        <v xml:space="preserve">  Offset</v>
      </c>
    </row>
    <row r="895" spans="1:8" ht="27.75" thickBot="1">
      <c r="A895" s="4" t="s">
        <v>6607</v>
      </c>
      <c r="B895" s="5" t="s">
        <v>6088</v>
      </c>
      <c r="C895" s="6" t="s">
        <v>6608</v>
      </c>
      <c r="G895" t="str">
        <f t="shared" si="27"/>
        <v>llll</v>
      </c>
      <c r="H895" t="str">
        <f>[1]!SplitText(A895,"(",1)</f>
        <v xml:space="preserve">  Plane</v>
      </c>
    </row>
    <row r="896" spans="1:8" ht="17.25" thickBot="1">
      <c r="A896" s="115" t="s">
        <v>3611</v>
      </c>
      <c r="B896" s="115" t="s">
        <v>3612</v>
      </c>
      <c r="G896" t="str">
        <f t="shared" si="27"/>
        <v>llll</v>
      </c>
      <c r="H896" t="str">
        <f>[1]!SplitText(A896,"(",1)</f>
        <v>2.5.52</v>
      </c>
    </row>
    <row r="897" spans="1:8" ht="17.25" thickBot="1">
      <c r="A897" s="102" t="s">
        <v>1591</v>
      </c>
      <c r="B897" s="103" t="s">
        <v>1592</v>
      </c>
      <c r="C897" s="103" t="s">
        <v>1593</v>
      </c>
      <c r="G897" t="str">
        <f t="shared" si="27"/>
        <v>llll</v>
      </c>
      <c r="H897" t="str">
        <f>[1]!SplitText(A897,"(",1)</f>
        <v>Name</v>
      </c>
    </row>
    <row r="898" spans="1:8" ht="26.25" thickBot="1">
      <c r="A898" s="4" t="s">
        <v>6618</v>
      </c>
      <c r="B898" s="6" t="s">
        <v>5273</v>
      </c>
      <c r="C898" s="6" t="s">
        <v>6619</v>
      </c>
      <c r="G898" t="str">
        <f t="shared" si="27"/>
        <v>llll</v>
      </c>
      <c r="H898" t="str">
        <f>[1]!SplitText(A898,"(",1)</f>
        <v xml:space="preserve">  postMark</v>
      </c>
    </row>
    <row r="899" spans="1:8" ht="26.25" thickBot="1">
      <c r="A899" s="4" t="s">
        <v>6620</v>
      </c>
      <c r="B899" s="6" t="s">
        <v>5273</v>
      </c>
      <c r="C899" s="6" t="s">
        <v>6621</v>
      </c>
      <c r="G899" t="str">
        <f t="shared" si="27"/>
        <v>llll</v>
      </c>
      <c r="H899" t="str">
        <f>[1]!SplitText(A899,"(",1)</f>
        <v xml:space="preserve">  postUndo </v>
      </c>
    </row>
    <row r="900" spans="1:8" ht="26.25" thickBot="1">
      <c r="A900" s="4" t="s">
        <v>6622</v>
      </c>
      <c r="B900" s="6" t="s">
        <v>5273</v>
      </c>
      <c r="C900" s="6" t="s">
        <v>6623</v>
      </c>
      <c r="G900" t="str">
        <f t="shared" si="27"/>
        <v>llll</v>
      </c>
      <c r="H900" t="str">
        <f>[1]!SplitText(A900,"(",1)</f>
        <v xml:space="preserve">  postRedo</v>
      </c>
    </row>
    <row r="901" spans="1:8" ht="17.25" thickBot="1">
      <c r="A901" s="4" t="s">
        <v>6624</v>
      </c>
      <c r="B901" s="6" t="s">
        <v>5273</v>
      </c>
      <c r="C901" s="6" t="s">
        <v>6625</v>
      </c>
      <c r="G901" t="str">
        <f t="shared" si="27"/>
        <v>llll</v>
      </c>
      <c r="H901" t="str">
        <f>[1]!SplitText(A901,"(",1)</f>
        <v xml:space="preserve">  postClearMark</v>
      </c>
    </row>
    <row r="902" spans="1:8" ht="17.25" thickBot="1">
      <c r="A902" s="4" t="s">
        <v>6626</v>
      </c>
      <c r="B902" s="6" t="s">
        <v>5273</v>
      </c>
      <c r="C902" s="5" t="s">
        <v>6627</v>
      </c>
      <c r="G902" t="str">
        <f t="shared" si="27"/>
        <v>llll</v>
      </c>
      <c r="H902" t="str">
        <f>[1]!SplitText(A902,"(",1)</f>
        <v xml:space="preserve">  postClearAll</v>
      </c>
    </row>
    <row r="903" spans="1:8" ht="17.25" thickBot="1">
      <c r="A903" s="115" t="s">
        <v>3625</v>
      </c>
      <c r="B903" s="115" t="s">
        <v>3626</v>
      </c>
      <c r="G903" t="str">
        <f t="shared" si="27"/>
        <v>llll</v>
      </c>
      <c r="H903" t="str">
        <f>[1]!SplitText(A903,"(",1)</f>
        <v>2.5.53</v>
      </c>
    </row>
    <row r="904" spans="1:8" ht="17.25" thickBot="1">
      <c r="A904" s="102" t="s">
        <v>1591</v>
      </c>
      <c r="B904" s="103" t="s">
        <v>1635</v>
      </c>
      <c r="C904" s="103" t="s">
        <v>1593</v>
      </c>
      <c r="G904" t="str">
        <f t="shared" si="27"/>
        <v>llll</v>
      </c>
      <c r="H904" t="str">
        <f>[1]!SplitText(A904,"(",1)</f>
        <v>Name</v>
      </c>
    </row>
    <row r="905" spans="1:8" ht="17.25" thickBot="1">
      <c r="A905" s="4" t="s">
        <v>5657</v>
      </c>
      <c r="B905" s="5" t="s">
        <v>5177</v>
      </c>
      <c r="C905" s="6" t="s">
        <v>6628</v>
      </c>
      <c r="G905" t="str">
        <f t="shared" si="27"/>
        <v>llll</v>
      </c>
      <c r="H905" t="str">
        <f>[1]!SplitText(A905,"(",1)</f>
        <v xml:space="preserve">  Name </v>
      </c>
    </row>
    <row r="906" spans="1:8" ht="17.25" thickBot="1">
      <c r="A906" s="4" t="s">
        <v>6629</v>
      </c>
      <c r="B906" s="5" t="s">
        <v>5177</v>
      </c>
      <c r="C906" s="6" t="s">
        <v>6630</v>
      </c>
      <c r="G906" t="str">
        <f t="shared" si="27"/>
        <v>llll</v>
      </c>
      <c r="H906" t="str">
        <f>[1]!SplitText(A906,"(",1)</f>
        <v xml:space="preserve">  Evar</v>
      </c>
    </row>
    <row r="907" spans="1:8" ht="17.25" thickBot="1">
      <c r="A907" s="4" t="s">
        <v>6631</v>
      </c>
      <c r="B907" s="5" t="s">
        <v>5238</v>
      </c>
      <c r="C907" s="5" t="s">
        <v>6632</v>
      </c>
      <c r="G907" t="str">
        <f t="shared" si="27"/>
        <v>llll</v>
      </c>
      <c r="H907" t="str">
        <f>[1]!SplitText(A907,"(",1)</f>
        <v xml:space="preserve">  Active</v>
      </c>
    </row>
    <row r="908" spans="1:8">
      <c r="A908" s="92" t="s">
        <v>6633</v>
      </c>
      <c r="B908" s="91" t="s">
        <v>5174</v>
      </c>
      <c r="C908" s="8" t="s">
        <v>6634</v>
      </c>
      <c r="G908" t="str">
        <f t="shared" si="27"/>
        <v>llll</v>
      </c>
      <c r="H908" t="str">
        <f>[1]!SplitText(A908,"(",1)</f>
        <v xml:space="preserve">  Code</v>
      </c>
    </row>
    <row r="909" spans="1:8" ht="17.25" thickBot="1">
      <c r="A909" s="4" t="s">
        <v>6635</v>
      </c>
      <c r="B909" s="5" t="s">
        <v>5177</v>
      </c>
      <c r="C909" s="5" t="s">
        <v>6636</v>
      </c>
      <c r="G909" t="str">
        <f t="shared" si="27"/>
        <v>llll</v>
      </c>
      <c r="H909" t="str">
        <f>[1]!SplitText(A909,"(",1)</f>
        <v xml:space="preserve">  Description</v>
      </c>
    </row>
    <row r="910" spans="1:8" ht="17.25" thickBot="1">
      <c r="A910" s="4" t="s">
        <v>6637</v>
      </c>
      <c r="B910" s="5" t="s">
        <v>5177</v>
      </c>
      <c r="C910" s="5" t="s">
        <v>6638</v>
      </c>
      <c r="G910" t="str">
        <f t="shared" si="27"/>
        <v>llll</v>
      </c>
      <c r="H910" t="str">
        <f>[1]!SplitText(A910,"(",1)</f>
        <v xml:space="preserve">  Mbcharset</v>
      </c>
    </row>
    <row r="911" spans="1:8" ht="26.25" thickBot="1">
      <c r="A911" s="4" t="s">
        <v>6639</v>
      </c>
      <c r="B911" s="5" t="s">
        <v>5177</v>
      </c>
      <c r="C911" s="6" t="s">
        <v>6640</v>
      </c>
      <c r="G911" t="str">
        <f t="shared" si="27"/>
        <v>llll</v>
      </c>
      <c r="H911" t="str">
        <f>[1]!SplitText(A911,"(",1)</f>
        <v xml:space="preserve">  Message</v>
      </c>
    </row>
    <row r="912" spans="1:8" ht="17.25" thickBot="1">
      <c r="A912" s="4" t="s">
        <v>5470</v>
      </c>
      <c r="B912" s="5" t="s">
        <v>5177</v>
      </c>
      <c r="C912" s="5" t="s">
        <v>6641</v>
      </c>
      <c r="G912" t="str">
        <f t="shared" si="27"/>
        <v>llll</v>
      </c>
      <c r="H912" t="str">
        <f>[1]!SplitText(A912,"(",1)</f>
        <v xml:space="preserve">  Name</v>
      </c>
    </row>
    <row r="913" spans="1:8" ht="17.25" thickBot="1">
      <c r="A913" s="4" t="s">
        <v>6642</v>
      </c>
      <c r="B913" s="5" t="s">
        <v>5177</v>
      </c>
      <c r="C913" s="5" t="s">
        <v>6643</v>
      </c>
      <c r="G913" t="str">
        <f t="shared" si="27"/>
        <v>llll</v>
      </c>
      <c r="H913" t="str">
        <f>[1]!SplitText(A913,"(",1)</f>
        <v xml:space="preserve">  Number</v>
      </c>
    </row>
    <row r="914" spans="1:8" ht="17.25" thickBot="1">
      <c r="A914" s="4" t="s">
        <v>6644</v>
      </c>
      <c r="B914" s="5" t="s">
        <v>5265</v>
      </c>
      <c r="C914" s="5" t="s">
        <v>6645</v>
      </c>
      <c r="G914" t="str">
        <f t="shared" si="27"/>
        <v>llll</v>
      </c>
      <c r="H914" t="str">
        <f>[1]!SplitText(A914,"(",1)</f>
        <v xml:space="preserve">  Isglobal</v>
      </c>
    </row>
    <row r="915" spans="1:8">
      <c r="A915" s="92" t="s">
        <v>6646</v>
      </c>
      <c r="B915" s="7" t="s">
        <v>6647</v>
      </c>
      <c r="C915" s="91" t="s">
        <v>6648</v>
      </c>
      <c r="G915" t="str">
        <f t="shared" si="27"/>
        <v>llll</v>
      </c>
      <c r="H915" t="str">
        <f>[1]!SplitText(A915,"(",1)</f>
        <v xml:space="preserve">  Locations</v>
      </c>
    </row>
    <row r="916" spans="1:8" ht="17.25" thickBot="1">
      <c r="A916" s="4" t="s">
        <v>6649</v>
      </c>
      <c r="B916" s="5" t="s">
        <v>6149</v>
      </c>
      <c r="C916" s="5" t="s">
        <v>6650</v>
      </c>
      <c r="G916" t="str">
        <f t="shared" si="27"/>
        <v>llll</v>
      </c>
      <c r="H916" t="str">
        <f>[1]!SplitText(A916,"(",1)</f>
        <v xml:space="preserve">  CurrentLocation</v>
      </c>
    </row>
    <row r="917" spans="1:8" ht="17.25" thickBot="1">
      <c r="A917" s="4" t="s">
        <v>5684</v>
      </c>
      <c r="B917" s="5" t="s">
        <v>6651</v>
      </c>
      <c r="C917" s="6" t="s">
        <v>6652</v>
      </c>
      <c r="G917" t="str">
        <f t="shared" si="27"/>
        <v>llll</v>
      </c>
      <c r="H917" t="str">
        <f>[1]!SplitText(A917,"(",1)</f>
        <v xml:space="preserve">  Sessions</v>
      </c>
    </row>
    <row r="918" spans="1:8" ht="17.25" thickBot="1">
      <c r="A918" s="4" t="s">
        <v>6653</v>
      </c>
      <c r="B918" s="5" t="s">
        <v>6654</v>
      </c>
      <c r="C918" s="6" t="s">
        <v>6655</v>
      </c>
      <c r="G918" t="str">
        <f t="shared" si="27"/>
        <v>llll</v>
      </c>
      <c r="H918" t="str">
        <f>[1]!SplitText(A918,"(",1)</f>
        <v xml:space="preserve">  CurrentSession</v>
      </c>
    </row>
    <row r="919" spans="1:8">
      <c r="A919" s="92" t="s">
        <v>6656</v>
      </c>
      <c r="B919" s="7" t="s">
        <v>6657</v>
      </c>
      <c r="C919" s="91" t="s">
        <v>6658</v>
      </c>
      <c r="G919" t="str">
        <f t="shared" si="27"/>
        <v>llll</v>
      </c>
      <c r="H919" t="str">
        <f>[1]!SplitText(A919,"(",1)</f>
        <v xml:space="preserve">  Dblist</v>
      </c>
    </row>
    <row r="920" spans="1:8" ht="17.25" thickBot="1">
      <c r="A920" s="4" t="s">
        <v>5681</v>
      </c>
      <c r="B920" s="5" t="s">
        <v>6659</v>
      </c>
      <c r="C920" s="6" t="s">
        <v>6660</v>
      </c>
      <c r="G920" t="str">
        <f t="shared" si="27"/>
        <v>llll</v>
      </c>
      <c r="H920" t="str">
        <f>[1]!SplitText(A920,"(",1)</f>
        <v xml:space="preserve">  MDBList</v>
      </c>
    </row>
    <row r="921" spans="1:8" ht="17.25" thickBot="1">
      <c r="A921" s="4" t="s">
        <v>6661</v>
      </c>
      <c r="B921" s="5" t="s">
        <v>6662</v>
      </c>
      <c r="C921" s="6" t="s">
        <v>6663</v>
      </c>
      <c r="G921" t="str">
        <f t="shared" si="27"/>
        <v>llll</v>
      </c>
      <c r="H921" t="str">
        <f>[1]!SplitText(A921,"(",1)</f>
        <v xml:space="preserve">  UserList</v>
      </c>
    </row>
    <row r="922" spans="1:8" ht="26.25" thickBot="1">
      <c r="A922" s="4" t="s">
        <v>6664</v>
      </c>
      <c r="B922" s="5" t="s">
        <v>6665</v>
      </c>
      <c r="C922" s="6" t="s">
        <v>6666</v>
      </c>
      <c r="G922" t="str">
        <f t="shared" si="27"/>
        <v>llll</v>
      </c>
      <c r="H922" t="str">
        <f>[1]!SplitText(A922,"(",1)</f>
        <v xml:space="preserve">  Macros</v>
      </c>
    </row>
    <row r="923" spans="1:8" ht="17.25" thickBot="1">
      <c r="A923" s="4" t="s">
        <v>6667</v>
      </c>
      <c r="B923" s="5" t="s">
        <v>5373</v>
      </c>
      <c r="C923" s="6" t="s">
        <v>6668</v>
      </c>
      <c r="G923" t="str">
        <f t="shared" si="27"/>
        <v>llll</v>
      </c>
      <c r="H923" t="str">
        <f>[1]!SplitText(A923,"(",1)</f>
        <v xml:space="preserve">  Messages</v>
      </c>
    </row>
    <row r="924" spans="1:8" ht="17.25" thickBot="1">
      <c r="A924" s="115" t="s">
        <v>3669</v>
      </c>
      <c r="B924" s="115" t="s">
        <v>3670</v>
      </c>
      <c r="G924" t="str">
        <f t="shared" si="27"/>
        <v>llll</v>
      </c>
      <c r="H924" t="str">
        <f>[1]!SplitText(A924,"(",1)</f>
        <v>2.5.54</v>
      </c>
    </row>
    <row r="925" spans="1:8" ht="17.25" thickBot="1">
      <c r="A925" s="102" t="s">
        <v>1591</v>
      </c>
      <c r="B925" s="103" t="s">
        <v>1635</v>
      </c>
      <c r="C925" s="103" t="s">
        <v>1593</v>
      </c>
      <c r="G925" t="str">
        <f t="shared" si="27"/>
        <v>llll</v>
      </c>
      <c r="H925" t="str">
        <f>[1]!SplitText(A925,"(",1)</f>
        <v>Name</v>
      </c>
    </row>
    <row r="926" spans="1:8" ht="17.25" thickBot="1">
      <c r="A926" s="92" t="s">
        <v>5182</v>
      </c>
      <c r="B926" s="8" t="s">
        <v>5183</v>
      </c>
      <c r="C926" s="91" t="s">
        <v>6669</v>
      </c>
      <c r="G926" t="str">
        <f t="shared" ref="G926:G966" si="28">IF(ISERROR(SEARCH("table 2:",A926&amp;B926&amp;C926&amp;D926&amp;E926&amp;F926,1)*1),"llll","o")</f>
        <v>llll</v>
      </c>
      <c r="H926" t="str">
        <f>[1]!SplitText(A926,"(",1)</f>
        <v xml:space="preserve">  Position </v>
      </c>
    </row>
    <row r="927" spans="1:8" ht="17.25" thickBot="1">
      <c r="A927" s="92" t="s">
        <v>6361</v>
      </c>
      <c r="B927" s="7" t="s">
        <v>6362</v>
      </c>
      <c r="C927" s="91" t="s">
        <v>6670</v>
      </c>
      <c r="G927" t="str">
        <f t="shared" si="28"/>
        <v>llll</v>
      </c>
      <c r="H927" t="str">
        <f>[1]!SplitText(A927,"(",1)</f>
        <v xml:space="preserve">  Orientation </v>
      </c>
    </row>
    <row r="928" spans="1:8" ht="17.25" thickBot="1">
      <c r="A928" s="92" t="s">
        <v>6671</v>
      </c>
      <c r="B928" s="8" t="s">
        <v>6672</v>
      </c>
      <c r="C928" s="91" t="s">
        <v>6673</v>
      </c>
      <c r="G928" t="str">
        <f t="shared" si="28"/>
        <v>llll</v>
      </c>
      <c r="H928" t="str">
        <f>[1]!SplitText(A928,"(",1)</f>
        <v xml:space="preserve">  Pointer </v>
      </c>
    </row>
    <row r="929" spans="1:8" ht="51.75" thickBot="1">
      <c r="A929" s="134" t="s">
        <v>6674</v>
      </c>
      <c r="B929" s="91" t="s">
        <v>6675</v>
      </c>
      <c r="C929" s="7" t="s">
        <v>6676</v>
      </c>
      <c r="G929" t="str">
        <f t="shared" si="28"/>
        <v>llll</v>
      </c>
      <c r="H929" t="str">
        <f>[1]!SplitText(A929,"(",1)</f>
        <v xml:space="preserve">  Profile</v>
      </c>
    </row>
    <row r="930" spans="1:8" ht="51">
      <c r="A930" s="92" t="s">
        <v>6677</v>
      </c>
      <c r="B930" s="91" t="s">
        <v>6678</v>
      </c>
      <c r="C930" s="7" t="s">
        <v>6679</v>
      </c>
      <c r="G930" t="str">
        <f t="shared" si="28"/>
        <v>llll</v>
      </c>
      <c r="H930" t="str">
        <f>[1]!SplitText(A930,"(",1)</f>
        <v xml:space="preserve">  Profile</v>
      </c>
    </row>
    <row r="931" spans="1:8" ht="41.25" thickBot="1">
      <c r="A931" s="4" t="s">
        <v>6680</v>
      </c>
      <c r="B931" s="5" t="s">
        <v>6437</v>
      </c>
      <c r="C931" s="6" t="s">
        <v>6681</v>
      </c>
      <c r="G931" t="str">
        <f t="shared" si="28"/>
        <v>llll</v>
      </c>
      <c r="H931" t="str">
        <f>[1]!SplitText(A931,"(",1)</f>
        <v xml:space="preserve">  Profile</v>
      </c>
    </row>
    <row r="932" spans="1:8" ht="17.25" thickBot="1">
      <c r="A932" s="4" t="s">
        <v>6682</v>
      </c>
      <c r="B932" s="5" t="s">
        <v>6437</v>
      </c>
      <c r="C932" s="5" t="s">
        <v>6683</v>
      </c>
      <c r="G932" t="str">
        <f t="shared" si="28"/>
        <v>llll</v>
      </c>
      <c r="H932" t="str">
        <f>[1]!SplitText(A932,"(",1)</f>
        <v xml:space="preserve">  Profile</v>
      </c>
    </row>
    <row r="933" spans="1:8" ht="25.5">
      <c r="A933" s="92" t="s">
        <v>6684</v>
      </c>
      <c r="B933" s="91" t="s">
        <v>6413</v>
      </c>
      <c r="C933" s="7" t="s">
        <v>6685</v>
      </c>
      <c r="G933" t="str">
        <f t="shared" si="28"/>
        <v>llll</v>
      </c>
      <c r="H933" t="str">
        <f>[1]!SplitText(A933,"(",1)</f>
        <v xml:space="preserve">  Plane</v>
      </c>
    </row>
    <row r="934" spans="1:8" ht="17.25" thickBot="1">
      <c r="A934" s="4" t="s">
        <v>6686</v>
      </c>
      <c r="B934" s="5" t="s">
        <v>5265</v>
      </c>
      <c r="C934" s="5" t="s">
        <v>6687</v>
      </c>
      <c r="G934" t="str">
        <f t="shared" si="28"/>
        <v>llll</v>
      </c>
      <c r="H934" t="str">
        <f>[1]!SplitText(A934,"(",1)</f>
        <v xml:space="preserve">  IsClosed</v>
      </c>
    </row>
    <row r="935" spans="1:8" ht="26.25" thickBot="1">
      <c r="A935" s="4" t="s">
        <v>6688</v>
      </c>
      <c r="B935" s="5" t="s">
        <v>5265</v>
      </c>
      <c r="C935" s="6" t="s">
        <v>6689</v>
      </c>
      <c r="G935" t="str">
        <f t="shared" si="28"/>
        <v>llll</v>
      </c>
      <c r="H935" t="str">
        <f>[1]!SplitText(A935,"(",1)</f>
        <v xml:space="preserve">  IsValidClosed </v>
      </c>
    </row>
    <row r="936" spans="1:8" ht="26.25" thickBot="1">
      <c r="A936" s="4" t="s">
        <v>6690</v>
      </c>
      <c r="B936" s="5" t="s">
        <v>5265</v>
      </c>
      <c r="C936" s="6" t="s">
        <v>6691</v>
      </c>
      <c r="G936" t="str">
        <f t="shared" si="28"/>
        <v>llll</v>
      </c>
      <c r="H936" t="str">
        <f>[1]!SplitText(A936,"(",1)</f>
        <v xml:space="preserve">  Sense</v>
      </c>
    </row>
    <row r="937" spans="1:8" ht="17.25" thickBot="1">
      <c r="A937" s="4" t="s">
        <v>6692</v>
      </c>
      <c r="B937" s="5" t="s">
        <v>5238</v>
      </c>
      <c r="C937" s="6" t="s">
        <v>6693</v>
      </c>
      <c r="G937" t="str">
        <f t="shared" si="28"/>
        <v>llll</v>
      </c>
      <c r="H937" t="str">
        <f>[1]!SplitText(A937,"(",1)</f>
        <v xml:space="preserve">  Area</v>
      </c>
    </row>
    <row r="938" spans="1:8" ht="17.25" thickBot="1">
      <c r="A938" s="4" t="s">
        <v>5244</v>
      </c>
      <c r="B938" s="5" t="s">
        <v>5238</v>
      </c>
      <c r="C938" s="6" t="s">
        <v>6694</v>
      </c>
      <c r="G938" t="str">
        <f t="shared" si="28"/>
        <v>llll</v>
      </c>
      <c r="H938" t="str">
        <f>[1]!SplitText(A938,"(",1)</f>
        <v xml:space="preserve">  Length</v>
      </c>
    </row>
    <row r="939" spans="1:8" ht="17.25" thickBot="1">
      <c r="A939" s="4" t="s">
        <v>6695</v>
      </c>
      <c r="B939" s="5" t="s">
        <v>5265</v>
      </c>
      <c r="C939" s="5" t="s">
        <v>6696</v>
      </c>
      <c r="G939" t="str">
        <f t="shared" si="28"/>
        <v>llll</v>
      </c>
      <c r="H939" t="str">
        <f>[1]!SplitText(A939,"(",1)</f>
        <v xml:space="preserve">  IsCircle</v>
      </c>
    </row>
    <row r="940" spans="1:8" ht="39" thickBot="1">
      <c r="A940" s="4" t="s">
        <v>6697</v>
      </c>
      <c r="B940" s="5" t="s">
        <v>5265</v>
      </c>
      <c r="C940" s="6" t="s">
        <v>6698</v>
      </c>
      <c r="G940" t="str">
        <f t="shared" si="28"/>
        <v>llll</v>
      </c>
      <c r="H940" t="str">
        <f>[1]!SplitText(A940,"(",1)</f>
        <v xml:space="preserve">  IsFillet</v>
      </c>
    </row>
    <row r="941" spans="1:8" ht="51.75" thickBot="1">
      <c r="A941" s="92" t="s">
        <v>6699</v>
      </c>
      <c r="B941" s="91" t="s">
        <v>5282</v>
      </c>
      <c r="C941" s="7" t="s">
        <v>6700</v>
      </c>
      <c r="G941" t="str">
        <f t="shared" si="28"/>
        <v>llll</v>
      </c>
      <c r="H941" t="str">
        <f>[1]!SplitText(A941,"(",1)</f>
        <v xml:space="preserve">  edges</v>
      </c>
    </row>
    <row r="942" spans="1:8">
      <c r="A942" s="92" t="s">
        <v>6701</v>
      </c>
      <c r="B942" s="91" t="s">
        <v>5235</v>
      </c>
      <c r="C942" s="7" t="s">
        <v>6702</v>
      </c>
      <c r="G942" t="str">
        <f t="shared" si="28"/>
        <v>llll</v>
      </c>
      <c r="H942" t="str">
        <f>[1]!SplitText(A942,"(",1)</f>
        <v xml:space="preserve">  numberEdges</v>
      </c>
    </row>
    <row r="943" spans="1:8" ht="17.25" thickBot="1">
      <c r="A943" s="4" t="s">
        <v>6703</v>
      </c>
      <c r="B943" s="5" t="s">
        <v>6704</v>
      </c>
      <c r="C943" s="6" t="s">
        <v>6705</v>
      </c>
      <c r="G943" t="str">
        <f t="shared" si="28"/>
        <v>llll</v>
      </c>
      <c r="H943" t="str">
        <f>[1]!SplitText(A943,"(",1)</f>
        <v xml:space="preserve">  edge</v>
      </c>
    </row>
    <row r="944" spans="1:8" ht="102.75" thickBot="1">
      <c r="A944" s="92" t="s">
        <v>6706</v>
      </c>
      <c r="B944" s="91" t="s">
        <v>6707</v>
      </c>
      <c r="C944" s="7" t="s">
        <v>6708</v>
      </c>
      <c r="G944" t="str">
        <f t="shared" si="28"/>
        <v>llll</v>
      </c>
      <c r="H944" t="str">
        <f>[1]!SplitText(A944,"(",1)</f>
        <v xml:space="preserve">  dbWrite</v>
      </c>
    </row>
    <row r="945" spans="1:8" ht="64.5" thickBot="1">
      <c r="A945" s="92" t="s">
        <v>6709</v>
      </c>
      <c r="B945" s="91" t="s">
        <v>6678</v>
      </c>
      <c r="C945" s="7" t="s">
        <v>6710</v>
      </c>
      <c r="G945" t="str">
        <f t="shared" si="28"/>
        <v>llll</v>
      </c>
      <c r="H945" t="str">
        <f>[1]!SplitText(A945,"(",1)</f>
        <v xml:space="preserve">  draw</v>
      </c>
    </row>
    <row r="946" spans="1:8" ht="25.5">
      <c r="A946" s="92" t="s">
        <v>6711</v>
      </c>
      <c r="B946" s="91" t="s">
        <v>6442</v>
      </c>
      <c r="C946" s="7" t="s">
        <v>6712</v>
      </c>
      <c r="G946" t="str">
        <f t="shared" si="28"/>
        <v>llll</v>
      </c>
      <c r="H946" t="str">
        <f>[1]!SplitText(A946,"(",1)</f>
        <v xml:space="preserve">  mirror</v>
      </c>
    </row>
    <row r="947" spans="1:8" ht="41.25" thickBot="1">
      <c r="A947" s="4" t="s">
        <v>6713</v>
      </c>
      <c r="B947" s="5" t="s">
        <v>6437</v>
      </c>
      <c r="C947" s="6" t="s">
        <v>6714</v>
      </c>
      <c r="G947" t="str">
        <f t="shared" si="28"/>
        <v>llll</v>
      </c>
      <c r="H947" t="str">
        <f>[1]!SplitText(A947,"(",1)</f>
        <v xml:space="preserve">  translate</v>
      </c>
    </row>
    <row r="948" spans="1:8" ht="39" thickBot="1">
      <c r="A948" s="4" t="s">
        <v>6715</v>
      </c>
      <c r="B948" s="5" t="s">
        <v>6437</v>
      </c>
      <c r="C948" s="6" t="s">
        <v>6716</v>
      </c>
      <c r="G948" t="str">
        <f t="shared" si="28"/>
        <v>llll</v>
      </c>
      <c r="H948" t="str">
        <f>[1]!SplitText(A948,"(",1)</f>
        <v xml:space="preserve">  rotate</v>
      </c>
    </row>
    <row r="949" spans="1:8" ht="26.25" thickBot="1">
      <c r="A949" s="4" t="s">
        <v>6717</v>
      </c>
      <c r="B949" s="5" t="s">
        <v>6437</v>
      </c>
      <c r="C949" s="6" t="s">
        <v>6718</v>
      </c>
      <c r="G949" t="str">
        <f t="shared" si="28"/>
        <v>llll</v>
      </c>
      <c r="H949" t="str">
        <f>[1]!SplitText(A949,"(",1)</f>
        <v xml:space="preserve">  close</v>
      </c>
    </row>
    <row r="950" spans="1:8" ht="17.25" thickBot="1">
      <c r="A950" s="4" t="s">
        <v>6719</v>
      </c>
      <c r="B950" s="5" t="s">
        <v>6437</v>
      </c>
      <c r="C950" s="6" t="s">
        <v>6720</v>
      </c>
      <c r="G950" t="str">
        <f t="shared" si="28"/>
        <v>llll</v>
      </c>
      <c r="H950" t="str">
        <f>[1]!SplitText(A950,"(",1)</f>
        <v xml:space="preserve">  reverse</v>
      </c>
    </row>
    <row r="951" spans="1:8" ht="39" thickBot="1">
      <c r="A951" s="4" t="s">
        <v>6721</v>
      </c>
      <c r="B951" s="5" t="s">
        <v>6437</v>
      </c>
      <c r="C951" s="6" t="s">
        <v>6722</v>
      </c>
      <c r="G951" t="str">
        <f t="shared" si="28"/>
        <v>llll</v>
      </c>
      <c r="H951" t="str">
        <f>[1]!SplitText(A951,"(",1)</f>
        <v xml:space="preserve">  mergearcs</v>
      </c>
    </row>
    <row r="952" spans="1:8" ht="17.25" thickBot="1">
      <c r="A952" s="4" t="s">
        <v>6723</v>
      </c>
      <c r="B952" s="5" t="s">
        <v>6437</v>
      </c>
      <c r="C952" s="6" t="s">
        <v>6724</v>
      </c>
      <c r="G952" t="str">
        <f t="shared" si="28"/>
        <v>llll</v>
      </c>
      <c r="H952" t="str">
        <f>[1]!SplitText(A952,"(",1)</f>
        <v xml:space="preserve">  mergearcs</v>
      </c>
    </row>
    <row r="953" spans="1:8" ht="38.25">
      <c r="A953" s="92" t="s">
        <v>6725</v>
      </c>
      <c r="B953" s="91" t="s">
        <v>6442</v>
      </c>
      <c r="C953" s="7" t="s">
        <v>6726</v>
      </c>
      <c r="G953" t="str">
        <f t="shared" si="28"/>
        <v>llll</v>
      </c>
      <c r="H953" t="str">
        <f>[1]!SplitText(A953,"(",1)</f>
        <v xml:space="preserve">  mergelines</v>
      </c>
    </row>
    <row r="954" spans="1:8" ht="17.25" thickBot="1">
      <c r="A954" s="4" t="s">
        <v>6727</v>
      </c>
      <c r="B954" s="5" t="s">
        <v>6437</v>
      </c>
      <c r="C954" s="6" t="s">
        <v>6728</v>
      </c>
      <c r="G954" t="str">
        <f t="shared" si="28"/>
        <v>llll</v>
      </c>
      <c r="H954" t="str">
        <f>[1]!SplitText(A954,"(",1)</f>
        <v xml:space="preserve">  mergelines</v>
      </c>
    </row>
    <row r="955" spans="1:8" ht="26.25" thickBot="1">
      <c r="A955" s="4" t="s">
        <v>6729</v>
      </c>
      <c r="B955" s="5" t="s">
        <v>6437</v>
      </c>
      <c r="C955" s="6" t="s">
        <v>6730</v>
      </c>
      <c r="G955" t="str">
        <f t="shared" si="28"/>
        <v>llll</v>
      </c>
      <c r="H955" t="str">
        <f>[1]!SplitText(A955,"(",1)</f>
        <v xml:space="preserve">  mergepoints</v>
      </c>
    </row>
    <row r="956" spans="1:8">
      <c r="A956" s="92" t="s">
        <v>6731</v>
      </c>
      <c r="B956" s="91" t="s">
        <v>6442</v>
      </c>
      <c r="C956" s="8" t="s">
        <v>6732</v>
      </c>
      <c r="G956" t="str">
        <f t="shared" si="28"/>
        <v>llll</v>
      </c>
      <c r="H956" t="str">
        <f>[1]!SplitText(A956,"(",1)</f>
        <v xml:space="preserve">  mergepoints</v>
      </c>
    </row>
    <row r="957" spans="1:8" ht="17.25" thickBot="1">
      <c r="A957" s="4" t="s">
        <v>6733</v>
      </c>
      <c r="B957" s="5" t="s">
        <v>6437</v>
      </c>
      <c r="C957" s="6" t="s">
        <v>6734</v>
      </c>
      <c r="G957" t="str">
        <f t="shared" si="28"/>
        <v>llll</v>
      </c>
      <c r="H957" t="str">
        <f>[1]!SplitText(A957,"(",1)</f>
        <v xml:space="preserve">  polyline</v>
      </c>
    </row>
    <row r="958" spans="1:8" ht="17.25" thickBot="1">
      <c r="A958" s="4" t="s">
        <v>6735</v>
      </c>
      <c r="B958" s="5" t="s">
        <v>6437</v>
      </c>
      <c r="C958" s="5" t="s">
        <v>6736</v>
      </c>
      <c r="G958" t="str">
        <f t="shared" si="28"/>
        <v>llll</v>
      </c>
      <c r="H958" t="str">
        <f>[1]!SplitText(A958,"(",1)</f>
        <v xml:space="preserve">  polyline</v>
      </c>
    </row>
    <row r="959" spans="1:8" ht="63.75">
      <c r="A959" s="92" t="s">
        <v>6737</v>
      </c>
      <c r="B959" s="91" t="s">
        <v>6442</v>
      </c>
      <c r="C959" s="7" t="s">
        <v>6738</v>
      </c>
      <c r="G959" t="str">
        <f t="shared" si="28"/>
        <v>llll</v>
      </c>
      <c r="H959" t="str">
        <f>[1]!SplitText(A959,"(",1)</f>
        <v xml:space="preserve">  projectArcs</v>
      </c>
    </row>
    <row r="960" spans="1:8" ht="26.25" thickBot="1">
      <c r="A960" s="4" t="s">
        <v>5240</v>
      </c>
      <c r="B960" s="5" t="s">
        <v>5220</v>
      </c>
      <c r="C960" s="6" t="s">
        <v>6739</v>
      </c>
      <c r="G960" t="str">
        <f t="shared" si="28"/>
        <v>llll</v>
      </c>
      <c r="H960" t="str">
        <f>[1]!SplitText(A960,"(",1)</f>
        <v xml:space="preserve">  Near</v>
      </c>
    </row>
    <row r="961" spans="1:8" ht="38.25">
      <c r="A961" s="92" t="s">
        <v>6740</v>
      </c>
      <c r="B961" s="91" t="s">
        <v>6741</v>
      </c>
      <c r="C961" s="7" t="s">
        <v>6742</v>
      </c>
      <c r="G961" t="str">
        <f t="shared" si="28"/>
        <v>llll</v>
      </c>
      <c r="H961" t="str">
        <f>[1]!SplitText(A961,"(",1)</f>
        <v xml:space="preserve">  Near</v>
      </c>
    </row>
    <row r="962" spans="1:8" ht="39" thickBot="1">
      <c r="A962" s="4" t="s">
        <v>6743</v>
      </c>
      <c r="B962" s="5" t="s">
        <v>5288</v>
      </c>
      <c r="C962" s="6" t="s">
        <v>6744</v>
      </c>
      <c r="G962" t="str">
        <f t="shared" si="28"/>
        <v>llll</v>
      </c>
      <c r="H962" t="str">
        <f>[1]!SplitText(A962,"(",1)</f>
        <v xml:space="preserve">  NearEdges</v>
      </c>
    </row>
    <row r="963" spans="1:8" ht="26.25" thickBot="1">
      <c r="A963" s="4" t="s">
        <v>6745</v>
      </c>
      <c r="B963" s="5" t="s">
        <v>5265</v>
      </c>
      <c r="C963" s="6" t="s">
        <v>6746</v>
      </c>
      <c r="G963" t="str">
        <f t="shared" si="28"/>
        <v>llll</v>
      </c>
      <c r="H963" t="str">
        <f>[1]!SplitText(A963,"(",1)</f>
        <v xml:space="preserve">  IsWithin</v>
      </c>
    </row>
    <row r="964" spans="1:8" ht="27.75" thickBot="1">
      <c r="A964" s="4" t="s">
        <v>6747</v>
      </c>
      <c r="B964" s="5" t="s">
        <v>5265</v>
      </c>
      <c r="C964" s="6" t="s">
        <v>6748</v>
      </c>
      <c r="G964" t="str">
        <f t="shared" si="28"/>
        <v>llll</v>
      </c>
      <c r="H964" t="str">
        <f>[1]!SplitText(A964,"(",1)</f>
        <v xml:space="preserve">  IsWithout</v>
      </c>
    </row>
    <row r="965" spans="1:8" ht="27.75" thickBot="1">
      <c r="A965" s="4" t="s">
        <v>6749</v>
      </c>
      <c r="B965" s="5" t="s">
        <v>5265</v>
      </c>
      <c r="C965" s="6" t="s">
        <v>6750</v>
      </c>
      <c r="G965" t="str">
        <f t="shared" si="28"/>
        <v>llll</v>
      </c>
      <c r="H965" t="str">
        <f>[1]!SplitText(A965,"(",1)</f>
        <v xml:space="preserve">  OnProfile</v>
      </c>
    </row>
    <row r="966" spans="1:8" ht="26.25" thickBot="1">
      <c r="A966" s="4" t="s">
        <v>6751</v>
      </c>
      <c r="B966" s="5" t="s">
        <v>5265</v>
      </c>
      <c r="C966" s="6" t="s">
        <v>6752</v>
      </c>
      <c r="G966" t="str">
        <f t="shared" si="28"/>
        <v>llll</v>
      </c>
      <c r="H966" t="str">
        <f>[1]!SplitText(A966,"(",1)</f>
        <v xml:space="preserve">  IsWithin</v>
      </c>
    </row>
    <row r="967" spans="1:8" ht="26.25" thickBot="1">
      <c r="A967" s="4" t="s">
        <v>6753</v>
      </c>
      <c r="B967" s="5" t="s">
        <v>5265</v>
      </c>
      <c r="C967" s="6" t="s">
        <v>6754</v>
      </c>
      <c r="G967" t="str">
        <f t="shared" ref="G967:G1005" si="29">IF(ISERROR(SEARCH("table 2:",A967&amp;B967&amp;C967&amp;D967&amp;E967&amp;F967,1)*1),"llll","o")</f>
        <v>llll</v>
      </c>
      <c r="H967" t="str">
        <f>[1]!SplitText(A967,"(",1)</f>
        <v xml:space="preserve">  IsWithout</v>
      </c>
    </row>
    <row r="968" spans="1:8" ht="41.25" thickBot="1">
      <c r="A968" s="4" t="s">
        <v>6755</v>
      </c>
      <c r="B968" s="5" t="s">
        <v>5265</v>
      </c>
      <c r="C968" s="6" t="s">
        <v>6756</v>
      </c>
      <c r="G968" t="str">
        <f t="shared" si="29"/>
        <v>llll</v>
      </c>
      <c r="H968" t="str">
        <f>[1]!SplitText(A968,"(",1)</f>
        <v xml:space="preserve">  IsIntersecting</v>
      </c>
    </row>
    <row r="969" spans="1:8" ht="39" thickBot="1">
      <c r="A969" s="92" t="s">
        <v>6757</v>
      </c>
      <c r="B969" s="7" t="s">
        <v>6758</v>
      </c>
      <c r="C969" s="91" t="s">
        <v>6759</v>
      </c>
      <c r="G969" t="str">
        <f t="shared" si="29"/>
        <v>llll</v>
      </c>
      <c r="H969" t="str">
        <f>[1]!SplitText(A969,"(",1)</f>
        <v xml:space="preserve">  intersections</v>
      </c>
    </row>
    <row r="970" spans="1:8" ht="64.5" thickBot="1">
      <c r="A970" s="92" t="s">
        <v>6760</v>
      </c>
      <c r="B970" s="7" t="s">
        <v>6758</v>
      </c>
      <c r="C970" s="91" t="s">
        <v>6761</v>
      </c>
      <c r="G970" t="str">
        <f t="shared" si="29"/>
        <v>llll</v>
      </c>
      <c r="H970" t="str">
        <f>[1]!SplitText(A970,"(",1)</f>
        <v xml:space="preserve">  intersections</v>
      </c>
    </row>
    <row r="971" spans="1:8" ht="40.5">
      <c r="A971" s="92" t="s">
        <v>6762</v>
      </c>
      <c r="B971" s="7" t="s">
        <v>6758</v>
      </c>
      <c r="C971" s="91" t="s">
        <v>6763</v>
      </c>
      <c r="G971" t="str">
        <f t="shared" si="29"/>
        <v>llll</v>
      </c>
      <c r="H971" t="str">
        <f>[1]!SplitText(A971,"(",1)</f>
        <v xml:space="preserve">  intersections</v>
      </c>
    </row>
    <row r="972" spans="1:8" ht="17.25" thickBot="1">
      <c r="A972" s="4" t="s">
        <v>6764</v>
      </c>
      <c r="B972" s="5" t="s">
        <v>6765</v>
      </c>
      <c r="C972" s="5" t="s">
        <v>6766</v>
      </c>
      <c r="G972" t="str">
        <f t="shared" si="29"/>
        <v>llll</v>
      </c>
      <c r="H972" t="str">
        <f>[1]!SplitText(A972,"(",1)</f>
        <v xml:space="preserve">  intersect</v>
      </c>
    </row>
    <row r="973" spans="1:8" ht="26.25" thickBot="1">
      <c r="A973" s="4" t="s">
        <v>6767</v>
      </c>
      <c r="B973" s="5" t="s">
        <v>6765</v>
      </c>
      <c r="C973" s="6" t="s">
        <v>6768</v>
      </c>
      <c r="G973" t="str">
        <f t="shared" si="29"/>
        <v>llll</v>
      </c>
      <c r="H973" t="str">
        <f>[1]!SplitText(A973,"(",1)</f>
        <v xml:space="preserve">  union</v>
      </c>
    </row>
    <row r="974" spans="1:8" ht="27.75" thickBot="1">
      <c r="A974" s="92" t="s">
        <v>6769</v>
      </c>
      <c r="B974" s="91" t="s">
        <v>6770</v>
      </c>
      <c r="C974" s="7" t="s">
        <v>6771</v>
      </c>
      <c r="G974" t="str">
        <f t="shared" si="29"/>
        <v>llll</v>
      </c>
      <c r="H974" t="str">
        <f>[1]!SplitText(A974,"(",1)</f>
        <v xml:space="preserve">  difference</v>
      </c>
    </row>
    <row r="975" spans="1:8" ht="25.5">
      <c r="A975" s="92" t="s">
        <v>6772</v>
      </c>
      <c r="B975" s="91" t="s">
        <v>6770</v>
      </c>
      <c r="C975" s="7" t="s">
        <v>6773</v>
      </c>
      <c r="G975" t="str">
        <f t="shared" si="29"/>
        <v>llll</v>
      </c>
      <c r="H975" t="str">
        <f>[1]!SplitText(A975,"(",1)</f>
        <v xml:space="preserve">  split</v>
      </c>
    </row>
    <row r="976" spans="1:8" ht="64.5" thickBot="1">
      <c r="A976" s="4" t="s">
        <v>6774</v>
      </c>
      <c r="B976" s="5" t="s">
        <v>6765</v>
      </c>
      <c r="C976" s="6" t="s">
        <v>6775</v>
      </c>
      <c r="G976" t="str">
        <f t="shared" si="29"/>
        <v>llll</v>
      </c>
      <c r="H976" t="str">
        <f>[1]!SplitText(A976,"(",1)</f>
        <v xml:space="preserve">  split</v>
      </c>
    </row>
    <row r="977" spans="1:8">
      <c r="A977" s="117" t="s">
        <v>3804</v>
      </c>
      <c r="G977" t="str">
        <f t="shared" si="29"/>
        <v>o</v>
      </c>
      <c r="H977" t="str">
        <f>[1]!SplitText(A977,"(",1)</f>
        <v>Table 2: 103. PROFILE Object Methods that Return New PROFILEs</v>
      </c>
    </row>
    <row r="978" spans="1:8" ht="17.25" thickBot="1">
      <c r="A978" s="115" t="s">
        <v>3805</v>
      </c>
      <c r="B978" s="115" t="s">
        <v>3806</v>
      </c>
      <c r="G978" t="str">
        <f t="shared" si="29"/>
        <v>llll</v>
      </c>
      <c r="H978" t="str">
        <f>[1]!SplitText(A978,"(",1)</f>
        <v>2.5.55</v>
      </c>
    </row>
    <row r="979" spans="1:8" ht="17.25" thickBot="1">
      <c r="A979" s="102" t="s">
        <v>1591</v>
      </c>
      <c r="B979" s="103" t="s">
        <v>1635</v>
      </c>
      <c r="C979" s="103" t="s">
        <v>1593</v>
      </c>
      <c r="G979" t="str">
        <f t="shared" si="29"/>
        <v>llll</v>
      </c>
      <c r="H979" t="str">
        <f>[1]!SplitText(A979,"(",1)</f>
        <v>Name</v>
      </c>
    </row>
    <row r="980" spans="1:8" ht="17.25" thickBot="1">
      <c r="A980" s="92" t="s">
        <v>5182</v>
      </c>
      <c r="B980" s="8" t="s">
        <v>5183</v>
      </c>
      <c r="C980" s="91" t="s">
        <v>6360</v>
      </c>
      <c r="G980" t="str">
        <f t="shared" si="29"/>
        <v>llll</v>
      </c>
      <c r="H980" t="str">
        <f>[1]!SplitText(A980,"(",1)</f>
        <v xml:space="preserve">  Position </v>
      </c>
    </row>
    <row r="981" spans="1:8" ht="17.25" thickBot="1">
      <c r="A981" s="92" t="s">
        <v>6361</v>
      </c>
      <c r="B981" s="7" t="s">
        <v>6362</v>
      </c>
      <c r="C981" s="91" t="s">
        <v>6363</v>
      </c>
      <c r="G981" t="str">
        <f t="shared" si="29"/>
        <v>llll</v>
      </c>
      <c r="H981" t="str">
        <f>[1]!SplitText(A981,"(",1)</f>
        <v xml:space="preserve">  Orientation </v>
      </c>
    </row>
    <row r="982" spans="1:8" ht="23.25" customHeight="1" thickBot="1">
      <c r="A982" s="92" t="s">
        <v>6776</v>
      </c>
      <c r="B982" s="8" t="s">
        <v>6365</v>
      </c>
      <c r="C982" s="91" t="s">
        <v>6777</v>
      </c>
      <c r="G982" t="str">
        <f t="shared" si="29"/>
        <v>llll</v>
      </c>
      <c r="H982" t="str">
        <f>[1]!SplitText(A982,"(",1)</f>
        <v xml:space="preserve">  Radii </v>
      </c>
    </row>
    <row r="983" spans="1:8" ht="17.25" thickBot="1">
      <c r="A983" s="92" t="s">
        <v>6778</v>
      </c>
      <c r="B983" s="8" t="s">
        <v>6365</v>
      </c>
      <c r="C983" s="91" t="s">
        <v>6779</v>
      </c>
      <c r="G983" t="str">
        <f t="shared" si="29"/>
        <v>llll</v>
      </c>
      <c r="H983" t="str">
        <f>[1]!SplitText(A983,"(",1)</f>
        <v xml:space="preserve">  Angles </v>
      </c>
    </row>
    <row r="984" spans="1:8" ht="54">
      <c r="A984" s="96" t="s">
        <v>6780</v>
      </c>
      <c r="B984" s="91" t="s">
        <v>6781</v>
      </c>
      <c r="C984" s="91" t="s">
        <v>6782</v>
      </c>
      <c r="G984" t="str">
        <f t="shared" si="29"/>
        <v>llll</v>
      </c>
      <c r="H984" t="str">
        <f>[1]!SplitText(A984,"(",1)</f>
        <v xml:space="preserve">  Radialgrid</v>
      </c>
    </row>
    <row r="985" spans="1:8">
      <c r="A985" s="117" t="s">
        <v>3815</v>
      </c>
      <c r="G985" t="str">
        <f t="shared" si="29"/>
        <v>o</v>
      </c>
      <c r="H985" t="str">
        <f>[1]!SplitText(A985,"(",1)</f>
        <v>Table 2: 104. RADIALGRID Object  Definition Methods</v>
      </c>
    </row>
    <row r="986" spans="1:8" ht="17.25" thickBot="1">
      <c r="A986" s="115" t="s">
        <v>3816</v>
      </c>
      <c r="B986" s="115" t="s">
        <v>3817</v>
      </c>
      <c r="G986" t="str">
        <f t="shared" si="29"/>
        <v>llll</v>
      </c>
      <c r="H986" t="str">
        <f>[1]!SplitText(A986,"(",1)</f>
        <v>2.5.56</v>
      </c>
    </row>
    <row r="987" spans="1:8" ht="17.25" thickBot="1">
      <c r="A987" s="102" t="s">
        <v>1591</v>
      </c>
      <c r="B987" s="103" t="s">
        <v>1592</v>
      </c>
      <c r="C987" s="103" t="s">
        <v>1593</v>
      </c>
      <c r="G987" t="str">
        <f t="shared" si="29"/>
        <v>llll</v>
      </c>
      <c r="H987" t="str">
        <f>[1]!SplitText(A987,"(",1)</f>
        <v>Name</v>
      </c>
    </row>
    <row r="988" spans="1:8" ht="17.25" thickBot="1">
      <c r="A988" s="4" t="s">
        <v>6783</v>
      </c>
      <c r="B988" s="5" t="s">
        <v>5238</v>
      </c>
      <c r="C988" s="6" t="s">
        <v>6784</v>
      </c>
      <c r="G988" t="str">
        <f t="shared" si="29"/>
        <v>llll</v>
      </c>
      <c r="H988" t="str">
        <f>[1]!SplitText(A988,"(",1)</f>
        <v xml:space="preserve">  Real</v>
      </c>
    </row>
    <row r="989" spans="1:8" ht="17.25" thickBot="1">
      <c r="A989" s="4" t="s">
        <v>6785</v>
      </c>
      <c r="B989" s="5" t="s">
        <v>5238</v>
      </c>
      <c r="C989" s="5" t="s">
        <v>6786</v>
      </c>
      <c r="G989" t="str">
        <f t="shared" si="29"/>
        <v>llll</v>
      </c>
      <c r="H989" t="str">
        <f>[1]!SplitText(A989,"(",1)</f>
        <v xml:space="preserve">  Real</v>
      </c>
    </row>
    <row r="990" spans="1:8" ht="77.25" thickBot="1">
      <c r="A990" s="92" t="s">
        <v>6787</v>
      </c>
      <c r="B990" s="91" t="s">
        <v>5235</v>
      </c>
      <c r="C990" s="8" t="s">
        <v>6788</v>
      </c>
      <c r="G990" t="str">
        <f t="shared" si="29"/>
        <v>llll</v>
      </c>
      <c r="H990" t="str">
        <f>[1]!SplitText(A990,"(",1)</f>
        <v xml:space="preserve">  Real</v>
      </c>
    </row>
    <row r="991" spans="1:8" ht="102.75" thickBot="1">
      <c r="A991" s="92" t="s">
        <v>6789</v>
      </c>
      <c r="B991" s="91" t="s">
        <v>6790</v>
      </c>
      <c r="C991" s="7" t="s">
        <v>6791</v>
      </c>
      <c r="G991" t="str">
        <f t="shared" si="29"/>
        <v>llll</v>
      </c>
      <c r="H991" t="str">
        <f>[1]!SplitText(A991,"(",1)</f>
        <v xml:space="preserve">  Real</v>
      </c>
    </row>
    <row r="992" spans="1:8" ht="26.25" thickBot="1">
      <c r="A992" s="145" t="s">
        <v>6792</v>
      </c>
      <c r="B992" s="174" t="s">
        <v>6793</v>
      </c>
      <c r="C992" s="6" t="s">
        <v>6794</v>
      </c>
      <c r="G992" t="str">
        <f t="shared" si="29"/>
        <v>llll</v>
      </c>
      <c r="H992" t="str">
        <f>[1]!SplitText(A992,"(",1)</f>
        <v xml:space="preserve">  Real</v>
      </c>
    </row>
    <row r="993" spans="1:8" ht="17.25" thickBot="1">
      <c r="A993" s="145" t="s">
        <v>6795</v>
      </c>
      <c r="B993" s="174" t="s">
        <v>5238</v>
      </c>
      <c r="C993" s="6" t="s">
        <v>6796</v>
      </c>
      <c r="G993" t="str">
        <f t="shared" si="29"/>
        <v>llll</v>
      </c>
      <c r="H993" t="str">
        <f>[1]!SplitText(A993,"(",1)</f>
        <v xml:space="preserve">  Value</v>
      </c>
    </row>
    <row r="994" spans="1:8" ht="17.25" thickBot="1">
      <c r="A994" s="145" t="s">
        <v>6797</v>
      </c>
      <c r="B994" s="174" t="s">
        <v>6183</v>
      </c>
      <c r="C994" s="6" t="s">
        <v>6798</v>
      </c>
      <c r="G994" t="str">
        <f t="shared" si="29"/>
        <v>llll</v>
      </c>
      <c r="H994" t="str">
        <f>[1]!SplitText(A994,"(",1)</f>
        <v xml:space="preserve">  Dimension</v>
      </c>
    </row>
    <row r="995" spans="1:8" ht="17.25" thickBot="1">
      <c r="A995" s="144" t="s">
        <v>6799</v>
      </c>
      <c r="B995" s="179" t="s">
        <v>6220</v>
      </c>
      <c r="C995" s="91" t="s">
        <v>6800</v>
      </c>
      <c r="G995" t="str">
        <f t="shared" si="29"/>
        <v>llll</v>
      </c>
      <c r="H995" t="str">
        <f>[1]!SplitText(A995,"(",1)</f>
        <v xml:space="preserve">  Unit</v>
      </c>
    </row>
    <row r="996" spans="1:8" ht="17.25" thickBot="1">
      <c r="A996" s="145" t="s">
        <v>6225</v>
      </c>
      <c r="B996" s="174" t="s">
        <v>6801</v>
      </c>
      <c r="C996" s="5" t="s">
        <v>6802</v>
      </c>
      <c r="G996" t="str">
        <f t="shared" si="29"/>
        <v>llll</v>
      </c>
      <c r="H996" t="str">
        <f>[1]!SplitText(A996,"(",1)</f>
        <v xml:space="preserve">  AllDimensions</v>
      </c>
    </row>
    <row r="997" spans="1:8" ht="17.25" thickBot="1">
      <c r="A997" s="145" t="s">
        <v>6803</v>
      </c>
      <c r="B997" s="111" t="s">
        <v>6804</v>
      </c>
      <c r="C997" s="5" t="s">
        <v>6805</v>
      </c>
      <c r="G997" t="str">
        <f t="shared" si="29"/>
        <v>llll</v>
      </c>
      <c r="H997" t="str">
        <f>[1]!SplitText(A997,"(",1)</f>
        <v xml:space="preserve">  AllUnits</v>
      </c>
    </row>
    <row r="998" spans="1:8" ht="17.25" thickBot="1">
      <c r="A998" s="176" t="s">
        <v>6806</v>
      </c>
      <c r="B998" s="179" t="s">
        <v>5238</v>
      </c>
      <c r="C998" s="8" t="s">
        <v>6807</v>
      </c>
      <c r="G998" t="str">
        <f t="shared" si="29"/>
        <v>llll</v>
      </c>
      <c r="H998" t="str">
        <f>[1]!SplitText(A998,"(",1)</f>
        <v xml:space="preserve">  Cast</v>
      </c>
    </row>
    <row r="999" spans="1:8" ht="63.75">
      <c r="A999" s="144" t="s">
        <v>6808</v>
      </c>
      <c r="B999" s="179" t="s">
        <v>6231</v>
      </c>
      <c r="C999" s="7" t="s">
        <v>6809</v>
      </c>
      <c r="G999" t="str">
        <f t="shared" si="29"/>
        <v>llll</v>
      </c>
      <c r="H999" t="str">
        <f>[1]!SplitText(A999,"(",1)</f>
        <v xml:space="preserve">  ConvertUnits</v>
      </c>
    </row>
    <row r="1000" spans="1:8" ht="17.25" thickBot="1">
      <c r="A1000" s="145" t="s">
        <v>6810</v>
      </c>
      <c r="B1000" s="111" t="s">
        <v>5238</v>
      </c>
      <c r="C1000" s="6" t="s">
        <v>6811</v>
      </c>
      <c r="G1000" t="str">
        <f t="shared" si="29"/>
        <v>llll</v>
      </c>
      <c r="H1000" t="str">
        <f>[1]!SplitText(A1000,"(",1)</f>
        <v xml:space="preserve">  DBUnits</v>
      </c>
    </row>
    <row r="1001" spans="1:8" ht="26.25" thickBot="1">
      <c r="A1001" s="145" t="s">
        <v>6812</v>
      </c>
      <c r="B1001" s="174" t="s">
        <v>5238</v>
      </c>
      <c r="C1001" s="6" t="s">
        <v>6813</v>
      </c>
      <c r="G1001" t="str">
        <f t="shared" si="29"/>
        <v>llll</v>
      </c>
      <c r="H1001" t="str">
        <f>[1]!SplitText(A1001,"(",1)</f>
        <v xml:space="preserve">  CurrentUnits</v>
      </c>
    </row>
    <row r="1002" spans="1:8" ht="114.75">
      <c r="A1002" s="144" t="s">
        <v>6814</v>
      </c>
      <c r="B1002" s="91" t="s">
        <v>6790</v>
      </c>
      <c r="C1002" s="7" t="s">
        <v>6815</v>
      </c>
      <c r="G1002" t="str">
        <f t="shared" si="29"/>
        <v>llll</v>
      </c>
      <c r="H1002" t="str">
        <f>[1]!SplitText(A1002,"(",1)</f>
        <v xml:space="preserve">  CurrentUnits</v>
      </c>
    </row>
    <row r="1003" spans="1:8" ht="17.25" thickBot="1">
      <c r="A1003" s="4" t="s">
        <v>6816</v>
      </c>
      <c r="B1003" s="5" t="s">
        <v>5238</v>
      </c>
      <c r="C1003" s="5" t="s">
        <v>6817</v>
      </c>
      <c r="G1003" t="str">
        <f t="shared" si="29"/>
        <v>llll</v>
      </c>
      <c r="H1003" t="str">
        <f>[1]!SplitText(A1003,"(",1)</f>
        <v xml:space="preserve">  ABS</v>
      </c>
    </row>
    <row r="1004" spans="1:8" ht="17.25" thickBot="1">
      <c r="A1004" s="4" t="s">
        <v>6818</v>
      </c>
      <c r="B1004" s="5" t="s">
        <v>5238</v>
      </c>
      <c r="C1004" s="5" t="s">
        <v>6819</v>
      </c>
      <c r="G1004" t="str">
        <f t="shared" si="29"/>
        <v>llll</v>
      </c>
      <c r="H1004" t="str">
        <f>[1]!SplitText(A1004,"(",1)</f>
        <v xml:space="preserve">  ACos</v>
      </c>
    </row>
    <row r="1005" spans="1:8" ht="17.25" thickBot="1">
      <c r="A1005" s="4" t="s">
        <v>6820</v>
      </c>
      <c r="B1005" s="5" t="s">
        <v>5238</v>
      </c>
      <c r="C1005" s="5" t="s">
        <v>6821</v>
      </c>
      <c r="G1005" t="str">
        <f t="shared" si="29"/>
        <v>llll</v>
      </c>
      <c r="H1005" t="str">
        <f>[1]!SplitText(A1005,"(",1)</f>
        <v xml:space="preserve">  ALog</v>
      </c>
    </row>
    <row r="1006" spans="1:8" ht="17.25" thickBot="1">
      <c r="A1006" s="4" t="s">
        <v>6822</v>
      </c>
      <c r="B1006" s="5" t="s">
        <v>5238</v>
      </c>
      <c r="C1006" s="5" t="s">
        <v>6823</v>
      </c>
      <c r="G1006" t="str">
        <f t="shared" ref="G1006:G1059" si="30">IF(ISERROR(SEARCH("table 2:",A1006&amp;B1006&amp;C1006&amp;D1006&amp;E1006&amp;F1006,1)*1),"llll","o")</f>
        <v>llll</v>
      </c>
      <c r="H1006" t="str">
        <f>[1]!SplitText(A1006,"(",1)</f>
        <v xml:space="preserve">  ASin</v>
      </c>
    </row>
    <row r="1007" spans="1:8" ht="17.25" thickBot="1">
      <c r="A1007" s="4" t="s">
        <v>6824</v>
      </c>
      <c r="B1007" s="5" t="s">
        <v>5238</v>
      </c>
      <c r="C1007" s="5" t="s">
        <v>6825</v>
      </c>
      <c r="G1007" t="str">
        <f t="shared" si="30"/>
        <v>llll</v>
      </c>
      <c r="H1007" t="str">
        <f>[1]!SplitText(A1007,"(",1)</f>
        <v xml:space="preserve">  ATan</v>
      </c>
    </row>
    <row r="1008" spans="1:8" ht="17.25" thickBot="1">
      <c r="A1008" s="4" t="s">
        <v>6826</v>
      </c>
      <c r="B1008" s="5" t="s">
        <v>5238</v>
      </c>
      <c r="C1008" s="5" t="s">
        <v>6827</v>
      </c>
      <c r="G1008" t="str">
        <f t="shared" si="30"/>
        <v>llll</v>
      </c>
      <c r="H1008" t="str">
        <f>[1]!SplitText(A1008,"(",1)</f>
        <v xml:space="preserve">  ATanT</v>
      </c>
    </row>
    <row r="1009" spans="1:8" ht="39" thickBot="1">
      <c r="A1009" s="4" t="s">
        <v>6828</v>
      </c>
      <c r="B1009" s="5" t="s">
        <v>5265</v>
      </c>
      <c r="C1009" s="6" t="s">
        <v>6829</v>
      </c>
      <c r="G1009" t="str">
        <f t="shared" si="30"/>
        <v>llll</v>
      </c>
      <c r="H1009" t="str">
        <f>[1]!SplitText(A1009,"(",1)</f>
        <v xml:space="preserve">  Between</v>
      </c>
    </row>
    <row r="1010" spans="1:8" ht="17.25" thickBot="1">
      <c r="A1010" s="4" t="s">
        <v>6830</v>
      </c>
      <c r="B1010" s="5" t="s">
        <v>5265</v>
      </c>
      <c r="C1010" s="5" t="s">
        <v>6831</v>
      </c>
      <c r="G1010" t="str">
        <f t="shared" si="30"/>
        <v>llll</v>
      </c>
      <c r="H1010" t="str">
        <f>[1]!SplitText(A1010,"(",1)</f>
        <v xml:space="preserve">  Boolean</v>
      </c>
    </row>
    <row r="1011" spans="1:8" ht="26.25" thickBot="1">
      <c r="A1011" s="4" t="s">
        <v>6832</v>
      </c>
      <c r="B1011" s="5" t="s">
        <v>6833</v>
      </c>
      <c r="C1011" s="6" t="s">
        <v>6834</v>
      </c>
      <c r="G1011" t="str">
        <f t="shared" si="30"/>
        <v>llll</v>
      </c>
      <c r="H1011" t="str">
        <f>[1]!SplitText(A1011,"(",1)</f>
        <v xml:space="preserve">  Bore</v>
      </c>
    </row>
    <row r="1012" spans="1:8" ht="17.25" thickBot="1">
      <c r="A1012" s="4" t="s">
        <v>6835</v>
      </c>
      <c r="B1012" s="5" t="s">
        <v>5238</v>
      </c>
      <c r="C1012" s="6" t="s">
        <v>6836</v>
      </c>
      <c r="G1012" t="str">
        <f t="shared" si="30"/>
        <v>llll</v>
      </c>
      <c r="H1012" t="str">
        <f>[1]!SplitText(A1012,"(",1)</f>
        <v xml:space="preserve">  Cosine</v>
      </c>
    </row>
    <row r="1013" spans="1:8" ht="17.25" thickBot="1">
      <c r="A1013" s="4" t="s">
        <v>6837</v>
      </c>
      <c r="B1013" s="5" t="s">
        <v>5177</v>
      </c>
      <c r="C1013" s="5" t="s">
        <v>6838</v>
      </c>
      <c r="G1013" t="str">
        <f t="shared" si="30"/>
        <v>llll</v>
      </c>
      <c r="H1013" t="str">
        <f>[1]!SplitText(A1013,"(",1)</f>
        <v xml:space="preserve">  Distance</v>
      </c>
    </row>
    <row r="1014" spans="1:8" ht="67.5">
      <c r="A1014" s="134" t="s">
        <v>6839</v>
      </c>
      <c r="B1014" s="91" t="s">
        <v>6840</v>
      </c>
      <c r="C1014" s="8" t="s">
        <v>6841</v>
      </c>
      <c r="G1014" t="str">
        <f t="shared" si="30"/>
        <v>llll</v>
      </c>
      <c r="H1014" t="str">
        <f>[1]!SplitText(A1014,"(",1)</f>
        <v xml:space="preserve">  Distance</v>
      </c>
    </row>
    <row r="1015" spans="1:8" ht="26.25" thickBot="1">
      <c r="A1015" s="4" t="s">
        <v>6842</v>
      </c>
      <c r="B1015" s="5" t="s">
        <v>5265</v>
      </c>
      <c r="C1015" s="6" t="s">
        <v>6843</v>
      </c>
      <c r="G1015" t="str">
        <f t="shared" si="30"/>
        <v>llll</v>
      </c>
      <c r="H1015" t="str">
        <f>[1]!SplitText(A1015,"(",1)</f>
        <v xml:space="preserve">  EQ</v>
      </c>
    </row>
    <row r="1016" spans="1:8" ht="26.25" thickBot="1">
      <c r="A1016" s="4" t="s">
        <v>6844</v>
      </c>
      <c r="B1016" s="5" t="s">
        <v>5265</v>
      </c>
      <c r="C1016" s="6" t="s">
        <v>6845</v>
      </c>
      <c r="G1016" t="str">
        <f t="shared" si="30"/>
        <v>llll</v>
      </c>
      <c r="H1016" t="str">
        <f>[1]!SplitText(A1016,"(",1)</f>
        <v xml:space="preserve">  EQ</v>
      </c>
    </row>
    <row r="1017" spans="1:8" ht="26.25" thickBot="1">
      <c r="A1017" s="4" t="s">
        <v>6846</v>
      </c>
      <c r="B1017" s="5" t="s">
        <v>5265</v>
      </c>
      <c r="C1017" s="6" t="s">
        <v>6843</v>
      </c>
      <c r="G1017" t="str">
        <f t="shared" si="30"/>
        <v>llll</v>
      </c>
      <c r="H1017" t="str">
        <f>[1]!SplitText(A1017,"(",1)</f>
        <v xml:space="preserve">  GEQ</v>
      </c>
    </row>
    <row r="1018" spans="1:8" ht="26.25" thickBot="1">
      <c r="A1018" s="4" t="s">
        <v>6847</v>
      </c>
      <c r="B1018" s="5" t="s">
        <v>5265</v>
      </c>
      <c r="C1018" s="6" t="s">
        <v>6848</v>
      </c>
      <c r="G1018" t="str">
        <f t="shared" si="30"/>
        <v>llll</v>
      </c>
      <c r="H1018" t="str">
        <f>[1]!SplitText(A1018,"(",1)</f>
        <v xml:space="preserve">  GEQ</v>
      </c>
    </row>
    <row r="1019" spans="1:8" ht="26.25" thickBot="1">
      <c r="A1019" s="4" t="s">
        <v>6849</v>
      </c>
      <c r="B1019" s="5" t="s">
        <v>5265</v>
      </c>
      <c r="C1019" s="6" t="s">
        <v>6843</v>
      </c>
      <c r="G1019" t="str">
        <f t="shared" si="30"/>
        <v>llll</v>
      </c>
      <c r="H1019" t="str">
        <f>[1]!SplitText(A1019,"(",1)</f>
        <v xml:space="preserve">  GT</v>
      </c>
    </row>
    <row r="1020" spans="1:8" ht="26.25" thickBot="1">
      <c r="A1020" s="4" t="s">
        <v>6850</v>
      </c>
      <c r="B1020" s="5" t="s">
        <v>5265</v>
      </c>
      <c r="C1020" s="6" t="s">
        <v>6851</v>
      </c>
      <c r="G1020" t="str">
        <f t="shared" si="30"/>
        <v>llll</v>
      </c>
      <c r="H1020" t="str">
        <f>[1]!SplitText(A1020,"(",1)</f>
        <v xml:space="preserve">  GT</v>
      </c>
    </row>
    <row r="1021" spans="1:8" ht="17.25" thickBot="1">
      <c r="A1021" s="4" t="s">
        <v>6852</v>
      </c>
      <c r="B1021" s="5" t="s">
        <v>5238</v>
      </c>
      <c r="C1021" s="5" t="s">
        <v>6853</v>
      </c>
      <c r="G1021" t="str">
        <f t="shared" si="30"/>
        <v>llll</v>
      </c>
      <c r="H1021" t="str">
        <f>[1]!SplitText(A1021,"(",1)</f>
        <v xml:space="preserve">  INT</v>
      </c>
    </row>
    <row r="1022" spans="1:8" ht="26.25" thickBot="1">
      <c r="A1022" s="4" t="s">
        <v>6854</v>
      </c>
      <c r="B1022" s="5" t="s">
        <v>5265</v>
      </c>
      <c r="C1022" s="6" t="s">
        <v>6843</v>
      </c>
      <c r="G1022" t="str">
        <f t="shared" si="30"/>
        <v>llll</v>
      </c>
      <c r="H1022" t="str">
        <f>[1]!SplitText(A1022,"(",1)</f>
        <v xml:space="preserve">  LEQ</v>
      </c>
    </row>
    <row r="1023" spans="1:8" ht="26.25" thickBot="1">
      <c r="A1023" s="4" t="s">
        <v>6855</v>
      </c>
      <c r="B1023" s="5" t="s">
        <v>5265</v>
      </c>
      <c r="C1023" s="6" t="s">
        <v>6856</v>
      </c>
      <c r="G1023" t="str">
        <f t="shared" si="30"/>
        <v>llll</v>
      </c>
      <c r="H1023" t="str">
        <f>[1]!SplitText(A1023,"(",1)</f>
        <v xml:space="preserve">  LEQ</v>
      </c>
    </row>
    <row r="1024" spans="1:8" ht="17.25" thickBot="1">
      <c r="A1024" s="4" t="s">
        <v>6857</v>
      </c>
      <c r="B1024" s="5" t="s">
        <v>5238</v>
      </c>
      <c r="C1024" s="5" t="s">
        <v>6858</v>
      </c>
      <c r="G1024" t="str">
        <f t="shared" si="30"/>
        <v>llll</v>
      </c>
      <c r="H1024" t="str">
        <f>[1]!SplitText(A1024,"(",1)</f>
        <v xml:space="preserve">  LOG</v>
      </c>
    </row>
    <row r="1025" spans="1:8" ht="26.25" thickBot="1">
      <c r="A1025" s="4" t="s">
        <v>6859</v>
      </c>
      <c r="B1025" s="5" t="s">
        <v>5265</v>
      </c>
      <c r="C1025" s="6" t="s">
        <v>6843</v>
      </c>
      <c r="G1025" t="str">
        <f t="shared" si="30"/>
        <v>llll</v>
      </c>
      <c r="H1025" t="str">
        <f>[1]!SplitText(A1025,"(",1)</f>
        <v xml:space="preserve">  LT</v>
      </c>
    </row>
    <row r="1026" spans="1:8" ht="26.25" thickBot="1">
      <c r="A1026" s="4" t="s">
        <v>6860</v>
      </c>
      <c r="B1026" s="5" t="s">
        <v>5265</v>
      </c>
      <c r="C1026" s="6" t="s">
        <v>6861</v>
      </c>
      <c r="G1026" t="str">
        <f t="shared" si="30"/>
        <v>llll</v>
      </c>
      <c r="H1026" t="str">
        <f>[1]!SplitText(A1026,"(",1)</f>
        <v xml:space="preserve">  LT</v>
      </c>
    </row>
    <row r="1027" spans="1:8" ht="25.5">
      <c r="A1027" s="176" t="s">
        <v>6862</v>
      </c>
      <c r="B1027" s="91" t="s">
        <v>5235</v>
      </c>
      <c r="C1027" s="8" t="s">
        <v>6863</v>
      </c>
      <c r="G1027" t="str">
        <f t="shared" si="30"/>
        <v>llll</v>
      </c>
      <c r="H1027" t="str">
        <f>[1]!SplitText(A1027,"(",1)</f>
        <v xml:space="preserve">  MODULO </v>
      </c>
    </row>
    <row r="1028" spans="1:8" ht="17.25" thickBot="1">
      <c r="A1028" s="4" t="s">
        <v>6864</v>
      </c>
      <c r="B1028" s="5" t="s">
        <v>6833</v>
      </c>
      <c r="C1028" s="6" t="s">
        <v>6865</v>
      </c>
      <c r="G1028" t="str">
        <f t="shared" si="30"/>
        <v>llll</v>
      </c>
      <c r="H1028" t="str">
        <f>[1]!SplitText(A1028,"(",1)</f>
        <v xml:space="preserve">  NearestBore</v>
      </c>
    </row>
    <row r="1029" spans="1:8" ht="17.25" thickBot="1">
      <c r="A1029" s="4" t="s">
        <v>6866</v>
      </c>
      <c r="B1029" s="5" t="s">
        <v>5238</v>
      </c>
      <c r="C1029" s="6" t="s">
        <v>6867</v>
      </c>
      <c r="G1029" t="str">
        <f t="shared" si="30"/>
        <v>llll</v>
      </c>
      <c r="H1029" t="str">
        <f>[1]!SplitText(A1029,"(",1)</f>
        <v xml:space="preserve">  Nint</v>
      </c>
    </row>
    <row r="1030" spans="1:8" ht="26.25" thickBot="1">
      <c r="A1030" s="4" t="s">
        <v>6868</v>
      </c>
      <c r="B1030" s="5" t="s">
        <v>5238</v>
      </c>
      <c r="C1030" s="6" t="s">
        <v>6869</v>
      </c>
      <c r="G1030" t="str">
        <f t="shared" si="30"/>
        <v>llll</v>
      </c>
      <c r="H1030" t="str">
        <f>[1]!SplitText(A1030,"(",1)</f>
        <v xml:space="preserve">  Power</v>
      </c>
    </row>
    <row r="1031" spans="1:8" ht="17.25" thickBot="1">
      <c r="A1031" s="4" t="s">
        <v>6870</v>
      </c>
      <c r="B1031" s="5" t="s">
        <v>5238</v>
      </c>
      <c r="C1031" s="5" t="s">
        <v>6871</v>
      </c>
      <c r="G1031" t="str">
        <f t="shared" si="30"/>
        <v>llll</v>
      </c>
      <c r="H1031" t="str">
        <f>[1]!SplitText(A1031,"(",1)</f>
        <v xml:space="preserve">  Real</v>
      </c>
    </row>
    <row r="1032" spans="1:8" ht="39" thickBot="1">
      <c r="A1032" s="4" t="s">
        <v>6872</v>
      </c>
      <c r="B1032" s="5" t="s">
        <v>5265</v>
      </c>
      <c r="C1032" s="6" t="s">
        <v>6873</v>
      </c>
      <c r="G1032" t="str">
        <f t="shared" si="30"/>
        <v>llll</v>
      </c>
      <c r="H1032" t="str">
        <f>[1]!SplitText(A1032,"(",1)</f>
        <v xml:space="preserve">  SBetween </v>
      </c>
    </row>
    <row r="1033" spans="1:8" ht="17.25" thickBot="1">
      <c r="A1033" s="4" t="s">
        <v>6874</v>
      </c>
      <c r="B1033" s="5" t="s">
        <v>5238</v>
      </c>
      <c r="C1033" s="6" t="s">
        <v>6875</v>
      </c>
      <c r="G1033" t="str">
        <f t="shared" si="30"/>
        <v>llll</v>
      </c>
      <c r="H1033" t="str">
        <f>[1]!SplitText(A1033,"(",1)</f>
        <v xml:space="preserve">  Sine</v>
      </c>
    </row>
    <row r="1034" spans="1:8" ht="26.25" thickBot="1">
      <c r="A1034" s="4" t="s">
        <v>6876</v>
      </c>
      <c r="B1034" s="5" t="s">
        <v>5238</v>
      </c>
      <c r="C1034" s="6" t="s">
        <v>6877</v>
      </c>
      <c r="G1034" t="str">
        <f t="shared" si="30"/>
        <v>llll</v>
      </c>
      <c r="H1034" t="str">
        <f>[1]!SplitText(A1034,"(",1)</f>
        <v xml:space="preserve">  Sqrt</v>
      </c>
    </row>
    <row r="1035" spans="1:8" ht="27">
      <c r="A1035" s="92" t="s">
        <v>6878</v>
      </c>
      <c r="B1035" s="91" t="s">
        <v>5174</v>
      </c>
      <c r="C1035" s="7" t="s">
        <v>6879</v>
      </c>
      <c r="G1035" t="str">
        <f t="shared" si="30"/>
        <v>llll</v>
      </c>
      <c r="H1035" t="str">
        <f>[1]!SplitText(A1035,"(",1)</f>
        <v xml:space="preserve">  String</v>
      </c>
    </row>
    <row r="1036" spans="1:8" ht="39" thickBot="1">
      <c r="A1036" s="4" t="s">
        <v>5712</v>
      </c>
      <c r="B1036" s="5" t="s">
        <v>5177</v>
      </c>
      <c r="C1036" s="6" t="s">
        <v>6880</v>
      </c>
      <c r="G1036" t="str">
        <f t="shared" si="30"/>
        <v>llll</v>
      </c>
      <c r="H1036" t="str">
        <f>[1]!SplitText(A1036,"(",1)</f>
        <v xml:space="preserve">  String</v>
      </c>
    </row>
    <row r="1037" spans="1:8" ht="17.25" thickBot="1">
      <c r="A1037" s="4" t="s">
        <v>6881</v>
      </c>
      <c r="B1037" s="5" t="s">
        <v>5238</v>
      </c>
      <c r="C1037" s="5" t="s">
        <v>6882</v>
      </c>
      <c r="G1037" t="str">
        <f t="shared" si="30"/>
        <v>llll</v>
      </c>
      <c r="H1037" t="str">
        <f>[1]!SplitText(A1037,"(",1)</f>
        <v xml:space="preserve">  Tangent</v>
      </c>
    </row>
    <row r="1038" spans="1:8">
      <c r="A1038" s="117" t="s">
        <v>3926</v>
      </c>
      <c r="G1038" t="str">
        <f t="shared" si="30"/>
        <v>o</v>
      </c>
      <c r="H1038" t="str">
        <f>[1]!SplitText(A1038,"(",1)</f>
        <v>Table 2: 105. REAL Object Methods</v>
      </c>
    </row>
    <row r="1039" spans="1:8" ht="17.25" thickBot="1">
      <c r="A1039" s="115" t="s">
        <v>3927</v>
      </c>
      <c r="B1039" s="115" t="s">
        <v>3928</v>
      </c>
      <c r="G1039" t="str">
        <f t="shared" si="30"/>
        <v>llll</v>
      </c>
      <c r="H1039" t="str">
        <f>[1]!SplitText(A1039,"(",1)</f>
        <v>2.5.57</v>
      </c>
    </row>
    <row r="1040" spans="1:8" ht="17.25" thickBot="1">
      <c r="A1040" s="102" t="s">
        <v>1591</v>
      </c>
      <c r="B1040" s="103" t="s">
        <v>1592</v>
      </c>
      <c r="C1040" s="103" t="s">
        <v>1593</v>
      </c>
      <c r="G1040" t="str">
        <f t="shared" si="30"/>
        <v>llll</v>
      </c>
      <c r="H1040" t="str">
        <f>[1]!SplitText(A1040,"(",1)</f>
        <v>Name</v>
      </c>
    </row>
    <row r="1041" spans="1:8" ht="17.25" thickBot="1">
      <c r="A1041" s="4" t="s">
        <v>6883</v>
      </c>
      <c r="B1041" s="5" t="s">
        <v>6006</v>
      </c>
      <c r="C1041" s="5" t="s">
        <v>6884</v>
      </c>
      <c r="G1041" t="str">
        <f t="shared" si="30"/>
        <v>llll</v>
      </c>
      <c r="H1041" t="str">
        <f>[1]!SplitText(A1041,"(",1)</f>
        <v xml:space="preserve">  Report</v>
      </c>
    </row>
    <row r="1042" spans="1:8" ht="17.25" thickBot="1">
      <c r="A1042" s="4" t="s">
        <v>6885</v>
      </c>
      <c r="B1042" s="5" t="s">
        <v>6006</v>
      </c>
      <c r="C1042" s="6" t="s">
        <v>6886</v>
      </c>
      <c r="G1042" t="str">
        <f t="shared" si="30"/>
        <v>llll</v>
      </c>
      <c r="H1042" t="str">
        <f>[1]!SplitText(A1042,"(",1)</f>
        <v xml:space="preserve">  Report</v>
      </c>
    </row>
    <row r="1043" spans="1:8" ht="17.25" thickBot="1">
      <c r="A1043" s="4" t="s">
        <v>6887</v>
      </c>
      <c r="B1043" s="5" t="s">
        <v>6006</v>
      </c>
      <c r="C1043" s="6" t="s">
        <v>6888</v>
      </c>
      <c r="G1043" t="str">
        <f t="shared" si="30"/>
        <v>llll</v>
      </c>
      <c r="H1043" t="str">
        <f>[1]!SplitText(A1043,"(",1)</f>
        <v xml:space="preserve">  Table</v>
      </c>
    </row>
    <row r="1044" spans="1:8" ht="41.25" thickBot="1">
      <c r="A1044" s="96" t="s">
        <v>6889</v>
      </c>
      <c r="B1044" s="5" t="s">
        <v>6029</v>
      </c>
      <c r="C1044" s="91" t="s">
        <v>6890</v>
      </c>
      <c r="G1044" t="str">
        <f t="shared" si="30"/>
        <v>llll</v>
      </c>
      <c r="H1044" t="str">
        <f>[1]!SplitText(A1044,"(",1)</f>
        <v xml:space="preserve">  AddColumn</v>
      </c>
    </row>
    <row r="1045" spans="1:8" ht="41.25" thickBot="1">
      <c r="A1045" s="4" t="s">
        <v>6891</v>
      </c>
      <c r="B1045" s="5" t="s">
        <v>6006</v>
      </c>
      <c r="C1045" s="6" t="s">
        <v>6892</v>
      </c>
      <c r="G1045" t="str">
        <f t="shared" si="30"/>
        <v>llll</v>
      </c>
      <c r="H1045" t="str">
        <f>[1]!SplitText(A1045,"(",1)</f>
        <v xml:space="preserve">  NextEntriesIndex</v>
      </c>
    </row>
    <row r="1046" spans="1:8" ht="41.25" thickBot="1">
      <c r="A1046" s="4" t="s">
        <v>6893</v>
      </c>
      <c r="B1046" s="5" t="s">
        <v>6006</v>
      </c>
      <c r="C1046" s="6" t="s">
        <v>6894</v>
      </c>
      <c r="G1046" t="str">
        <f t="shared" si="30"/>
        <v>llll</v>
      </c>
      <c r="H1046" t="str">
        <f>[1]!SplitText(A1046,"(",1)</f>
        <v xml:space="preserve">  NextEntriesIndex</v>
      </c>
    </row>
    <row r="1047" spans="1:8" ht="41.25" thickBot="1">
      <c r="A1047" s="4" t="s">
        <v>6895</v>
      </c>
      <c r="B1047" s="5" t="s">
        <v>6006</v>
      </c>
      <c r="C1047" s="6" t="s">
        <v>6896</v>
      </c>
      <c r="G1047" t="str">
        <f t="shared" si="30"/>
        <v>llll</v>
      </c>
      <c r="H1047" t="str">
        <f>[1]!SplitText(A1047,"(",1)</f>
        <v xml:space="preserve">  SetCaseMatch</v>
      </c>
    </row>
    <row r="1048" spans="1:8" ht="17.25" thickBot="1">
      <c r="A1048" s="4" t="s">
        <v>6897</v>
      </c>
      <c r="B1048" s="5" t="s">
        <v>6006</v>
      </c>
      <c r="C1048" s="5" t="s">
        <v>6898</v>
      </c>
      <c r="G1048" t="str">
        <f t="shared" si="30"/>
        <v>llll</v>
      </c>
      <c r="H1048" t="str">
        <f>[1]!SplitText(A1048,"(",1)</f>
        <v xml:space="preserve">  Initialise</v>
      </c>
    </row>
    <row r="1049" spans="1:8" ht="17.25" thickBot="1">
      <c r="A1049" s="4" t="s">
        <v>6899</v>
      </c>
      <c r="B1049" s="5" t="s">
        <v>6006</v>
      </c>
      <c r="C1049" s="6" t="s">
        <v>6900</v>
      </c>
      <c r="G1049" t="str">
        <f t="shared" si="30"/>
        <v>llll</v>
      </c>
      <c r="H1049" t="str">
        <f>[1]!SplitText(A1049,"(",1)</f>
        <v xml:space="preserve">  EvaluateTable</v>
      </c>
    </row>
    <row r="1050" spans="1:8" ht="26.25" thickBot="1">
      <c r="A1050" s="4" t="s">
        <v>6901</v>
      </c>
      <c r="B1050" s="5" t="s">
        <v>5502</v>
      </c>
      <c r="C1050" s="6" t="s">
        <v>6902</v>
      </c>
      <c r="G1050" t="str">
        <f t="shared" si="30"/>
        <v>llll</v>
      </c>
      <c r="H1050" t="str">
        <f>[1]!SplitText(A1050,"(",1)</f>
        <v xml:space="preserve">  Keys</v>
      </c>
    </row>
    <row r="1051" spans="1:8" ht="41.25" thickBot="1">
      <c r="A1051" s="4" t="s">
        <v>6903</v>
      </c>
      <c r="B1051" s="5" t="s">
        <v>6904</v>
      </c>
      <c r="C1051" s="6" t="s">
        <v>6905</v>
      </c>
      <c r="G1051" t="str">
        <f t="shared" si="30"/>
        <v>llll</v>
      </c>
      <c r="H1051" t="str">
        <f>[1]!SplitText(A1051,"(",1)</f>
        <v xml:space="preserve">  ColumnFormat</v>
      </c>
    </row>
    <row r="1052" spans="1:8" ht="27.75" thickBot="1">
      <c r="A1052" s="4" t="s">
        <v>6906</v>
      </c>
      <c r="B1052" s="5" t="s">
        <v>5177</v>
      </c>
      <c r="C1052" s="6" t="s">
        <v>6907</v>
      </c>
      <c r="G1052" t="str">
        <f t="shared" si="30"/>
        <v>llll</v>
      </c>
      <c r="H1052" t="str">
        <f>[1]!SplitText(A1052,"(",1)</f>
        <v xml:space="preserve">  ColumnHeading </v>
      </c>
    </row>
    <row r="1053" spans="1:8" ht="17.25" thickBot="1">
      <c r="A1053" s="4" t="s">
        <v>6908</v>
      </c>
      <c r="B1053" s="5" t="s">
        <v>6909</v>
      </c>
      <c r="C1053" s="5" t="s">
        <v>6910</v>
      </c>
      <c r="G1053" t="str">
        <f t="shared" si="30"/>
        <v>llll</v>
      </c>
      <c r="H1053" t="str">
        <f>[1]!SplitText(A1053,"(",1)</f>
        <v xml:space="preserve">  Table</v>
      </c>
    </row>
    <row r="1054" spans="1:8" ht="26.25" thickBot="1">
      <c r="A1054" s="4" t="s">
        <v>6911</v>
      </c>
      <c r="B1054" s="5" t="s">
        <v>5265</v>
      </c>
      <c r="C1054" s="6" t="s">
        <v>6912</v>
      </c>
      <c r="G1054" t="str">
        <f t="shared" si="30"/>
        <v>llll</v>
      </c>
      <c r="H1054" t="str">
        <f>[1]!SplitText(A1054,"(",1)</f>
        <v xml:space="preserve">  CaseMatch</v>
      </c>
    </row>
    <row r="1055" spans="1:8" ht="63.75">
      <c r="A1055" s="96" t="s">
        <v>6913</v>
      </c>
      <c r="B1055" s="91" t="s">
        <v>5270</v>
      </c>
      <c r="C1055" s="7" t="s">
        <v>6914</v>
      </c>
      <c r="G1055" t="str">
        <f t="shared" si="30"/>
        <v>llll</v>
      </c>
      <c r="H1055" t="str">
        <f>[1]!SplitText(A1055,"(",1)</f>
        <v xml:space="preserve">  Results</v>
      </c>
    </row>
    <row r="1056" spans="1:8" ht="17.25" thickBot="1">
      <c r="A1056" s="4" t="s">
        <v>6915</v>
      </c>
      <c r="B1056" s="5" t="s">
        <v>5265</v>
      </c>
      <c r="C1056" s="5" t="s">
        <v>6916</v>
      </c>
      <c r="G1056" t="str">
        <f t="shared" si="30"/>
        <v>llll</v>
      </c>
      <c r="H1056" t="str">
        <f>[1]!SplitText(A1056,"(",1)</f>
        <v xml:space="preserve">  Results</v>
      </c>
    </row>
    <row r="1057" spans="1:8" ht="40.5">
      <c r="A1057" s="96" t="s">
        <v>6917</v>
      </c>
      <c r="B1057" s="91" t="s">
        <v>5270</v>
      </c>
      <c r="C1057" s="91" t="s">
        <v>6918</v>
      </c>
      <c r="G1057" t="str">
        <f t="shared" si="30"/>
        <v>llll</v>
      </c>
      <c r="H1057" t="str">
        <f>[1]!SplitText(A1057,"(",1)</f>
        <v xml:space="preserve">  ResultsMatch</v>
      </c>
    </row>
    <row r="1058" spans="1:8" ht="41.25" thickBot="1">
      <c r="A1058" s="4" t="s">
        <v>6919</v>
      </c>
      <c r="B1058" s="5" t="s">
        <v>5265</v>
      </c>
      <c r="C1058" s="5" t="s">
        <v>6916</v>
      </c>
      <c r="G1058" t="str">
        <f t="shared" si="30"/>
        <v>llll</v>
      </c>
      <c r="H1058" t="str">
        <f>[1]!SplitText(A1058,"(",1)</f>
        <v xml:space="preserve">  ResultsMatch</v>
      </c>
    </row>
    <row r="1059" spans="1:8" ht="63.75">
      <c r="A1059" s="134" t="s">
        <v>6920</v>
      </c>
      <c r="B1059" s="91" t="s">
        <v>5270</v>
      </c>
      <c r="C1059" s="7" t="s">
        <v>6921</v>
      </c>
      <c r="G1059" t="str">
        <f t="shared" si="30"/>
        <v>llll</v>
      </c>
      <c r="H1059" t="str">
        <f>[1]!SplitText(A1059,"(",1)</f>
        <v xml:space="preserve">  NextEntries</v>
      </c>
    </row>
    <row r="1060" spans="1:8" ht="27.75" thickBot="1">
      <c r="A1060" s="4" t="s">
        <v>6922</v>
      </c>
      <c r="B1060" s="5" t="s">
        <v>5265</v>
      </c>
      <c r="C1060" s="5" t="s">
        <v>6916</v>
      </c>
      <c r="G1060" t="str">
        <f t="shared" ref="G1060:G1108" si="31">IF(ISERROR(SEARCH("table 2:",A1060&amp;B1060&amp;C1060&amp;D1060&amp;E1060&amp;F1060,1)*1),"llll","o")</f>
        <v>llll</v>
      </c>
      <c r="H1060" t="str">
        <f>[1]!SplitText(A1060,"(",1)</f>
        <v xml:space="preserve">  NextEntries</v>
      </c>
    </row>
    <row r="1061" spans="1:8" ht="51">
      <c r="A1061" s="96" t="s">
        <v>6923</v>
      </c>
      <c r="B1061" s="91" t="s">
        <v>5270</v>
      </c>
      <c r="C1061" s="7" t="s">
        <v>6924</v>
      </c>
      <c r="G1061" t="str">
        <f t="shared" si="31"/>
        <v>llll</v>
      </c>
      <c r="H1061" t="str">
        <f>[1]!SplitText(A1061,"(",1)</f>
        <v xml:space="preserve">  NextLines</v>
      </c>
    </row>
    <row r="1062" spans="1:8" ht="27.75" thickBot="1">
      <c r="A1062" s="4" t="s">
        <v>6925</v>
      </c>
      <c r="B1062" s="5" t="s">
        <v>5265</v>
      </c>
      <c r="C1062" s="5" t="s">
        <v>6916</v>
      </c>
      <c r="G1062" t="str">
        <f t="shared" si="31"/>
        <v>llll</v>
      </c>
      <c r="H1062" t="str">
        <f>[1]!SplitText(A1062,"(",1)</f>
        <v xml:space="preserve">  NextLines</v>
      </c>
    </row>
    <row r="1063" spans="1:8" ht="54.75" thickBot="1">
      <c r="A1063" s="135" t="s">
        <v>6926</v>
      </c>
      <c r="B1063" s="5" t="s">
        <v>5265</v>
      </c>
      <c r="C1063" s="6" t="s">
        <v>6927</v>
      </c>
      <c r="G1063" t="str">
        <f t="shared" si="31"/>
        <v>llll</v>
      </c>
      <c r="H1063" t="str">
        <f>[1]!SplitText(A1063,"(",1)</f>
        <v xml:space="preserve">  NextEntriesMatch </v>
      </c>
    </row>
    <row r="1064" spans="1:8" ht="54.75" thickBot="1">
      <c r="A1064" s="4" t="s">
        <v>6928</v>
      </c>
      <c r="B1064" s="5" t="s">
        <v>5265</v>
      </c>
      <c r="C1064" s="5" t="s">
        <v>6916</v>
      </c>
      <c r="G1064" t="str">
        <f t="shared" si="31"/>
        <v>llll</v>
      </c>
      <c r="H1064" t="str">
        <f>[1]!SplitText(A1064,"(",1)</f>
        <v xml:space="preserve">  NextEntriesMatch</v>
      </c>
    </row>
    <row r="1065" spans="1:8" ht="17.25" thickBot="1">
      <c r="A1065" s="4" t="s">
        <v>6929</v>
      </c>
      <c r="B1065" s="5" t="s">
        <v>5238</v>
      </c>
      <c r="C1065" s="6" t="s">
        <v>6930</v>
      </c>
      <c r="G1065" t="str">
        <f t="shared" si="31"/>
        <v>llll</v>
      </c>
      <c r="H1065" t="str">
        <f>[1]!SplitText(A1065,"(",1)</f>
        <v xml:space="preserve">  NextEntriesIndex</v>
      </c>
    </row>
    <row r="1066" spans="1:8" ht="17.25" thickBot="1">
      <c r="A1066" s="4" t="s">
        <v>6931</v>
      </c>
      <c r="B1066" s="5" t="s">
        <v>5238</v>
      </c>
      <c r="C1066" s="6" t="s">
        <v>6930</v>
      </c>
      <c r="G1066" t="str">
        <f t="shared" si="31"/>
        <v>llll</v>
      </c>
      <c r="H1066" t="str">
        <f>[1]!SplitText(A1066,"(",1)</f>
        <v xml:space="preserve">  NextLinesIndex</v>
      </c>
    </row>
    <row r="1067" spans="1:8" ht="27">
      <c r="A1067" s="92" t="s">
        <v>6932</v>
      </c>
      <c r="B1067" s="91" t="s">
        <v>5235</v>
      </c>
      <c r="C1067" s="7" t="s">
        <v>6933</v>
      </c>
      <c r="G1067" t="str">
        <f t="shared" si="31"/>
        <v>llll</v>
      </c>
      <c r="H1067" t="str">
        <f>[1]!SplitText(A1067,"(",1)</f>
        <v xml:space="preserve">  NextEntriesIndex </v>
      </c>
    </row>
    <row r="1068" spans="1:8">
      <c r="A1068" s="117" t="s">
        <v>3985</v>
      </c>
      <c r="G1068" t="str">
        <f t="shared" si="31"/>
        <v>o</v>
      </c>
      <c r="H1068" t="str">
        <f>[1]!SplitText(A1068,"(",1)</f>
        <v>Table 2: 106. REPORT Object Methods</v>
      </c>
    </row>
    <row r="1069" spans="1:8" ht="17.25" thickBot="1">
      <c r="A1069" s="115" t="s">
        <v>3986</v>
      </c>
      <c r="B1069" s="115" t="s">
        <v>3987</v>
      </c>
      <c r="G1069" t="str">
        <f t="shared" si="31"/>
        <v>llll</v>
      </c>
      <c r="H1069" t="str">
        <f>[1]!SplitText(A1069,"(",1)</f>
        <v>2.5.58</v>
      </c>
    </row>
    <row r="1070" spans="1:8" ht="17.25" thickBot="1">
      <c r="A1070" s="102" t="s">
        <v>1591</v>
      </c>
      <c r="B1070" s="103" t="s">
        <v>1592</v>
      </c>
      <c r="C1070" s="103" t="s">
        <v>1593</v>
      </c>
      <c r="G1070" t="str">
        <f t="shared" si="31"/>
        <v>llll</v>
      </c>
      <c r="H1070" t="str">
        <f>[1]!SplitText(A1070,"(",1)</f>
        <v>Name</v>
      </c>
    </row>
    <row r="1071" spans="1:8" ht="17.25" thickBot="1">
      <c r="A1071" s="92" t="s">
        <v>6934</v>
      </c>
      <c r="B1071" s="8" t="s">
        <v>5552</v>
      </c>
      <c r="C1071" s="91" t="s">
        <v>6935</v>
      </c>
      <c r="G1071" t="str">
        <f t="shared" si="31"/>
        <v>llll</v>
      </c>
      <c r="H1071" t="str">
        <f>[1]!SplitText(A1071,"(",1)</f>
        <v xml:space="preserve">  val </v>
      </c>
    </row>
    <row r="1072" spans="1:8" ht="17.25" thickBot="1">
      <c r="A1072" s="92" t="s">
        <v>6936</v>
      </c>
      <c r="B1072" s="8" t="s">
        <v>6937</v>
      </c>
      <c r="C1072" s="91" t="s">
        <v>6938</v>
      </c>
      <c r="G1072" t="str">
        <f t="shared" si="31"/>
        <v>llll</v>
      </c>
      <c r="H1072" t="str">
        <f>[1]!SplitText(A1072,"(",1)</f>
        <v xml:space="preserve">  index </v>
      </c>
    </row>
    <row r="1073" spans="1:8" ht="17.25" thickBot="1">
      <c r="A1073" s="92" t="s">
        <v>6939</v>
      </c>
      <c r="B1073" s="8" t="s">
        <v>5596</v>
      </c>
      <c r="C1073" s="91" t="s">
        <v>6940</v>
      </c>
      <c r="G1073" t="str">
        <f t="shared" si="31"/>
        <v>llll</v>
      </c>
      <c r="H1073" t="str">
        <f>[1]!SplitText(A1073,"(",1)</f>
        <v xml:space="preserve">  onVal </v>
      </c>
    </row>
    <row r="1074" spans="1:8" ht="17.25" thickBot="1">
      <c r="A1074" s="92" t="s">
        <v>6941</v>
      </c>
      <c r="B1074" s="8" t="s">
        <v>5596</v>
      </c>
      <c r="C1074" s="91" t="s">
        <v>6942</v>
      </c>
      <c r="G1074" t="str">
        <f t="shared" si="31"/>
        <v>llll</v>
      </c>
      <c r="H1074" t="str">
        <f>[1]!SplitText(A1074,"(",1)</f>
        <v xml:space="preserve">  offVal </v>
      </c>
    </row>
    <row r="1075" spans="1:8" ht="17.25" thickBot="1">
      <c r="A1075" s="92" t="s">
        <v>6943</v>
      </c>
      <c r="B1075" s="8" t="s">
        <v>5552</v>
      </c>
      <c r="C1075" s="91" t="s">
        <v>6944</v>
      </c>
      <c r="G1075" t="str">
        <f t="shared" si="31"/>
        <v>llll</v>
      </c>
      <c r="H1075" t="str">
        <f>[1]!SplitText(A1075,"(",1)</f>
        <v xml:space="preserve">  visible </v>
      </c>
    </row>
    <row r="1076" spans="1:8" ht="17.25" thickBot="1">
      <c r="A1076" s="92" t="s">
        <v>6945</v>
      </c>
      <c r="B1076" s="8" t="s">
        <v>5552</v>
      </c>
      <c r="C1076" s="91" t="s">
        <v>6946</v>
      </c>
      <c r="G1076" t="str">
        <f t="shared" si="31"/>
        <v>llll</v>
      </c>
      <c r="H1076" t="str">
        <f>[1]!SplitText(A1076,"(",1)</f>
        <v xml:space="preserve">  active </v>
      </c>
    </row>
    <row r="1077" spans="1:8" ht="17.25" thickBot="1">
      <c r="A1077" s="92" t="s">
        <v>6947</v>
      </c>
      <c r="B1077" s="8" t="s">
        <v>5596</v>
      </c>
      <c r="C1077" s="91" t="s">
        <v>6948</v>
      </c>
      <c r="G1077" t="str">
        <f t="shared" si="31"/>
        <v>llll</v>
      </c>
      <c r="H1077" t="str">
        <f>[1]!SplitText(A1077,"(",1)</f>
        <v xml:space="preserve">  callback </v>
      </c>
    </row>
    <row r="1078" spans="1:8">
      <c r="A1078" s="92" t="s">
        <v>6949</v>
      </c>
      <c r="B1078" s="8" t="s">
        <v>5596</v>
      </c>
      <c r="C1078" s="91" t="s">
        <v>6950</v>
      </c>
      <c r="G1078" t="str">
        <f t="shared" si="31"/>
        <v>llll</v>
      </c>
      <c r="H1078" t="str">
        <f>[1]!SplitText(A1078,"(",1)</f>
        <v xml:space="preserve">  tag </v>
      </c>
    </row>
    <row r="1079" spans="1:8" ht="17.25" thickBot="1">
      <c r="A1079" s="4" t="s">
        <v>5605</v>
      </c>
      <c r="B1079" s="5" t="s">
        <v>5177</v>
      </c>
      <c r="C1079" s="5" t="s">
        <v>5469</v>
      </c>
      <c r="G1079" t="str">
        <f t="shared" si="31"/>
        <v>llll</v>
      </c>
      <c r="H1079" t="str">
        <f>[1]!SplitText(A1079,"(",1)</f>
        <v xml:space="preserve">  FullName</v>
      </c>
    </row>
    <row r="1080" spans="1:8" ht="17.25" thickBot="1">
      <c r="A1080" s="4" t="s">
        <v>5607</v>
      </c>
      <c r="B1080" s="5" t="s">
        <v>5177</v>
      </c>
      <c r="C1080" s="5" t="s">
        <v>5471</v>
      </c>
      <c r="G1080" t="str">
        <f t="shared" si="31"/>
        <v>llll</v>
      </c>
      <c r="H1080" t="str">
        <f>[1]!SplitText(A1080,"(",1)</f>
        <v xml:space="preserve">  Name</v>
      </c>
    </row>
    <row r="1081" spans="1:8" ht="17.25" thickBot="1">
      <c r="A1081" s="4" t="s">
        <v>5609</v>
      </c>
      <c r="B1081" s="5" t="s">
        <v>4994</v>
      </c>
      <c r="C1081" s="5" t="s">
        <v>5472</v>
      </c>
      <c r="G1081" t="str">
        <f t="shared" si="31"/>
        <v>llll</v>
      </c>
      <c r="H1081" t="str">
        <f>[1]!SplitText(A1081,"(",1)</f>
        <v xml:space="preserve">  Owner</v>
      </c>
    </row>
    <row r="1082" spans="1:8" ht="17.25" thickBot="1">
      <c r="A1082" s="4" t="s">
        <v>6951</v>
      </c>
      <c r="B1082" s="6" t="s">
        <v>5273</v>
      </c>
      <c r="C1082" s="6" t="s">
        <v>5474</v>
      </c>
      <c r="G1082" t="str">
        <f t="shared" si="31"/>
        <v>llll</v>
      </c>
      <c r="H1082" t="str">
        <f>[1]!SplitText(A1082,"(",1)</f>
        <v xml:space="preserve">  SetPopup</v>
      </c>
    </row>
    <row r="1083" spans="1:8" ht="27.75" thickBot="1">
      <c r="A1083" s="4" t="s">
        <v>6952</v>
      </c>
      <c r="B1083" s="6" t="s">
        <v>5273</v>
      </c>
      <c r="C1083" s="6" t="s">
        <v>5476</v>
      </c>
      <c r="G1083" t="str">
        <f t="shared" si="31"/>
        <v>llll</v>
      </c>
      <c r="H1083" t="str">
        <f>[1]!SplitText(A1083,"(",1)</f>
        <v xml:space="preserve">  RemovePopup</v>
      </c>
    </row>
    <row r="1084" spans="1:8" ht="17.25" thickBot="1">
      <c r="A1084" s="4" t="s">
        <v>5611</v>
      </c>
      <c r="B1084" s="5" t="s">
        <v>5478</v>
      </c>
      <c r="C1084" s="6" t="s">
        <v>5584</v>
      </c>
      <c r="G1084" t="str">
        <f t="shared" si="31"/>
        <v>llll</v>
      </c>
      <c r="H1084" t="str">
        <f>[1]!SplitText(A1084,"(",1)</f>
        <v xml:space="preserve">  GetPickedPopup</v>
      </c>
    </row>
    <row r="1085" spans="1:8" ht="17.25" thickBot="1">
      <c r="A1085" s="4" t="s">
        <v>6953</v>
      </c>
      <c r="B1085" s="6" t="s">
        <v>5273</v>
      </c>
      <c r="C1085" s="5" t="s">
        <v>5582</v>
      </c>
      <c r="G1085" t="str">
        <f t="shared" si="31"/>
        <v>llll</v>
      </c>
      <c r="H1085" t="str">
        <f>[1]!SplitText(A1085,"(",1)</f>
        <v xml:space="preserve">  Refresh</v>
      </c>
    </row>
    <row r="1086" spans="1:8" ht="17.25" thickBot="1">
      <c r="A1086" s="4" t="s">
        <v>5612</v>
      </c>
      <c r="B1086" s="5" t="s">
        <v>5265</v>
      </c>
      <c r="C1086" s="5" t="s">
        <v>5585</v>
      </c>
      <c r="G1086" t="str">
        <f t="shared" si="31"/>
        <v>llll</v>
      </c>
      <c r="H1086" t="str">
        <f>[1]!SplitText(A1086,"(",1)</f>
        <v xml:space="preserve">  Shown</v>
      </c>
    </row>
    <row r="1087" spans="1:8" ht="27.75" thickBot="1">
      <c r="A1087" s="4" t="s">
        <v>6954</v>
      </c>
      <c r="B1087" s="6" t="s">
        <v>5273</v>
      </c>
      <c r="C1087" s="5" t="s">
        <v>6955</v>
      </c>
      <c r="G1087" t="str">
        <f t="shared" si="31"/>
        <v>llll</v>
      </c>
      <c r="H1087" t="str">
        <f>[1]!SplitText(A1087,"(",1)</f>
        <v xml:space="preserve">  SetToolTip</v>
      </c>
    </row>
    <row r="1088" spans="1:8" ht="17.25" thickBot="1">
      <c r="A1088" s="4" t="s">
        <v>6956</v>
      </c>
      <c r="B1088" s="5" t="s">
        <v>5177</v>
      </c>
      <c r="C1088" s="5" t="s">
        <v>5586</v>
      </c>
      <c r="G1088" t="str">
        <f t="shared" si="31"/>
        <v>llll</v>
      </c>
      <c r="H1088" t="str">
        <f>[1]!SplitText(A1088,"(",1)</f>
        <v xml:space="preserve">  Type</v>
      </c>
    </row>
    <row r="1089" spans="1:8" ht="63.75">
      <c r="A1089" s="92" t="s">
        <v>5484</v>
      </c>
      <c r="B1089" s="91" t="s">
        <v>5174</v>
      </c>
      <c r="C1089" s="8" t="s">
        <v>5485</v>
      </c>
      <c r="G1089" t="str">
        <f t="shared" si="31"/>
        <v>llll</v>
      </c>
      <c r="H1089" t="str">
        <f>[1]!SplitText(A1089,"(",1)</f>
        <v xml:space="preserve">  Background</v>
      </c>
    </row>
    <row r="1090" spans="1:8">
      <c r="A1090" s="117" t="s">
        <v>4006</v>
      </c>
      <c r="G1090" t="str">
        <f t="shared" si="31"/>
        <v>o</v>
      </c>
      <c r="H1090" t="str">
        <f>[1]!SplitText(A1090,"(",1)</f>
        <v>Table 2: 108. RTOGGLE Object Methods</v>
      </c>
    </row>
    <row r="1091" spans="1:8" ht="17.25" thickBot="1">
      <c r="A1091" s="115" t="s">
        <v>4023</v>
      </c>
      <c r="B1091" s="115" t="s">
        <v>4024</v>
      </c>
      <c r="G1091" t="str">
        <f t="shared" si="31"/>
        <v>llll</v>
      </c>
      <c r="H1091" t="str">
        <f>[1]!SplitText(A1091,"(",1)</f>
        <v>2.5.59</v>
      </c>
    </row>
    <row r="1092" spans="1:8" ht="17.25" thickBot="1">
      <c r="A1092" s="102" t="s">
        <v>3203</v>
      </c>
      <c r="B1092" s="103" t="s">
        <v>1592</v>
      </c>
      <c r="C1092" s="103" t="s">
        <v>1593</v>
      </c>
      <c r="G1092" t="str">
        <f t="shared" si="31"/>
        <v>llll</v>
      </c>
      <c r="H1092" t="str">
        <f>[1]!SplitText(A1092,"(",1)</f>
        <v>Method</v>
      </c>
    </row>
    <row r="1093" spans="1:8" ht="30.75" thickBot="1">
      <c r="A1093" s="145" t="s">
        <v>4026</v>
      </c>
      <c r="B1093" s="5" t="s">
        <v>4027</v>
      </c>
      <c r="C1093" s="6" t="s">
        <v>4028</v>
      </c>
      <c r="G1093" t="str">
        <f t="shared" si="31"/>
        <v>llll</v>
      </c>
      <c r="H1093" t="str">
        <f>[1]!SplitText(A1093,"(",1)</f>
        <v xml:space="preserve">sectionPlane </v>
      </c>
    </row>
    <row r="1094" spans="1:8" ht="51.75" thickBot="1">
      <c r="A1094" s="145" t="s">
        <v>4030</v>
      </c>
      <c r="B1094" s="5" t="s">
        <v>2698</v>
      </c>
      <c r="C1094" s="6" t="s">
        <v>4031</v>
      </c>
      <c r="G1094" t="str">
        <f t="shared" si="31"/>
        <v>llll</v>
      </c>
      <c r="H1094" t="str">
        <f>[1]!SplitText(A1094,"(",1)</f>
        <v xml:space="preserve">Redraw </v>
      </c>
    </row>
    <row r="1095" spans="1:8" ht="17.25" thickBot="1">
      <c r="A1095" s="145" t="s">
        <v>4032</v>
      </c>
      <c r="B1095" s="5" t="s">
        <v>2698</v>
      </c>
      <c r="C1095" s="6" t="s">
        <v>4033</v>
      </c>
      <c r="G1095" t="str">
        <f t="shared" si="31"/>
        <v>llll</v>
      </c>
      <c r="H1095" t="str">
        <f>[1]!SplitText(A1095,"(",1)</f>
        <v xml:space="preserve">Highlight </v>
      </c>
    </row>
    <row r="1096" spans="1:8" ht="17.25" thickBot="1">
      <c r="A1096" s="145" t="s">
        <v>4034</v>
      </c>
      <c r="B1096" s="5" t="s">
        <v>2698</v>
      </c>
      <c r="C1096" s="5" t="s">
        <v>4035</v>
      </c>
      <c r="G1096" t="str">
        <f t="shared" si="31"/>
        <v>llll</v>
      </c>
      <c r="H1096" t="str">
        <f>[1]!SplitText(A1096,"(",1)</f>
        <v xml:space="preserve">Show </v>
      </c>
    </row>
    <row r="1097" spans="1:8" ht="30.75" thickBot="1">
      <c r="A1097" s="176" t="s">
        <v>4036</v>
      </c>
      <c r="B1097" s="91" t="s">
        <v>2698</v>
      </c>
      <c r="C1097" s="7" t="s">
        <v>4037</v>
      </c>
      <c r="G1097" t="str">
        <f t="shared" si="31"/>
        <v>llll</v>
      </c>
      <c r="H1097" t="str">
        <f>[1]!SplitText(A1097,"(",1)</f>
        <v xml:space="preserve">setClipping </v>
      </c>
    </row>
    <row r="1098" spans="1:8" ht="30.75" thickBot="1">
      <c r="A1098" s="176" t="s">
        <v>4039</v>
      </c>
      <c r="B1098" s="91" t="s">
        <v>2698</v>
      </c>
      <c r="C1098" s="7" t="s">
        <v>4040</v>
      </c>
      <c r="G1098" t="str">
        <f t="shared" si="31"/>
        <v>llll</v>
      </c>
      <c r="H1098" t="str">
        <f>[1]!SplitText(A1098,"(",1)</f>
        <v xml:space="preserve">switchClipside </v>
      </c>
    </row>
    <row r="1099" spans="1:8" ht="25.5">
      <c r="A1099" s="144" t="s">
        <v>4042</v>
      </c>
      <c r="B1099" s="91" t="s">
        <v>2698</v>
      </c>
      <c r="C1099" s="91" t="s">
        <v>4044</v>
      </c>
      <c r="G1099" t="str">
        <f t="shared" si="31"/>
        <v>llll</v>
      </c>
      <c r="H1099" t="str">
        <f>[1]!SplitText(A1099,"(",1)</f>
        <v xml:space="preserve">showClipItems </v>
      </c>
    </row>
    <row r="1100" spans="1:8" ht="17.25" thickBot="1">
      <c r="A1100" s="145" t="s">
        <v>4043</v>
      </c>
      <c r="B1100" s="97"/>
      <c r="C1100" s="97"/>
      <c r="G1100" t="str">
        <f t="shared" si="31"/>
        <v>llll</v>
      </c>
      <c r="H1100" t="str">
        <f>[1]!SplitText(A1100,"(",1)</f>
        <v/>
      </c>
    </row>
    <row r="1101" spans="1:8" ht="39" thickBot="1">
      <c r="A1101" s="145" t="s">
        <v>4045</v>
      </c>
      <c r="B1101" s="5" t="s">
        <v>2698</v>
      </c>
      <c r="C1101" s="6" t="s">
        <v>4046</v>
      </c>
      <c r="G1101" t="str">
        <f t="shared" si="31"/>
        <v>llll</v>
      </c>
      <c r="H1101" t="str">
        <f>[1]!SplitText(A1101,"(",1)</f>
        <v xml:space="preserve">redefinePoints </v>
      </c>
    </row>
    <row r="1102" spans="1:8" ht="17.25" thickBot="1">
      <c r="A1102" s="145" t="s">
        <v>4047</v>
      </c>
      <c r="B1102" s="5" t="s">
        <v>2698</v>
      </c>
      <c r="C1102" s="6" t="s">
        <v>4048</v>
      </c>
      <c r="G1102" t="str">
        <f t="shared" si="31"/>
        <v>llll</v>
      </c>
      <c r="H1102" t="str">
        <f>[1]!SplitText(A1102,"(",1)</f>
        <v xml:space="preserve">Colour </v>
      </c>
    </row>
    <row r="1103" spans="1:8" ht="30">
      <c r="A1103" s="176" t="s">
        <v>4049</v>
      </c>
      <c r="B1103" s="91" t="s">
        <v>2698</v>
      </c>
      <c r="C1103" s="8" t="s">
        <v>4050</v>
      </c>
      <c r="G1103" t="str">
        <f t="shared" si="31"/>
        <v>llll</v>
      </c>
      <c r="H1103" t="str">
        <f>[1]!SplitText(A1103,"(",1)</f>
        <v xml:space="preserve">Translucency </v>
      </c>
    </row>
    <row r="1104" spans="1:8" ht="17.25" thickBot="1">
      <c r="A1104" s="145" t="s">
        <v>4053</v>
      </c>
      <c r="B1104" s="5" t="s">
        <v>1566</v>
      </c>
      <c r="C1104" s="6" t="s">
        <v>4054</v>
      </c>
      <c r="G1104" t="str">
        <f t="shared" si="31"/>
        <v>llll</v>
      </c>
      <c r="H1104" t="str">
        <f>[1]!SplitText(A1104,"(",1)</f>
        <v xml:space="preserve">isValid </v>
      </c>
    </row>
    <row r="1105" spans="1:8" ht="17.25" thickBot="1">
      <c r="A1105" s="145" t="s">
        <v>4055</v>
      </c>
      <c r="B1105" s="5" t="s">
        <v>1557</v>
      </c>
      <c r="C1105" s="5" t="s">
        <v>4056</v>
      </c>
      <c r="G1105" t="str">
        <f t="shared" si="31"/>
        <v>llll</v>
      </c>
      <c r="H1105" t="str">
        <f>[1]!SplitText(A1105,"(",1)</f>
        <v xml:space="preserve">queryDbref </v>
      </c>
    </row>
    <row r="1106" spans="1:8" ht="17.25" thickBot="1">
      <c r="A1106" s="145" t="s">
        <v>4057</v>
      </c>
      <c r="B1106" s="5" t="s">
        <v>1566</v>
      </c>
      <c r="C1106" s="5" t="s">
        <v>4058</v>
      </c>
      <c r="G1106" t="str">
        <f t="shared" si="31"/>
        <v>llll</v>
      </c>
      <c r="H1106" t="str">
        <f>[1]!SplitText(A1106,"(",1)</f>
        <v xml:space="preserve">queryShow </v>
      </c>
    </row>
    <row r="1107" spans="1:8" ht="17.25" thickBot="1">
      <c r="A1107" s="145" t="s">
        <v>4059</v>
      </c>
      <c r="B1107" s="5" t="s">
        <v>1566</v>
      </c>
      <c r="C1107" s="5" t="s">
        <v>4060</v>
      </c>
      <c r="G1107" t="str">
        <f t="shared" si="31"/>
        <v>llll</v>
      </c>
      <c r="H1107" t="str">
        <f>[1]!SplitText(A1107,"(",1)</f>
        <v xml:space="preserve">queryClip </v>
      </c>
    </row>
    <row r="1108" spans="1:8" ht="17.25" thickBot="1">
      <c r="A1108" s="145" t="s">
        <v>4061</v>
      </c>
      <c r="B1108" s="5" t="s">
        <v>1603</v>
      </c>
      <c r="C1108" s="6" t="s">
        <v>4062</v>
      </c>
      <c r="G1108" t="str">
        <f t="shared" si="31"/>
        <v>llll</v>
      </c>
      <c r="H1108" t="str">
        <f>[1]!SplitText(A1108,"(",1)</f>
        <v xml:space="preserve">queryType </v>
      </c>
    </row>
    <row r="1109" spans="1:8" ht="17.25" thickBot="1">
      <c r="A1109" s="145" t="s">
        <v>4063</v>
      </c>
      <c r="B1109" s="5" t="s">
        <v>2130</v>
      </c>
      <c r="C1109" s="5" t="s">
        <v>4064</v>
      </c>
      <c r="G1109" t="str">
        <f t="shared" ref="G1109:G1157" si="32">IF(ISERROR(SEARCH("table 2:",A1109&amp;B1109&amp;C1109&amp;D1109&amp;E1109&amp;F1109,1)*1),"llll","o")</f>
        <v>llll</v>
      </c>
      <c r="H1109" t="str">
        <f>[1]!SplitText(A1109,"(",1)</f>
        <v xml:space="preserve">queryColour </v>
      </c>
    </row>
    <row r="1110" spans="1:8" ht="30.75" thickBot="1">
      <c r="A1110" s="145" t="s">
        <v>4065</v>
      </c>
      <c r="B1110" s="5" t="s">
        <v>2130</v>
      </c>
      <c r="C1110" s="5" t="s">
        <v>4066</v>
      </c>
      <c r="G1110" t="str">
        <f t="shared" si="32"/>
        <v>llll</v>
      </c>
      <c r="H1110" t="str">
        <f>[1]!SplitText(A1110,"(",1)</f>
        <v xml:space="preserve">queryTranslucency </v>
      </c>
    </row>
    <row r="1111" spans="1:8">
      <c r="A1111" s="117" t="s">
        <v>4067</v>
      </c>
      <c r="G1111" t="str">
        <f t="shared" si="32"/>
        <v>o</v>
      </c>
      <c r="H1111" t="str">
        <f>[1]!SplitText(A1111,"(",1)</f>
        <v>Table 2: 109. Selection Plane Object Methods</v>
      </c>
    </row>
    <row r="1112" spans="1:8" ht="17.25" thickBot="1">
      <c r="A1112" s="115" t="s">
        <v>4068</v>
      </c>
      <c r="B1112" s="115" t="s">
        <v>4069</v>
      </c>
      <c r="G1112" t="str">
        <f t="shared" si="32"/>
        <v>llll</v>
      </c>
      <c r="H1112" t="str">
        <f>[1]!SplitText(A1112,"(",1)</f>
        <v>2.5.60</v>
      </c>
    </row>
    <row r="1113" spans="1:8" ht="17.25" thickBot="1">
      <c r="A1113" s="102" t="s">
        <v>3203</v>
      </c>
      <c r="B1113" s="103" t="s">
        <v>1592</v>
      </c>
      <c r="C1113" s="110" t="s">
        <v>1593</v>
      </c>
      <c r="D1113" s="2"/>
      <c r="G1113" t="str">
        <f t="shared" si="32"/>
        <v>llll</v>
      </c>
      <c r="H1113" t="str">
        <f>[1]!SplitText(A1113,"(",1)</f>
        <v>Method</v>
      </c>
    </row>
    <row r="1114" spans="1:8" ht="30.75" thickBot="1">
      <c r="A1114" s="162" t="s">
        <v>4071</v>
      </c>
      <c r="B1114" s="5" t="s">
        <v>4027</v>
      </c>
      <c r="C1114" s="151" t="s">
        <v>4072</v>
      </c>
      <c r="D1114" s="6" t="s">
        <v>4913</v>
      </c>
      <c r="G1114" t="str">
        <f t="shared" si="32"/>
        <v>llll</v>
      </c>
      <c r="H1114" t="str">
        <f>[1]!SplitText(A1114,"(",1)</f>
        <v xml:space="preserve">SectionPlaneManager </v>
      </c>
    </row>
    <row r="1115" spans="1:8" ht="26.25" thickBot="1">
      <c r="A1115" s="4" t="s">
        <v>4073</v>
      </c>
      <c r="B1115" s="5" t="s">
        <v>2698</v>
      </c>
      <c r="C1115" s="5" t="s">
        <v>4074</v>
      </c>
      <c r="G1115" t="str">
        <f t="shared" si="32"/>
        <v>llll</v>
      </c>
      <c r="H1115" t="str">
        <f>[1]!SplitText(A1115,"(",1)</f>
        <v xml:space="preserve">initialise </v>
      </c>
    </row>
    <row r="1116" spans="1:8" ht="25.5">
      <c r="A1116" s="92" t="s">
        <v>4075</v>
      </c>
      <c r="B1116" s="91" t="s">
        <v>2698</v>
      </c>
      <c r="C1116" s="7" t="s">
        <v>4076</v>
      </c>
      <c r="G1116" t="str">
        <f t="shared" si="32"/>
        <v>llll</v>
      </c>
      <c r="H1116" t="str">
        <f>[1]!SplitText(A1116,"(",1)</f>
        <v xml:space="preserve">add </v>
      </c>
    </row>
    <row r="1117" spans="1:8" ht="17.25" thickBot="1">
      <c r="A1117" s="4" t="s">
        <v>4081</v>
      </c>
      <c r="B1117" s="5" t="s">
        <v>2698</v>
      </c>
      <c r="C1117" s="6" t="s">
        <v>4082</v>
      </c>
      <c r="G1117" t="str">
        <f t="shared" si="32"/>
        <v>llll</v>
      </c>
      <c r="H1117" t="str">
        <f>[1]!SplitText(A1117,"(",1)</f>
        <v xml:space="preserve">add </v>
      </c>
    </row>
    <row r="1118" spans="1:8" ht="26.25" thickBot="1">
      <c r="A1118" s="1" t="s">
        <v>4083</v>
      </c>
      <c r="B1118" s="2" t="s">
        <v>2698</v>
      </c>
      <c r="C1118" s="3" t="s">
        <v>4084</v>
      </c>
      <c r="G1118" t="str">
        <f t="shared" si="32"/>
        <v>llll</v>
      </c>
      <c r="H1118" t="str">
        <f>[1]!SplitText(A1118,"(",1)</f>
        <v xml:space="preserve">add </v>
      </c>
    </row>
    <row r="1119" spans="1:8" ht="39" thickBot="1">
      <c r="A1119" s="4" t="s">
        <v>4085</v>
      </c>
      <c r="B1119" s="5" t="s">
        <v>2698</v>
      </c>
      <c r="C1119" s="6" t="s">
        <v>4086</v>
      </c>
      <c r="G1119" t="str">
        <f t="shared" si="32"/>
        <v>llll</v>
      </c>
      <c r="H1119" t="str">
        <f>[1]!SplitText(A1119,"(",1)</f>
        <v xml:space="preserve">remove </v>
      </c>
    </row>
    <row r="1120" spans="1:8" ht="27.75" thickBot="1">
      <c r="A1120" s="4" t="s">
        <v>4087</v>
      </c>
      <c r="B1120" s="5" t="s">
        <v>2698</v>
      </c>
      <c r="C1120" s="6" t="s">
        <v>4088</v>
      </c>
      <c r="G1120" t="str">
        <f t="shared" si="32"/>
        <v>llll</v>
      </c>
      <c r="H1120" t="str">
        <f>[1]!SplitText(A1120,"(",1)</f>
        <v xml:space="preserve">remove </v>
      </c>
    </row>
    <row r="1121" spans="1:8" ht="17.25" thickBot="1">
      <c r="A1121" s="4" t="s">
        <v>4089</v>
      </c>
      <c r="B1121" s="5" t="s">
        <v>2698</v>
      </c>
      <c r="C1121" s="6" t="s">
        <v>4090</v>
      </c>
      <c r="G1121" t="str">
        <f t="shared" si="32"/>
        <v>llll</v>
      </c>
      <c r="H1121" t="str">
        <f>[1]!SplitText(A1121,"(",1)</f>
        <v xml:space="preserve">clear </v>
      </c>
    </row>
    <row r="1122" spans="1:8" ht="17.25" thickBot="1">
      <c r="A1122" s="4" t="s">
        <v>4091</v>
      </c>
      <c r="B1122" s="5" t="s">
        <v>2698</v>
      </c>
      <c r="C1122" s="6" t="s">
        <v>4092</v>
      </c>
      <c r="G1122" t="str">
        <f t="shared" si="32"/>
        <v>llll</v>
      </c>
      <c r="H1122" t="str">
        <f>[1]!SplitText(A1122,"(",1)</f>
        <v xml:space="preserve">highlight </v>
      </c>
    </row>
    <row r="1123" spans="1:8" ht="51">
      <c r="A1123" s="92" t="s">
        <v>4093</v>
      </c>
      <c r="B1123" s="91" t="s">
        <v>2698</v>
      </c>
      <c r="C1123" s="7" t="s">
        <v>4094</v>
      </c>
      <c r="G1123" t="str">
        <f t="shared" si="32"/>
        <v>llll</v>
      </c>
      <c r="H1123" t="str">
        <f>[1]!SplitText(A1123,"(",1)</f>
        <v xml:space="preserve">redraw </v>
      </c>
    </row>
    <row r="1124" spans="1:8" ht="26.25" thickBot="1">
      <c r="A1124" s="4" t="s">
        <v>4096</v>
      </c>
      <c r="B1124" s="5" t="s">
        <v>2698</v>
      </c>
      <c r="C1124" s="6" t="s">
        <v>4097</v>
      </c>
      <c r="G1124" t="str">
        <f t="shared" si="32"/>
        <v>llll</v>
      </c>
      <c r="H1124" t="str">
        <f>[1]!SplitText(A1124,"(",1)</f>
        <v xml:space="preserve">clip </v>
      </c>
    </row>
    <row r="1125" spans="1:8" ht="17.25" thickBot="1">
      <c r="A1125" s="4" t="s">
        <v>4098</v>
      </c>
      <c r="B1125" s="5" t="s">
        <v>2698</v>
      </c>
      <c r="C1125" s="5" t="s">
        <v>4099</v>
      </c>
      <c r="G1125" t="str">
        <f t="shared" si="32"/>
        <v>llll</v>
      </c>
      <c r="H1125" t="str">
        <f>[1]!SplitText(A1125,"(",1)</f>
        <v xml:space="preserve">show </v>
      </c>
    </row>
    <row r="1126" spans="1:8" ht="27.75" thickBot="1">
      <c r="A1126" s="4" t="s">
        <v>4100</v>
      </c>
      <c r="B1126" s="5" t="s">
        <v>2698</v>
      </c>
      <c r="C1126" s="6" t="s">
        <v>4101</v>
      </c>
      <c r="G1126" t="str">
        <f t="shared" si="32"/>
        <v>llll</v>
      </c>
      <c r="H1126" t="str">
        <f>[1]!SplitText(A1126,"(",1)</f>
        <v xml:space="preserve">showClipping </v>
      </c>
    </row>
    <row r="1127" spans="1:8" ht="17.25" thickBot="1">
      <c r="A1127" s="4" t="s">
        <v>4102</v>
      </c>
      <c r="B1127" s="5" t="s">
        <v>2698</v>
      </c>
      <c r="C1127" s="6" t="s">
        <v>4103</v>
      </c>
      <c r="G1127" t="str">
        <f t="shared" si="32"/>
        <v>llll</v>
      </c>
      <c r="H1127" t="str">
        <f>[1]!SplitText(A1127,"(",1)</f>
        <v xml:space="preserve">colour </v>
      </c>
    </row>
    <row r="1128" spans="1:8" ht="17.25" thickBot="1">
      <c r="A1128" s="4" t="s">
        <v>4104</v>
      </c>
      <c r="B1128" s="5" t="s">
        <v>2698</v>
      </c>
      <c r="C1128" s="5" t="s">
        <v>4105</v>
      </c>
      <c r="G1128" t="str">
        <f t="shared" si="32"/>
        <v>llll</v>
      </c>
      <c r="H1128" t="str">
        <f>[1]!SplitText(A1128,"(",1)</f>
        <v xml:space="preserve">translucency </v>
      </c>
    </row>
    <row r="1129" spans="1:8">
      <c r="A1129" s="96" t="s">
        <v>4106</v>
      </c>
      <c r="B1129" s="91" t="s">
        <v>2698</v>
      </c>
      <c r="C1129" s="7" t="s">
        <v>4108</v>
      </c>
      <c r="G1129" t="str">
        <f t="shared" si="32"/>
        <v>llll</v>
      </c>
      <c r="H1129" t="str">
        <f>[1]!SplitText(A1129,"(",1)</f>
        <v xml:space="preserve">createPoints </v>
      </c>
    </row>
    <row r="1130" spans="1:8" ht="25.5">
      <c r="A1130" s="96" t="s">
        <v>4107</v>
      </c>
      <c r="B1130" s="170"/>
      <c r="C1130" s="7" t="s">
        <v>4109</v>
      </c>
      <c r="G1130" t="str">
        <f t="shared" si="32"/>
        <v>llll</v>
      </c>
      <c r="H1130" t="str">
        <f>[1]!SplitText(A1130,"(",1)</f>
        <v/>
      </c>
    </row>
    <row r="1131" spans="1:8" ht="17.25" thickBot="1">
      <c r="A1131" s="4" t="s">
        <v>3529</v>
      </c>
      <c r="B1131" s="97"/>
      <c r="C1131" s="136"/>
      <c r="G1131" t="str">
        <f t="shared" si="32"/>
        <v>llll</v>
      </c>
      <c r="H1131" t="str">
        <f>[1]!SplitText(A1131,"(",1)</f>
        <v>DIRECTION)</v>
      </c>
    </row>
    <row r="1132" spans="1:8" ht="17.25" thickBot="1">
      <c r="A1132" s="4" t="s">
        <v>4110</v>
      </c>
      <c r="B1132" s="5" t="s">
        <v>2698</v>
      </c>
      <c r="C1132" s="5" t="s">
        <v>4111</v>
      </c>
      <c r="G1132" t="str">
        <f t="shared" si="32"/>
        <v>llll</v>
      </c>
      <c r="H1132" t="str">
        <f>[1]!SplitText(A1132,"(",1)</f>
        <v>endCreatePoints</v>
      </c>
    </row>
    <row r="1133" spans="1:8">
      <c r="A1133" s="176" t="s">
        <v>4112</v>
      </c>
      <c r="B1133" s="8" t="s">
        <v>4113</v>
      </c>
      <c r="C1133" s="91" t="s">
        <v>4115</v>
      </c>
      <c r="G1133" t="str">
        <f t="shared" si="32"/>
        <v>llll</v>
      </c>
      <c r="H1133" t="str">
        <f>[1]!SplitText(A1133,"(",1)</f>
        <v xml:space="preserve">query </v>
      </c>
    </row>
    <row r="1134" spans="1:8" ht="17.25" thickBot="1">
      <c r="A1134" s="145" t="s">
        <v>4116</v>
      </c>
      <c r="B1134" s="5" t="s">
        <v>1557</v>
      </c>
      <c r="C1134" s="6" t="s">
        <v>4117</v>
      </c>
      <c r="G1134" t="str">
        <f t="shared" si="32"/>
        <v>llll</v>
      </c>
      <c r="H1134" t="str">
        <f>[1]!SplitText(A1134,"(",1)</f>
        <v xml:space="preserve">querySelected </v>
      </c>
    </row>
    <row r="1135" spans="1:8" ht="90.75" thickBot="1">
      <c r="A1135" s="162" t="s">
        <v>4119</v>
      </c>
      <c r="B1135" s="5" t="s">
        <v>4120</v>
      </c>
      <c r="C1135" s="6" t="s">
        <v>4121</v>
      </c>
      <c r="G1135" t="str">
        <f t="shared" si="32"/>
        <v>llll</v>
      </c>
      <c r="H1135" t="str">
        <f>[1]!SplitText(A1135,"(",1)</f>
        <v xml:space="preserve">createSpla </v>
      </c>
    </row>
    <row r="1136" spans="1:8" ht="60.75" thickBot="1">
      <c r="A1136" s="145" t="s">
        <v>4122</v>
      </c>
      <c r="B1136" s="5" t="s">
        <v>4123</v>
      </c>
      <c r="C1136" s="6" t="s">
        <v>4124</v>
      </c>
      <c r="G1136" t="str">
        <f t="shared" si="32"/>
        <v>llll</v>
      </c>
      <c r="H1136" t="str">
        <f>[1]!SplitText(A1136,"(",1)</f>
        <v xml:space="preserve">createFpla </v>
      </c>
    </row>
    <row r="1137" spans="1:8" ht="45.75" thickBot="1">
      <c r="A1137" s="145" t="s">
        <v>4125</v>
      </c>
      <c r="B1137" s="5" t="s">
        <v>4123</v>
      </c>
      <c r="C1137" s="6" t="s">
        <v>4126</v>
      </c>
      <c r="G1137" t="str">
        <f t="shared" si="32"/>
        <v>llll</v>
      </c>
      <c r="H1137" t="str">
        <f>[1]!SplitText(A1137,"(",1)</f>
        <v xml:space="preserve">createPpla </v>
      </c>
    </row>
    <row r="1138" spans="1:8">
      <c r="A1138" s="117" t="s">
        <v>4127</v>
      </c>
      <c r="G1138" t="str">
        <f t="shared" si="32"/>
        <v>o</v>
      </c>
      <c r="H1138" t="str">
        <f>[1]!SplitText(A1138,"(",1)</f>
        <v>Table 2: 110. Selection Plane Manager Object Methods</v>
      </c>
    </row>
    <row r="1139" spans="1:8" ht="17.25" thickBot="1">
      <c r="A1139" s="115" t="s">
        <v>4128</v>
      </c>
      <c r="B1139" s="115" t="s">
        <v>4129</v>
      </c>
      <c r="G1139" t="str">
        <f t="shared" si="32"/>
        <v>llll</v>
      </c>
      <c r="H1139" t="str">
        <f>[1]!SplitText(A1139,"(",1)</f>
        <v>2.5.61</v>
      </c>
    </row>
    <row r="1140" spans="1:8" ht="17.25" thickBot="1">
      <c r="A1140" s="102" t="s">
        <v>1591</v>
      </c>
      <c r="B1140" s="103" t="s">
        <v>1635</v>
      </c>
      <c r="C1140" s="103" t="s">
        <v>1593</v>
      </c>
      <c r="G1140" t="str">
        <f t="shared" si="32"/>
        <v>llll</v>
      </c>
      <c r="H1140" t="str">
        <f>[1]!SplitText(A1140,"(",1)</f>
        <v>Name</v>
      </c>
    </row>
    <row r="1141" spans="1:8" ht="26.25" thickBot="1">
      <c r="A1141" s="4" t="s">
        <v>5562</v>
      </c>
      <c r="B1141" s="6" t="s">
        <v>5273</v>
      </c>
      <c r="C1141" s="6" t="s">
        <v>6110</v>
      </c>
      <c r="G1141" t="str">
        <f t="shared" si="32"/>
        <v>llll</v>
      </c>
      <c r="H1141" t="str">
        <f>[1]!SplitText(A1141,"(",1)</f>
        <v xml:space="preserve">  Add</v>
      </c>
    </row>
    <row r="1142" spans="1:8" ht="39" thickBot="1">
      <c r="A1142" s="4" t="s">
        <v>5564</v>
      </c>
      <c r="B1142" s="6" t="s">
        <v>5273</v>
      </c>
      <c r="C1142" s="6" t="s">
        <v>6112</v>
      </c>
      <c r="G1142" t="str">
        <f t="shared" si="32"/>
        <v>llll</v>
      </c>
      <c r="H1142" t="str">
        <f>[1]!SplitText(A1142,"(",1)</f>
        <v xml:space="preserve">  Add</v>
      </c>
    </row>
    <row r="1143" spans="1:8" ht="17.25" thickBot="1">
      <c r="A1143" s="92" t="s">
        <v>5464</v>
      </c>
      <c r="B1143" s="8" t="s">
        <v>6562</v>
      </c>
      <c r="C1143" s="91" t="s">
        <v>6957</v>
      </c>
      <c r="G1143" t="str">
        <f t="shared" si="32"/>
        <v>llll</v>
      </c>
      <c r="H1143" t="str">
        <f>[1]!SplitText(A1143,"(",1)</f>
        <v xml:space="preserve">  Val  </v>
      </c>
    </row>
    <row r="1144" spans="1:8" ht="17.25" thickBot="1">
      <c r="A1144" s="92" t="s">
        <v>5464</v>
      </c>
      <c r="B1144" s="7" t="s">
        <v>6958</v>
      </c>
      <c r="C1144" s="91" t="s">
        <v>6959</v>
      </c>
      <c r="G1144" t="str">
        <f t="shared" si="32"/>
        <v>llll</v>
      </c>
      <c r="H1144" t="str">
        <f>[1]!SplitText(A1144,"(",1)</f>
        <v xml:space="preserve">  Val  </v>
      </c>
    </row>
    <row r="1145" spans="1:8" ht="17.25" thickBot="1">
      <c r="A1145" s="92" t="s">
        <v>5540</v>
      </c>
      <c r="B1145" s="8" t="s">
        <v>6960</v>
      </c>
      <c r="C1145" s="91" t="s">
        <v>5542</v>
      </c>
      <c r="G1145" t="str">
        <f t="shared" si="32"/>
        <v>llll</v>
      </c>
      <c r="H1145" t="str">
        <f>[1]!SplitText(A1145,"(",1)</f>
        <v xml:space="preserve">  DText  </v>
      </c>
    </row>
    <row r="1146" spans="1:8">
      <c r="A1146" s="92" t="s">
        <v>6098</v>
      </c>
      <c r="B1146" s="8" t="s">
        <v>6099</v>
      </c>
      <c r="C1146" s="91" t="s">
        <v>6100</v>
      </c>
      <c r="G1146" t="str">
        <f t="shared" si="32"/>
        <v>llll</v>
      </c>
      <c r="H1146" t="str">
        <f>[1]!SplitText(A1146,"(",1)</f>
        <v xml:space="preserve">  DText[n] </v>
      </c>
    </row>
    <row r="1147" spans="1:8" ht="17.25" thickBot="1">
      <c r="A1147" s="4" t="s">
        <v>6101</v>
      </c>
      <c r="B1147" s="5" t="s">
        <v>6102</v>
      </c>
      <c r="C1147" s="5" t="s">
        <v>6103</v>
      </c>
      <c r="G1147" t="str">
        <f t="shared" si="32"/>
        <v>llll</v>
      </c>
      <c r="H1147" t="str">
        <f>[1]!SplitText(A1147,"(",1)</f>
        <v xml:space="preserve">  PickedField</v>
      </c>
    </row>
    <row r="1148" spans="1:8" ht="17.25" thickBot="1">
      <c r="A1148" s="4" t="s">
        <v>5388</v>
      </c>
      <c r="B1148" s="5" t="s">
        <v>5177</v>
      </c>
      <c r="C1148" s="5" t="s">
        <v>5469</v>
      </c>
      <c r="G1148" t="str">
        <f t="shared" si="32"/>
        <v>llll</v>
      </c>
      <c r="H1148" t="str">
        <f>[1]!SplitText(A1148,"(",1)</f>
        <v xml:space="preserve">  FullName</v>
      </c>
    </row>
    <row r="1149" spans="1:8" ht="17.25" thickBot="1">
      <c r="A1149" s="4" t="s">
        <v>5470</v>
      </c>
      <c r="B1149" s="5" t="s">
        <v>5177</v>
      </c>
      <c r="C1149" s="5" t="s">
        <v>5471</v>
      </c>
      <c r="G1149" t="str">
        <f t="shared" si="32"/>
        <v>llll</v>
      </c>
      <c r="H1149" t="str">
        <f>[1]!SplitText(A1149,"(",1)</f>
        <v xml:space="preserve">  Name</v>
      </c>
    </row>
    <row r="1150" spans="1:8" ht="17.25" thickBot="1">
      <c r="A1150" s="4" t="s">
        <v>5396</v>
      </c>
      <c r="B1150" s="5" t="s">
        <v>4994</v>
      </c>
      <c r="C1150" s="5" t="s">
        <v>5397</v>
      </c>
      <c r="G1150" t="str">
        <f t="shared" si="32"/>
        <v>llll</v>
      </c>
      <c r="H1150" t="str">
        <f>[1]!SplitText(A1150,"(",1)</f>
        <v xml:space="preserve">  Owner</v>
      </c>
    </row>
    <row r="1151" spans="1:8" ht="17.25" thickBot="1">
      <c r="A1151" s="4" t="s">
        <v>5404</v>
      </c>
      <c r="B1151" s="5" t="s">
        <v>5265</v>
      </c>
      <c r="C1151" s="5" t="s">
        <v>5585</v>
      </c>
      <c r="G1151" t="str">
        <f t="shared" si="32"/>
        <v>llll</v>
      </c>
      <c r="H1151" t="str">
        <f>[1]!SplitText(A1151,"(",1)</f>
        <v xml:space="preserve">  Shown</v>
      </c>
    </row>
    <row r="1152" spans="1:8" ht="17.25" thickBot="1">
      <c r="A1152" s="4" t="s">
        <v>5406</v>
      </c>
      <c r="B1152" s="5" t="s">
        <v>5177</v>
      </c>
      <c r="C1152" s="5" t="s">
        <v>6326</v>
      </c>
      <c r="G1152" t="str">
        <f t="shared" si="32"/>
        <v>llll</v>
      </c>
      <c r="H1152" t="str">
        <f>[1]!SplitText(A1152,"(",1)</f>
        <v xml:space="preserve">  Type</v>
      </c>
    </row>
    <row r="1153" spans="1:8" ht="27">
      <c r="A1153" s="92" t="s">
        <v>6961</v>
      </c>
      <c r="B1153" s="91" t="s">
        <v>5316</v>
      </c>
      <c r="C1153" s="7" t="s">
        <v>6962</v>
      </c>
      <c r="G1153" t="str">
        <f t="shared" si="32"/>
        <v>llll</v>
      </c>
      <c r="H1153" t="str">
        <f>[1]!SplitText(A1153,"(",1)</f>
        <v xml:space="preserve">  Select</v>
      </c>
    </row>
    <row r="1154" spans="1:8" ht="39" thickBot="1">
      <c r="A1154" s="4" t="s">
        <v>6963</v>
      </c>
      <c r="B1154" s="6" t="s">
        <v>5273</v>
      </c>
      <c r="C1154" s="6" t="s">
        <v>6964</v>
      </c>
      <c r="G1154" t="str">
        <f t="shared" si="32"/>
        <v>llll</v>
      </c>
      <c r="H1154" t="str">
        <f>[1]!SplitText(A1154,"(",1)</f>
        <v xml:space="preserve">  Select</v>
      </c>
    </row>
    <row r="1155" spans="1:8" ht="27">
      <c r="A1155" s="92" t="s">
        <v>6965</v>
      </c>
      <c r="B1155" s="8" t="s">
        <v>6966</v>
      </c>
      <c r="C1155" s="91" t="s">
        <v>6967</v>
      </c>
      <c r="G1155" t="str">
        <f t="shared" si="32"/>
        <v>llll</v>
      </c>
      <c r="H1155" t="str">
        <f>[1]!SplitText(A1155,"(",1)</f>
        <v xml:space="preserve">  Selection</v>
      </c>
    </row>
    <row r="1156" spans="1:8" ht="17.25" thickBot="1">
      <c r="A1156" s="4" t="s">
        <v>5930</v>
      </c>
      <c r="B1156" s="6" t="s">
        <v>5273</v>
      </c>
      <c r="C1156" s="6" t="s">
        <v>5474</v>
      </c>
      <c r="G1156" t="str">
        <f t="shared" si="32"/>
        <v>llll</v>
      </c>
      <c r="H1156" t="str">
        <f>[1]!SplitText(A1156,"(",1)</f>
        <v xml:space="preserve">  SetPopup</v>
      </c>
    </row>
    <row r="1157" spans="1:8" ht="17.25" thickBot="1">
      <c r="A1157" s="4" t="s">
        <v>5480</v>
      </c>
      <c r="B1157" s="6" t="s">
        <v>5273</v>
      </c>
      <c r="C1157" s="5" t="s">
        <v>5481</v>
      </c>
      <c r="G1157" t="str">
        <f t="shared" si="32"/>
        <v>llll</v>
      </c>
      <c r="H1157" t="str">
        <f>[1]!SplitText(A1157,"(",1)</f>
        <v xml:space="preserve">  SetFocus</v>
      </c>
    </row>
    <row r="1158" spans="1:8" ht="17.25" thickBot="1">
      <c r="A1158" s="4" t="s">
        <v>5486</v>
      </c>
      <c r="B1158" s="6" t="s">
        <v>5273</v>
      </c>
      <c r="C1158" s="5" t="s">
        <v>6955</v>
      </c>
      <c r="G1158" t="str">
        <f t="shared" ref="G1158:G1204" si="33">IF(ISERROR(SEARCH("table 2:",A1158&amp;B1158&amp;C1158&amp;D1158&amp;E1158&amp;F1158,1)*1),"llll","o")</f>
        <v>llll</v>
      </c>
      <c r="H1158" t="str">
        <f>[1]!SplitText(A1158,"(",1)</f>
        <v xml:space="preserve">  SetToolTip</v>
      </c>
    </row>
    <row r="1159" spans="1:8" ht="17.25" thickBot="1">
      <c r="A1159" s="4" t="s">
        <v>5482</v>
      </c>
      <c r="B1159" s="6" t="s">
        <v>5273</v>
      </c>
      <c r="C1159" s="5" t="s">
        <v>5582</v>
      </c>
      <c r="G1159" t="str">
        <f t="shared" si="33"/>
        <v>llll</v>
      </c>
      <c r="H1159" t="str">
        <f>[1]!SplitText(A1159,"(",1)</f>
        <v xml:space="preserve">  Refresh</v>
      </c>
    </row>
    <row r="1160" spans="1:8" ht="17.25" thickBot="1">
      <c r="A1160" s="4" t="s">
        <v>5932</v>
      </c>
      <c r="B1160" s="6" t="s">
        <v>5273</v>
      </c>
      <c r="C1160" s="6" t="s">
        <v>5476</v>
      </c>
      <c r="G1160" t="str">
        <f t="shared" si="33"/>
        <v>llll</v>
      </c>
      <c r="H1160" t="str">
        <f>[1]!SplitText(A1160,"(",1)</f>
        <v xml:space="preserve">  RemovePopup</v>
      </c>
    </row>
    <row r="1161" spans="1:8" ht="17.25" thickBot="1">
      <c r="A1161" s="4" t="s">
        <v>5477</v>
      </c>
      <c r="B1161" s="5" t="s">
        <v>5478</v>
      </c>
      <c r="C1161" s="6" t="s">
        <v>5584</v>
      </c>
      <c r="G1161" t="str">
        <f t="shared" si="33"/>
        <v>llll</v>
      </c>
      <c r="H1161" t="str">
        <f>[1]!SplitText(A1161,"(",1)</f>
        <v xml:space="preserve">  GetPickedPopup</v>
      </c>
    </row>
    <row r="1162" spans="1:8" ht="17.25" thickBot="1">
      <c r="A1162" s="4" t="s">
        <v>5277</v>
      </c>
      <c r="B1162" s="6" t="s">
        <v>5273</v>
      </c>
      <c r="C1162" s="5" t="s">
        <v>6968</v>
      </c>
      <c r="G1162" t="str">
        <f t="shared" si="33"/>
        <v>llll</v>
      </c>
      <c r="H1162" t="str">
        <f>[1]!SplitText(A1162,"(",1)</f>
        <v xml:space="preserve">  Clear</v>
      </c>
    </row>
    <row r="1163" spans="1:8" ht="17.25" thickBot="1">
      <c r="A1163" s="4" t="s">
        <v>5567</v>
      </c>
      <c r="B1163" s="6" t="s">
        <v>5273</v>
      </c>
      <c r="C1163" s="5" t="s">
        <v>6969</v>
      </c>
      <c r="G1163" t="str">
        <f t="shared" si="33"/>
        <v>llll</v>
      </c>
      <c r="H1163" t="str">
        <f>[1]!SplitText(A1163,"(",1)</f>
        <v xml:space="preserve">  ClearSelection</v>
      </c>
    </row>
    <row r="1164" spans="1:8" ht="63.75">
      <c r="A1164" s="92" t="s">
        <v>5484</v>
      </c>
      <c r="B1164" s="91" t="s">
        <v>5174</v>
      </c>
      <c r="C1164" s="8" t="s">
        <v>5485</v>
      </c>
      <c r="G1164" t="str">
        <f t="shared" si="33"/>
        <v>llll</v>
      </c>
      <c r="H1164" t="str">
        <f>[1]!SplitText(A1164,"(",1)</f>
        <v xml:space="preserve">  Background</v>
      </c>
    </row>
    <row r="1165" spans="1:8">
      <c r="A1165" s="117" t="s">
        <v>4142</v>
      </c>
      <c r="G1165" t="str">
        <f t="shared" si="33"/>
        <v>o</v>
      </c>
      <c r="H1165" t="str">
        <f>[1]!SplitText(A1165,"(",1)</f>
        <v>Table 2: 112. SELECTOR Object Methods</v>
      </c>
    </row>
    <row r="1166" spans="1:8" ht="17.25" thickBot="1">
      <c r="A1166" s="115" t="s">
        <v>4162</v>
      </c>
      <c r="B1166" s="115" t="s">
        <v>4163</v>
      </c>
      <c r="G1166" t="str">
        <f t="shared" si="33"/>
        <v>llll</v>
      </c>
      <c r="H1166" t="str">
        <f>[1]!SplitText(A1166,"(",1)</f>
        <v>2.5.62</v>
      </c>
    </row>
    <row r="1167" spans="1:8" ht="17.25" thickBot="1">
      <c r="A1167" s="102" t="s">
        <v>1591</v>
      </c>
      <c r="B1167" s="103" t="s">
        <v>1635</v>
      </c>
      <c r="C1167" s="103" t="s">
        <v>1593</v>
      </c>
      <c r="G1167" t="str">
        <f t="shared" si="33"/>
        <v>llll</v>
      </c>
      <c r="H1167" t="str">
        <f>[1]!SplitText(A1167,"(",1)</f>
        <v>Name</v>
      </c>
    </row>
    <row r="1168" spans="1:8" ht="17.25" thickBot="1">
      <c r="A1168" s="92" t="s">
        <v>6970</v>
      </c>
      <c r="B1168" s="8" t="s">
        <v>5596</v>
      </c>
      <c r="C1168" s="91" t="s">
        <v>6971</v>
      </c>
      <c r="G1168" t="str">
        <f t="shared" si="33"/>
        <v>llll</v>
      </c>
      <c r="H1168" t="str">
        <f>[1]!SplitText(A1168,"(",1)</f>
        <v xml:space="preserve">  UniqueID </v>
      </c>
    </row>
    <row r="1169" spans="1:8" ht="17.25" thickBot="1">
      <c r="A1169" s="92" t="s">
        <v>6972</v>
      </c>
      <c r="B1169" s="8" t="s">
        <v>5596</v>
      </c>
      <c r="C1169" s="91" t="s">
        <v>6973</v>
      </c>
      <c r="G1169" t="str">
        <f t="shared" si="33"/>
        <v>llll</v>
      </c>
      <c r="H1169" t="str">
        <f>[1]!SplitText(A1169,"(",1)</f>
        <v xml:space="preserve">  Name  </v>
      </c>
    </row>
    <row r="1170" spans="1:8" ht="17.25" thickBot="1">
      <c r="A1170" s="92" t="s">
        <v>6974</v>
      </c>
      <c r="B1170" s="8" t="s">
        <v>5596</v>
      </c>
      <c r="C1170" s="91" t="s">
        <v>6975</v>
      </c>
      <c r="G1170" t="str">
        <f t="shared" si="33"/>
        <v>llll</v>
      </c>
      <c r="H1170" t="str">
        <f>[1]!SplitText(A1170,"(",1)</f>
        <v xml:space="preserve">  Login  </v>
      </c>
    </row>
    <row r="1171" spans="1:8" ht="17.25" thickBot="1">
      <c r="A1171" s="92" t="s">
        <v>6976</v>
      </c>
      <c r="B1171" s="8" t="s">
        <v>5596</v>
      </c>
      <c r="C1171" s="91" t="s">
        <v>6977</v>
      </c>
      <c r="G1171" t="str">
        <f t="shared" si="33"/>
        <v>llll</v>
      </c>
      <c r="H1171" t="str">
        <f>[1]!SplitText(A1171,"(",1)</f>
        <v xml:space="preserve">  Host  </v>
      </c>
    </row>
    <row r="1172" spans="1:8" ht="17.25" thickBot="1">
      <c r="A1172" s="92" t="s">
        <v>6978</v>
      </c>
      <c r="B1172" s="8" t="s">
        <v>5596</v>
      </c>
      <c r="C1172" s="91" t="s">
        <v>6979</v>
      </c>
      <c r="G1172" t="str">
        <f t="shared" si="33"/>
        <v>llll</v>
      </c>
      <c r="H1172" t="str">
        <f>[1]!SplitText(A1172,"(",1)</f>
        <v xml:space="preserve">  Entered  </v>
      </c>
    </row>
    <row r="1173" spans="1:8" ht="17.25" thickBot="1">
      <c r="A1173" s="92" t="s">
        <v>6980</v>
      </c>
      <c r="B1173" s="8" t="s">
        <v>5596</v>
      </c>
      <c r="C1173" s="8" t="s">
        <v>6981</v>
      </c>
      <c r="G1173" t="str">
        <f t="shared" si="33"/>
        <v>llll</v>
      </c>
      <c r="H1173" t="str">
        <f>[1]!SplitText(A1173,"(",1)</f>
        <v xml:space="preserve">  LocationName </v>
      </c>
    </row>
    <row r="1174" spans="1:8" ht="17.25" thickBot="1">
      <c r="A1174" s="92" t="s">
        <v>6982</v>
      </c>
      <c r="B1174" s="8" t="s">
        <v>5596</v>
      </c>
      <c r="C1174" s="91" t="s">
        <v>6983</v>
      </c>
      <c r="G1174" t="str">
        <f t="shared" si="33"/>
        <v>llll</v>
      </c>
      <c r="H1174" t="str">
        <f>[1]!SplitText(A1174,"(",1)</f>
        <v xml:space="preserve">  IsRemote </v>
      </c>
    </row>
    <row r="1175" spans="1:8">
      <c r="A1175" s="92" t="s">
        <v>6984</v>
      </c>
      <c r="B1175" s="8" t="s">
        <v>5552</v>
      </c>
      <c r="C1175" s="8" t="s">
        <v>6985</v>
      </c>
      <c r="G1175" t="str">
        <f t="shared" si="33"/>
        <v>llll</v>
      </c>
      <c r="H1175" t="str">
        <f>[1]!SplitText(A1175,"(",1)</f>
        <v xml:space="preserve">  IsCurrent  </v>
      </c>
    </row>
    <row r="1176" spans="1:8" ht="26.25" thickBot="1">
      <c r="A1176" s="4" t="s">
        <v>6986</v>
      </c>
      <c r="B1176" s="5" t="s">
        <v>6654</v>
      </c>
      <c r="C1176" s="6" t="s">
        <v>6987</v>
      </c>
      <c r="G1176" t="str">
        <f t="shared" si="33"/>
        <v>llll</v>
      </c>
      <c r="H1176" t="str">
        <f>[1]!SplitText(A1176,"(",1)</f>
        <v xml:space="preserve">  SESSION </v>
      </c>
    </row>
    <row r="1177" spans="1:8" ht="39" thickBot="1">
      <c r="A1177" s="145" t="s">
        <v>6988</v>
      </c>
      <c r="B1177" s="5" t="s">
        <v>5265</v>
      </c>
      <c r="C1177" s="6" t="s">
        <v>6989</v>
      </c>
      <c r="G1177" t="str">
        <f t="shared" si="33"/>
        <v>llll</v>
      </c>
      <c r="H1177" t="str">
        <f>[1]!SplitText(A1177,"(",1)</f>
        <v xml:space="preserve">  ConfirmID </v>
      </c>
    </row>
    <row r="1178" spans="1:8" ht="17.25" thickBot="1">
      <c r="A1178" s="4" t="s">
        <v>6990</v>
      </c>
      <c r="B1178" s="5" t="s">
        <v>6154</v>
      </c>
      <c r="C1178" s="6" t="s">
        <v>6991</v>
      </c>
      <c r="G1178" t="str">
        <f t="shared" si="33"/>
        <v>llll</v>
      </c>
      <c r="H1178" t="str">
        <f>[1]!SplitText(A1178,"(",1)</f>
        <v xml:space="preserve">  Current</v>
      </c>
    </row>
    <row r="1179" spans="1:8" ht="17.25" thickBot="1">
      <c r="A1179" s="4" t="s">
        <v>6992</v>
      </c>
      <c r="B1179" s="5" t="s">
        <v>6154</v>
      </c>
      <c r="C1179" s="6" t="s">
        <v>6993</v>
      </c>
      <c r="G1179" t="str">
        <f t="shared" si="33"/>
        <v>llll</v>
      </c>
      <c r="H1179" t="str">
        <f>[1]!SplitText(A1179,"(",1)</f>
        <v xml:space="preserve">  Deferred</v>
      </c>
    </row>
    <row r="1180" spans="1:8" ht="26.25" thickBot="1">
      <c r="A1180" s="4" t="s">
        <v>6994</v>
      </c>
      <c r="B1180" s="5" t="s">
        <v>6149</v>
      </c>
      <c r="C1180" s="6" t="s">
        <v>6995</v>
      </c>
      <c r="G1180" t="str">
        <f t="shared" si="33"/>
        <v>llll</v>
      </c>
      <c r="H1180" t="str">
        <f>[1]!SplitText(A1180,"(",1)</f>
        <v xml:space="preserve">  Location</v>
      </c>
    </row>
    <row r="1181" spans="1:8" ht="17.25" thickBot="1">
      <c r="A1181" s="4" t="s">
        <v>6996</v>
      </c>
      <c r="B1181" s="5" t="s">
        <v>6170</v>
      </c>
      <c r="C1181" s="5" t="s">
        <v>6997</v>
      </c>
      <c r="G1181" t="str">
        <f t="shared" si="33"/>
        <v>llll</v>
      </c>
      <c r="H1181" t="str">
        <f>[1]!SplitText(A1181,"(",1)</f>
        <v xml:space="preserve">  MDB</v>
      </c>
    </row>
    <row r="1182" spans="1:8" ht="26.25" thickBot="1">
      <c r="A1182" s="4" t="s">
        <v>6998</v>
      </c>
      <c r="B1182" s="5" t="s">
        <v>5702</v>
      </c>
      <c r="C1182" s="6" t="s">
        <v>6999</v>
      </c>
      <c r="G1182" t="str">
        <f t="shared" si="33"/>
        <v>llll</v>
      </c>
      <c r="H1182" t="str">
        <f>[1]!SplitText(A1182,"(",1)</f>
        <v xml:space="preserve">  Mode</v>
      </c>
    </row>
    <row r="1183" spans="1:8" ht="17.25" thickBot="1">
      <c r="A1183" s="4" t="s">
        <v>7000</v>
      </c>
      <c r="B1183" s="5" t="s">
        <v>5265</v>
      </c>
      <c r="C1183" s="5" t="s">
        <v>7001</v>
      </c>
      <c r="G1183" t="str">
        <f t="shared" si="33"/>
        <v>llll</v>
      </c>
      <c r="H1183" t="str">
        <f>[1]!SplitText(A1183,"(",1)</f>
        <v xml:space="preserve">  Modified</v>
      </c>
    </row>
    <row r="1184" spans="1:8" ht="17.25" thickBot="1">
      <c r="A1184" s="4" t="s">
        <v>7002</v>
      </c>
      <c r="B1184" s="5" t="s">
        <v>5177</v>
      </c>
      <c r="C1184" s="5" t="s">
        <v>7003</v>
      </c>
      <c r="G1184" t="str">
        <f t="shared" si="33"/>
        <v>llll</v>
      </c>
      <c r="H1184" t="str">
        <f>[1]!SplitText(A1184,"(",1)</f>
        <v xml:space="preserve">  Module</v>
      </c>
    </row>
    <row r="1185" spans="1:8" ht="26.25" thickBot="1">
      <c r="A1185" s="4" t="s">
        <v>7004</v>
      </c>
      <c r="B1185" s="5" t="s">
        <v>5373</v>
      </c>
      <c r="C1185" s="6" t="s">
        <v>7005</v>
      </c>
      <c r="G1185" t="str">
        <f t="shared" si="33"/>
        <v>llll</v>
      </c>
      <c r="H1185" t="str">
        <f>[1]!SplitText(A1185,"(",1)</f>
        <v xml:space="preserve">  Status</v>
      </c>
    </row>
    <row r="1186" spans="1:8" ht="17.25" thickBot="1">
      <c r="A1186" s="4" t="s">
        <v>7006</v>
      </c>
      <c r="B1186" s="5" t="s">
        <v>7007</v>
      </c>
      <c r="C1186" s="5" t="s">
        <v>7008</v>
      </c>
      <c r="G1186" t="str">
        <f t="shared" si="33"/>
        <v>llll</v>
      </c>
      <c r="H1186" t="str">
        <f>[1]!SplitText(A1186,"(",1)</f>
        <v xml:space="preserve">  User</v>
      </c>
    </row>
    <row r="1187" spans="1:8">
      <c r="A1187" s="117" t="s">
        <v>4203</v>
      </c>
      <c r="G1187" t="str">
        <f t="shared" si="33"/>
        <v>o</v>
      </c>
      <c r="H1187" t="str">
        <f>[1]!SplitText(A1187,"(",1)</f>
        <v>Table 2: 114. SESSION Object Methods</v>
      </c>
    </row>
    <row r="1188" spans="1:8" ht="17.25" thickBot="1">
      <c r="A1188" s="115" t="s">
        <v>4214</v>
      </c>
      <c r="B1188" s="115" t="s">
        <v>4215</v>
      </c>
      <c r="G1188" t="str">
        <f t="shared" si="33"/>
        <v>llll</v>
      </c>
      <c r="H1188" t="str">
        <f>[1]!SplitText(A1188,"(",1)</f>
        <v>2.5.63</v>
      </c>
    </row>
    <row r="1189" spans="1:8" ht="17.25" thickBot="1">
      <c r="A1189" s="102" t="s">
        <v>1591</v>
      </c>
      <c r="B1189" s="103" t="s">
        <v>1635</v>
      </c>
      <c r="C1189" s="103" t="s">
        <v>1593</v>
      </c>
      <c r="G1189" t="str">
        <f t="shared" si="33"/>
        <v>llll</v>
      </c>
      <c r="H1189" t="str">
        <f>[1]!SplitText(A1189,"(",1)</f>
        <v>Name</v>
      </c>
    </row>
    <row r="1190" spans="1:8" ht="17.25" thickBot="1">
      <c r="A1190" s="92" t="s">
        <v>6943</v>
      </c>
      <c r="B1190" s="8" t="s">
        <v>5552</v>
      </c>
      <c r="C1190" s="91" t="s">
        <v>6944</v>
      </c>
      <c r="G1190" t="str">
        <f t="shared" si="33"/>
        <v>llll</v>
      </c>
      <c r="H1190" t="str">
        <f>[1]!SplitText(A1190,"(",1)</f>
        <v xml:space="preserve">  visible </v>
      </c>
    </row>
    <row r="1191" spans="1:8" ht="17.25" thickBot="1">
      <c r="A1191" s="92" t="s">
        <v>6945</v>
      </c>
      <c r="B1191" s="8" t="s">
        <v>5552</v>
      </c>
      <c r="C1191" s="91" t="s">
        <v>6946</v>
      </c>
      <c r="G1191" t="str">
        <f t="shared" si="33"/>
        <v>llll</v>
      </c>
      <c r="H1191" t="str">
        <f>[1]!SplitText(A1191,"(",1)</f>
        <v xml:space="preserve">  active </v>
      </c>
    </row>
    <row r="1192" spans="1:8" ht="17.25" thickBot="1">
      <c r="A1192" s="92" t="s">
        <v>6947</v>
      </c>
      <c r="B1192" s="8" t="s">
        <v>5596</v>
      </c>
      <c r="C1192" s="91" t="s">
        <v>6948</v>
      </c>
      <c r="G1192" t="str">
        <f t="shared" si="33"/>
        <v>llll</v>
      </c>
      <c r="H1192" t="str">
        <f>[1]!SplitText(A1192,"(",1)</f>
        <v xml:space="preserve">  callback </v>
      </c>
    </row>
    <row r="1193" spans="1:8">
      <c r="A1193" s="92" t="s">
        <v>6949</v>
      </c>
      <c r="B1193" s="8" t="s">
        <v>5596</v>
      </c>
      <c r="C1193" s="91" t="s">
        <v>7009</v>
      </c>
      <c r="G1193" t="str">
        <f t="shared" si="33"/>
        <v>llll</v>
      </c>
      <c r="H1193" t="str">
        <f>[1]!SplitText(A1193,"(",1)</f>
        <v xml:space="preserve">  tag </v>
      </c>
    </row>
    <row r="1194" spans="1:8" ht="17.25" thickBot="1">
      <c r="A1194" s="4" t="s">
        <v>6108</v>
      </c>
      <c r="B1194" s="5" t="s">
        <v>5186</v>
      </c>
      <c r="C1194" s="5" t="s">
        <v>7010</v>
      </c>
      <c r="G1194" t="str">
        <f t="shared" si="33"/>
        <v>llll</v>
      </c>
      <c r="H1194" t="str">
        <f>[1]!SplitText(A1194,"(",1)</f>
        <v xml:space="preserve">  val</v>
      </c>
    </row>
    <row r="1195" spans="1:8" ht="17.25" thickBot="1">
      <c r="A1195" s="4" t="s">
        <v>7011</v>
      </c>
      <c r="B1195" s="5" t="s">
        <v>5186</v>
      </c>
      <c r="C1195" s="5" t="s">
        <v>7012</v>
      </c>
      <c r="G1195" t="str">
        <f t="shared" si="33"/>
        <v>llll</v>
      </c>
      <c r="H1195" t="str">
        <f>[1]!SplitText(A1195,"(",1)</f>
        <v xml:space="preserve">  background</v>
      </c>
    </row>
    <row r="1196" spans="1:8" ht="17.25" thickBot="1">
      <c r="A1196" s="4" t="s">
        <v>7011</v>
      </c>
      <c r="B1196" s="5" t="s">
        <v>7013</v>
      </c>
      <c r="C1196" s="5" t="s">
        <v>7014</v>
      </c>
      <c r="G1196" t="str">
        <f t="shared" si="33"/>
        <v>llll</v>
      </c>
      <c r="H1196" t="str">
        <f>[1]!SplitText(A1196,"(",1)</f>
        <v xml:space="preserve">  background</v>
      </c>
    </row>
    <row r="1197" spans="1:8" ht="26.25" thickBot="1">
      <c r="A1197" s="92" t="s">
        <v>7015</v>
      </c>
      <c r="B1197" s="8" t="s">
        <v>7016</v>
      </c>
      <c r="C1197" s="91" t="s">
        <v>7017</v>
      </c>
      <c r="G1197" t="str">
        <f t="shared" si="33"/>
        <v>llll</v>
      </c>
      <c r="H1197" t="str">
        <f>[1]!SplitText(A1197,"(",1)</f>
        <v xml:space="preserve">  range  </v>
      </c>
    </row>
    <row r="1198" spans="1:8" ht="25.5">
      <c r="A1198" s="92" t="s">
        <v>7018</v>
      </c>
      <c r="B1198" s="91" t="s">
        <v>5729</v>
      </c>
      <c r="C1198" s="8" t="s">
        <v>7019</v>
      </c>
      <c r="G1198" t="str">
        <f t="shared" si="33"/>
        <v>llll</v>
      </c>
      <c r="H1198" t="str">
        <f>[1]!SplitText(A1198,"(",1)</f>
        <v xml:space="preserve">  tickstyle </v>
      </c>
    </row>
    <row r="1199" spans="1:8" ht="17.25" thickBot="1">
      <c r="A1199" s="4" t="s">
        <v>5388</v>
      </c>
      <c r="B1199" s="5" t="s">
        <v>5177</v>
      </c>
      <c r="C1199" s="5" t="s">
        <v>5469</v>
      </c>
      <c r="G1199" t="str">
        <f t="shared" si="33"/>
        <v>llll</v>
      </c>
      <c r="H1199" t="str">
        <f>[1]!SplitText(A1199,"(",1)</f>
        <v xml:space="preserve">  FullName</v>
      </c>
    </row>
    <row r="1200" spans="1:8" ht="17.25" thickBot="1">
      <c r="A1200" s="4" t="s">
        <v>5470</v>
      </c>
      <c r="B1200" s="5" t="s">
        <v>5177</v>
      </c>
      <c r="C1200" s="5" t="s">
        <v>5471</v>
      </c>
      <c r="G1200" t="str">
        <f t="shared" si="33"/>
        <v>llll</v>
      </c>
      <c r="H1200" t="str">
        <f>[1]!SplitText(A1200,"(",1)</f>
        <v xml:space="preserve">  Name</v>
      </c>
    </row>
    <row r="1201" spans="1:8" ht="17.25" thickBot="1">
      <c r="A1201" s="4" t="s">
        <v>5396</v>
      </c>
      <c r="B1201" s="5" t="s">
        <v>4994</v>
      </c>
      <c r="C1201" s="5" t="s">
        <v>5472</v>
      </c>
      <c r="G1201" t="str">
        <f t="shared" si="33"/>
        <v>llll</v>
      </c>
      <c r="H1201" t="str">
        <f>[1]!SplitText(A1201,"(",1)</f>
        <v xml:space="preserve">  Owner</v>
      </c>
    </row>
    <row r="1202" spans="1:8" ht="17.25" thickBot="1">
      <c r="A1202" s="4" t="s">
        <v>5486</v>
      </c>
      <c r="B1202" s="6" t="s">
        <v>5273</v>
      </c>
      <c r="C1202" s="5" t="s">
        <v>7020</v>
      </c>
      <c r="G1202" t="str">
        <f t="shared" si="33"/>
        <v>llll</v>
      </c>
      <c r="H1202" t="str">
        <f>[1]!SplitText(A1202,"(",1)</f>
        <v xml:space="preserve">  SetToolTip</v>
      </c>
    </row>
    <row r="1203" spans="1:8" ht="17.25" thickBot="1">
      <c r="A1203" s="4" t="s">
        <v>5404</v>
      </c>
      <c r="B1203" s="5" t="s">
        <v>5265</v>
      </c>
      <c r="C1203" s="5" t="s">
        <v>5585</v>
      </c>
      <c r="G1203" t="str">
        <f t="shared" si="33"/>
        <v>llll</v>
      </c>
      <c r="H1203" t="str">
        <f>[1]!SplitText(A1203,"(",1)</f>
        <v xml:space="preserve">  Shown</v>
      </c>
    </row>
    <row r="1204" spans="1:8" ht="17.25" thickBot="1">
      <c r="A1204" s="4" t="s">
        <v>5406</v>
      </c>
      <c r="B1204" s="5" t="s">
        <v>5177</v>
      </c>
      <c r="C1204" s="6" t="s">
        <v>7021</v>
      </c>
      <c r="G1204" t="str">
        <f t="shared" si="33"/>
        <v>llll</v>
      </c>
      <c r="H1204" t="str">
        <f>[1]!SplitText(A1204,"(",1)</f>
        <v xml:space="preserve">  Type</v>
      </c>
    </row>
    <row r="1205" spans="1:8" ht="17.25" thickBot="1">
      <c r="A1205" s="4" t="s">
        <v>5482</v>
      </c>
      <c r="B1205" s="6" t="s">
        <v>5273</v>
      </c>
      <c r="C1205" s="5" t="s">
        <v>7022</v>
      </c>
      <c r="G1205" t="str">
        <f t="shared" ref="G1205:G1259" si="34">IF(ISERROR(SEARCH("table 2:",A1205&amp;B1205&amp;C1205&amp;D1205&amp;E1205&amp;F1205,1)*1),"llll","o")</f>
        <v>llll</v>
      </c>
      <c r="H1205" t="str">
        <f>[1]!SplitText(A1205,"(",1)</f>
        <v xml:space="preserve">  Refresh</v>
      </c>
    </row>
    <row r="1206" spans="1:8" ht="63.75">
      <c r="A1206" s="92" t="s">
        <v>5484</v>
      </c>
      <c r="B1206" s="91" t="s">
        <v>5174</v>
      </c>
      <c r="C1206" s="8" t="s">
        <v>5485</v>
      </c>
      <c r="G1206" t="str">
        <f t="shared" si="34"/>
        <v>llll</v>
      </c>
      <c r="H1206" t="str">
        <f>[1]!SplitText(A1206,"(",1)</f>
        <v xml:space="preserve">  Background</v>
      </c>
    </row>
    <row r="1207" spans="1:8" ht="17.25" thickBot="1">
      <c r="A1207" s="4" t="s">
        <v>5480</v>
      </c>
      <c r="B1207" s="6" t="s">
        <v>5273</v>
      </c>
      <c r="C1207" s="6" t="s">
        <v>7023</v>
      </c>
      <c r="G1207" t="str">
        <f t="shared" si="34"/>
        <v>llll</v>
      </c>
      <c r="H1207" t="str">
        <f>[1]!SplitText(A1207,"(",1)</f>
        <v xml:space="preserve">  SetFocus</v>
      </c>
    </row>
    <row r="1208" spans="1:8">
      <c r="A1208" s="117" t="s">
        <v>4236</v>
      </c>
      <c r="G1208" t="str">
        <f t="shared" si="34"/>
        <v>o</v>
      </c>
      <c r="H1208" t="str">
        <f>[1]!SplitText(A1208,"(",1)</f>
        <v>Table 2: 116. SLIDER Object Methods</v>
      </c>
    </row>
    <row r="1209" spans="1:8" ht="17.25" thickBot="1">
      <c r="A1209" s="115" t="s">
        <v>4252</v>
      </c>
      <c r="B1209" s="115" t="s">
        <v>4253</v>
      </c>
      <c r="G1209" t="str">
        <f t="shared" si="34"/>
        <v>llll</v>
      </c>
      <c r="H1209" t="str">
        <f>[1]!SplitText(A1209,"(",1)</f>
        <v>2.5.64</v>
      </c>
    </row>
    <row r="1210" spans="1:8" ht="17.25" thickBot="1">
      <c r="A1210" s="102" t="s">
        <v>1591</v>
      </c>
      <c r="B1210" s="103" t="s">
        <v>1592</v>
      </c>
      <c r="C1210" s="103" t="s">
        <v>1593</v>
      </c>
      <c r="G1210" t="str">
        <f t="shared" si="34"/>
        <v>llll</v>
      </c>
      <c r="H1210" t="str">
        <f>[1]!SplitText(A1210,"(",1)</f>
        <v>Name</v>
      </c>
    </row>
    <row r="1211" spans="1:8" ht="17.25" thickBot="1">
      <c r="A1211" s="4" t="s">
        <v>7024</v>
      </c>
      <c r="B1211" s="5" t="s">
        <v>5177</v>
      </c>
      <c r="C1211" s="6" t="s">
        <v>7025</v>
      </c>
      <c r="G1211" t="str">
        <f t="shared" si="34"/>
        <v>llll</v>
      </c>
      <c r="H1211" t="str">
        <f>[1]!SplitText(A1211,"(",1)</f>
        <v xml:space="preserve">  After</v>
      </c>
    </row>
    <row r="1212" spans="1:8" ht="17.25" thickBot="1">
      <c r="A1212" s="4" t="s">
        <v>7026</v>
      </c>
      <c r="B1212" s="5" t="s">
        <v>5177</v>
      </c>
      <c r="C1212" s="6" t="s">
        <v>7027</v>
      </c>
      <c r="G1212" t="str">
        <f t="shared" si="34"/>
        <v>llll</v>
      </c>
      <c r="H1212" t="str">
        <f>[1]!SplitText(A1212,"(",1)</f>
        <v xml:space="preserve">  Before</v>
      </c>
    </row>
    <row r="1213" spans="1:8" ht="17.25" thickBot="1">
      <c r="A1213" s="4" t="s">
        <v>7028</v>
      </c>
      <c r="B1213" s="5" t="s">
        <v>5409</v>
      </c>
      <c r="C1213" s="6" t="s">
        <v>7029</v>
      </c>
      <c r="G1213" t="str">
        <f t="shared" si="34"/>
        <v>llll</v>
      </c>
      <c r="H1213" t="str">
        <f>[1]!SplitText(A1213,"(",1)</f>
        <v xml:space="preserve">  Block</v>
      </c>
    </row>
    <row r="1214" spans="1:8" ht="25.5">
      <c r="A1214" s="92" t="s">
        <v>7030</v>
      </c>
      <c r="B1214" s="91" t="s">
        <v>7031</v>
      </c>
      <c r="C1214" s="7" t="s">
        <v>7032</v>
      </c>
      <c r="G1214" t="str">
        <f t="shared" si="34"/>
        <v>llll</v>
      </c>
      <c r="H1214" t="str">
        <f>[1]!SplitText(A1214,"(",1)</f>
        <v xml:space="preserve">  Boolean</v>
      </c>
    </row>
    <row r="1215" spans="1:8" ht="26.25" thickBot="1">
      <c r="A1215" s="4" t="s">
        <v>7033</v>
      </c>
      <c r="B1215" s="5" t="s">
        <v>6833</v>
      </c>
      <c r="C1215" s="6" t="s">
        <v>7034</v>
      </c>
      <c r="G1215" t="str">
        <f t="shared" si="34"/>
        <v>llll</v>
      </c>
      <c r="H1215" t="str">
        <f>[1]!SplitText(A1215,"(",1)</f>
        <v xml:space="preserve">  Bore</v>
      </c>
    </row>
    <row r="1216" spans="1:8" ht="26.25" thickBot="1">
      <c r="A1216" s="4" t="s">
        <v>7035</v>
      </c>
      <c r="B1216" s="5" t="s">
        <v>6833</v>
      </c>
      <c r="C1216" s="6" t="s">
        <v>7036</v>
      </c>
      <c r="G1216" t="str">
        <f t="shared" si="34"/>
        <v>llll</v>
      </c>
      <c r="H1216" t="str">
        <f>[1]!SplitText(A1216,"(",1)</f>
        <v xml:space="preserve">  Bore</v>
      </c>
    </row>
    <row r="1217" spans="1:8" ht="17.25" thickBot="1">
      <c r="A1217" s="4" t="s">
        <v>7037</v>
      </c>
      <c r="B1217" s="5" t="s">
        <v>5696</v>
      </c>
      <c r="C1217" s="6" t="s">
        <v>7038</v>
      </c>
      <c r="G1217" t="str">
        <f t="shared" si="34"/>
        <v>llll</v>
      </c>
      <c r="H1217" t="str">
        <f>[1]!SplitText(A1217,"(",1)</f>
        <v xml:space="preserve">  DBRef</v>
      </c>
    </row>
    <row r="1218" spans="1:8" ht="26.25" thickBot="1">
      <c r="A1218" s="4" t="s">
        <v>7039</v>
      </c>
      <c r="B1218" s="5" t="s">
        <v>5696</v>
      </c>
      <c r="C1218" s="6" t="s">
        <v>7040</v>
      </c>
      <c r="G1218" t="str">
        <f t="shared" si="34"/>
        <v>llll</v>
      </c>
      <c r="H1218" t="str">
        <f>[1]!SplitText(A1218,"(",1)</f>
        <v xml:space="preserve">  DBRef</v>
      </c>
    </row>
    <row r="1219" spans="1:8" ht="39" thickBot="1">
      <c r="A1219" s="145" t="s">
        <v>7041</v>
      </c>
      <c r="B1219" s="5" t="s">
        <v>5238</v>
      </c>
      <c r="C1219" s="6" t="s">
        <v>7042</v>
      </c>
      <c r="G1219" t="str">
        <f t="shared" si="34"/>
        <v>llll</v>
      </c>
      <c r="H1219" t="str">
        <f>[1]!SplitText(A1219,"(",1)</f>
        <v xml:space="preserve">  Digits</v>
      </c>
    </row>
    <row r="1220" spans="1:8" ht="17.25" thickBot="1">
      <c r="A1220" s="4" t="s">
        <v>7043</v>
      </c>
      <c r="B1220" s="5" t="s">
        <v>5223</v>
      </c>
      <c r="C1220" s="5" t="s">
        <v>7044</v>
      </c>
      <c r="G1220" t="str">
        <f t="shared" si="34"/>
        <v>llll</v>
      </c>
      <c r="H1220" t="str">
        <f>[1]!SplitText(A1220,"(",1)</f>
        <v xml:space="preserve">  Direction</v>
      </c>
    </row>
    <row r="1221" spans="1:8" ht="26.25" thickBot="1">
      <c r="A1221" s="4" t="s">
        <v>7045</v>
      </c>
      <c r="B1221" s="5" t="s">
        <v>5223</v>
      </c>
      <c r="C1221" s="6" t="s">
        <v>7046</v>
      </c>
      <c r="G1221" t="str">
        <f t="shared" si="34"/>
        <v>llll</v>
      </c>
      <c r="H1221" t="str">
        <f>[1]!SplitText(A1221,"(",1)</f>
        <v xml:space="preserve">  Direction</v>
      </c>
    </row>
    <row r="1222" spans="1:8" ht="17.25" thickBot="1">
      <c r="A1222" s="4" t="s">
        <v>5294</v>
      </c>
      <c r="B1222" s="5" t="s">
        <v>5265</v>
      </c>
      <c r="C1222" s="5" t="s">
        <v>7047</v>
      </c>
      <c r="G1222" t="str">
        <f t="shared" si="34"/>
        <v>llll</v>
      </c>
      <c r="H1222" t="str">
        <f>[1]!SplitText(A1222,"(",1)</f>
        <v xml:space="preserve">  Empty</v>
      </c>
    </row>
    <row r="1223" spans="1:8" ht="30.75" thickBot="1">
      <c r="A1223" s="145" t="s">
        <v>7048</v>
      </c>
      <c r="B1223" s="5" t="s">
        <v>5265</v>
      </c>
      <c r="C1223" s="6" t="s">
        <v>7049</v>
      </c>
      <c r="G1223" t="str">
        <f t="shared" si="34"/>
        <v>llll</v>
      </c>
      <c r="H1223" t="str">
        <f>[1]!SplitText(A1223,"(",1)</f>
        <v xml:space="preserve">  EQNoCase</v>
      </c>
    </row>
    <row r="1224" spans="1:8" ht="26.25" thickBot="1">
      <c r="A1224" s="145" t="s">
        <v>7050</v>
      </c>
      <c r="B1224" s="5" t="s">
        <v>5265</v>
      </c>
      <c r="C1224" s="6" t="s">
        <v>7051</v>
      </c>
      <c r="G1224" t="str">
        <f t="shared" si="34"/>
        <v>llll</v>
      </c>
      <c r="H1224" t="str">
        <f>[1]!SplitText(A1224,"(",1)</f>
        <v xml:space="preserve">  isDigits</v>
      </c>
    </row>
    <row r="1225" spans="1:8" ht="26.25" thickBot="1">
      <c r="A1225" s="145" t="s">
        <v>7052</v>
      </c>
      <c r="B1225" s="5" t="s">
        <v>5265</v>
      </c>
      <c r="C1225" s="6" t="s">
        <v>7053</v>
      </c>
      <c r="G1225" t="str">
        <f t="shared" si="34"/>
        <v>llll</v>
      </c>
      <c r="H1225" t="str">
        <f>[1]!SplitText(A1225,"(",1)</f>
        <v xml:space="preserve">  isLetters</v>
      </c>
    </row>
    <row r="1226" spans="1:8" ht="45.75" thickBot="1">
      <c r="A1226" s="145" t="s">
        <v>7054</v>
      </c>
      <c r="B1226" s="5" t="s">
        <v>5265</v>
      </c>
      <c r="C1226" s="6" t="s">
        <v>7055</v>
      </c>
      <c r="G1226" t="str">
        <f t="shared" si="34"/>
        <v>llll</v>
      </c>
      <c r="H1226" t="str">
        <f>[1]!SplitText(A1226,"(",1)</f>
        <v xml:space="preserve">  isLettersAndDigits</v>
      </c>
    </row>
    <row r="1227" spans="1:8" ht="17.25" thickBot="1">
      <c r="A1227" s="4" t="s">
        <v>5244</v>
      </c>
      <c r="B1227" s="5" t="s">
        <v>5238</v>
      </c>
      <c r="C1227" s="5" t="s">
        <v>7056</v>
      </c>
      <c r="G1227" t="str">
        <f t="shared" si="34"/>
        <v>llll</v>
      </c>
      <c r="H1227" t="str">
        <f>[1]!SplitText(A1227,"(",1)</f>
        <v xml:space="preserve">  Length</v>
      </c>
    </row>
    <row r="1228" spans="1:8" ht="17.25" thickBot="1">
      <c r="A1228" s="4" t="s">
        <v>7057</v>
      </c>
      <c r="B1228" s="5" t="s">
        <v>5177</v>
      </c>
      <c r="C1228" s="5" t="s">
        <v>7058</v>
      </c>
      <c r="G1228" t="str">
        <f t="shared" si="34"/>
        <v>llll</v>
      </c>
      <c r="H1228" t="str">
        <f>[1]!SplitText(A1228,"(",1)</f>
        <v xml:space="preserve">  LowCase</v>
      </c>
    </row>
    <row r="1229" spans="1:8" ht="17.25" thickBot="1">
      <c r="A1229" s="4" t="s">
        <v>7059</v>
      </c>
      <c r="B1229" s="5" t="s">
        <v>5265</v>
      </c>
      <c r="C1229" s="6" t="s">
        <v>7060</v>
      </c>
      <c r="G1229" t="str">
        <f t="shared" si="34"/>
        <v>llll</v>
      </c>
      <c r="H1229" t="str">
        <f>[1]!SplitText(A1229,"(",1)</f>
        <v xml:space="preserve">  LT</v>
      </c>
    </row>
    <row r="1230" spans="1:8" ht="26.25" thickBot="1">
      <c r="A1230" s="4" t="s">
        <v>7061</v>
      </c>
      <c r="B1230" s="5" t="s">
        <v>5238</v>
      </c>
      <c r="C1230" s="6" t="s">
        <v>7062</v>
      </c>
      <c r="G1230" t="str">
        <f t="shared" si="34"/>
        <v>llll</v>
      </c>
      <c r="H1230" t="str">
        <f>[1]!SplitText(A1230,"(",1)</f>
        <v xml:space="preserve">  Match</v>
      </c>
    </row>
    <row r="1231" spans="1:8" ht="38.25">
      <c r="A1231" s="92" t="s">
        <v>7063</v>
      </c>
      <c r="B1231" s="91" t="s">
        <v>7031</v>
      </c>
      <c r="C1231" s="8" t="s">
        <v>7064</v>
      </c>
      <c r="G1231" t="str">
        <f t="shared" si="34"/>
        <v>llll</v>
      </c>
      <c r="H1231" t="str">
        <f>[1]!SplitText(A1231,"(",1)</f>
        <v xml:space="preserve">  MatchWild</v>
      </c>
    </row>
    <row r="1232" spans="1:8" ht="41.25" thickBot="1">
      <c r="A1232" s="4" t="s">
        <v>7065</v>
      </c>
      <c r="B1232" s="5" t="s">
        <v>5265</v>
      </c>
      <c r="C1232" s="6" t="s">
        <v>7066</v>
      </c>
      <c r="G1232" t="str">
        <f t="shared" si="34"/>
        <v>llll</v>
      </c>
      <c r="H1232" t="str">
        <f>[1]!SplitText(A1232,"(",1)</f>
        <v xml:space="preserve">  MatchWild</v>
      </c>
    </row>
    <row r="1233" spans="1:8" ht="54.75" thickBot="1">
      <c r="A1233" s="4" t="s">
        <v>7067</v>
      </c>
      <c r="B1233" s="5" t="s">
        <v>5265</v>
      </c>
      <c r="C1233" s="6" t="s">
        <v>7068</v>
      </c>
      <c r="G1233" t="str">
        <f t="shared" si="34"/>
        <v>llll</v>
      </c>
      <c r="H1233" t="str">
        <f>[1]!SplitText(A1233,"(",1)</f>
        <v xml:space="preserve">  MatchWild</v>
      </c>
    </row>
    <row r="1234" spans="1:8" ht="17.25" thickBot="1">
      <c r="A1234" s="4" t="s">
        <v>7069</v>
      </c>
      <c r="B1234" s="5" t="s">
        <v>5238</v>
      </c>
      <c r="C1234" s="6" t="s">
        <v>7070</v>
      </c>
      <c r="G1234" t="str">
        <f t="shared" si="34"/>
        <v>llll</v>
      </c>
      <c r="H1234" t="str">
        <f>[1]!SplitText(A1234,"(",1)</f>
        <v xml:space="preserve">  Occurs</v>
      </c>
    </row>
    <row r="1235" spans="1:8" ht="17.25" thickBot="1">
      <c r="A1235" s="4" t="s">
        <v>7071</v>
      </c>
      <c r="B1235" s="6" t="s">
        <v>6300</v>
      </c>
      <c r="C1235" s="5" t="s">
        <v>7072</v>
      </c>
      <c r="G1235" t="str">
        <f t="shared" si="34"/>
        <v>llll</v>
      </c>
      <c r="H1235" t="str">
        <f>[1]!SplitText(A1235,"(",1)</f>
        <v xml:space="preserve">  Orientation</v>
      </c>
    </row>
    <row r="1236" spans="1:8" ht="27.75" thickBot="1">
      <c r="A1236" s="4" t="s">
        <v>7073</v>
      </c>
      <c r="B1236" s="6" t="s">
        <v>6300</v>
      </c>
      <c r="C1236" s="6" t="s">
        <v>7074</v>
      </c>
      <c r="G1236" t="str">
        <f t="shared" si="34"/>
        <v>llll</v>
      </c>
      <c r="H1236" t="str">
        <f>[1]!SplitText(A1236,"(",1)</f>
        <v xml:space="preserve">  Orientation</v>
      </c>
    </row>
    <row r="1237" spans="1:8" ht="26.25" thickBot="1">
      <c r="A1237" s="4" t="s">
        <v>7075</v>
      </c>
      <c r="B1237" s="5" t="s">
        <v>5177</v>
      </c>
      <c r="C1237" s="6" t="s">
        <v>7076</v>
      </c>
      <c r="G1237" t="str">
        <f t="shared" si="34"/>
        <v>llll</v>
      </c>
      <c r="H1237" t="str">
        <f>[1]!SplitText(A1237,"(",1)</f>
        <v xml:space="preserve">  Part</v>
      </c>
    </row>
    <row r="1238" spans="1:8" ht="27.75" thickBot="1">
      <c r="A1238" s="4" t="s">
        <v>7077</v>
      </c>
      <c r="B1238" s="5" t="s">
        <v>5177</v>
      </c>
      <c r="C1238" s="6" t="s">
        <v>7078</v>
      </c>
      <c r="G1238" t="str">
        <f t="shared" si="34"/>
        <v>llll</v>
      </c>
      <c r="H1238" t="str">
        <f>[1]!SplitText(A1238,"(",1)</f>
        <v xml:space="preserve">  Part</v>
      </c>
    </row>
    <row r="1239" spans="1:8">
      <c r="A1239" s="92" t="s">
        <v>7079</v>
      </c>
      <c r="B1239" s="91" t="s">
        <v>6339</v>
      </c>
      <c r="C1239" s="8" t="s">
        <v>7080</v>
      </c>
      <c r="G1239" t="str">
        <f t="shared" si="34"/>
        <v>llll</v>
      </c>
      <c r="H1239" t="str">
        <f>[1]!SplitText(A1239,"(",1)</f>
        <v xml:space="preserve">  Position</v>
      </c>
    </row>
    <row r="1240" spans="1:8" ht="27.75" thickBot="1">
      <c r="A1240" s="4" t="s">
        <v>7081</v>
      </c>
      <c r="B1240" s="5" t="s">
        <v>5220</v>
      </c>
      <c r="C1240" s="6" t="s">
        <v>7082</v>
      </c>
      <c r="G1240" t="str">
        <f t="shared" si="34"/>
        <v>llll</v>
      </c>
      <c r="H1240" t="str">
        <f>[1]!SplitText(A1240,"(",1)</f>
        <v xml:space="preserve">  Position</v>
      </c>
    </row>
    <row r="1241" spans="1:8" ht="17.25" thickBot="1">
      <c r="A1241" s="4" t="s">
        <v>7083</v>
      </c>
      <c r="B1241" s="5" t="s">
        <v>5238</v>
      </c>
      <c r="C1241" s="5" t="s">
        <v>7084</v>
      </c>
      <c r="G1241" t="str">
        <f t="shared" si="34"/>
        <v>llll</v>
      </c>
      <c r="H1241" t="str">
        <f>[1]!SplitText(A1241,"(",1)</f>
        <v xml:space="preserve">  REAL</v>
      </c>
    </row>
    <row r="1242" spans="1:8" ht="27.75" thickBot="1">
      <c r="A1242" s="4" t="s">
        <v>7085</v>
      </c>
      <c r="B1242" s="5" t="s">
        <v>5177</v>
      </c>
      <c r="C1242" s="6" t="s">
        <v>7086</v>
      </c>
      <c r="G1242" t="str">
        <f t="shared" si="34"/>
        <v>llll</v>
      </c>
      <c r="H1242" t="str">
        <f>[1]!SplitText(A1242,"(",1)</f>
        <v xml:space="preserve">  Replace</v>
      </c>
    </row>
    <row r="1243" spans="1:8" ht="41.25" thickBot="1">
      <c r="A1243" s="4" t="s">
        <v>7087</v>
      </c>
      <c r="B1243" s="5" t="s">
        <v>5177</v>
      </c>
      <c r="C1243" s="6" t="s">
        <v>7088</v>
      </c>
      <c r="G1243" t="str">
        <f t="shared" si="34"/>
        <v>llll</v>
      </c>
      <c r="H1243" t="str">
        <f>[1]!SplitText(A1243,"(",1)</f>
        <v xml:space="preserve">  Replace</v>
      </c>
    </row>
    <row r="1244" spans="1:8" ht="41.25" thickBot="1">
      <c r="A1244" s="4" t="s">
        <v>7089</v>
      </c>
      <c r="B1244" s="5" t="s">
        <v>5177</v>
      </c>
      <c r="C1244" s="6" t="s">
        <v>7090</v>
      </c>
      <c r="G1244" t="str">
        <f t="shared" si="34"/>
        <v>llll</v>
      </c>
      <c r="H1244" t="str">
        <f>[1]!SplitText(A1244,"(",1)</f>
        <v xml:space="preserve">  Replace</v>
      </c>
    </row>
    <row r="1245" spans="1:8" ht="26.25" thickBot="1">
      <c r="A1245" s="4" t="s">
        <v>5260</v>
      </c>
      <c r="B1245" s="5" t="s">
        <v>5288</v>
      </c>
      <c r="C1245" s="6" t="s">
        <v>7091</v>
      </c>
      <c r="G1245" t="str">
        <f t="shared" si="34"/>
        <v>llll</v>
      </c>
      <c r="H1245" t="str">
        <f>[1]!SplitText(A1245,"(",1)</f>
        <v xml:space="preserve">  Split</v>
      </c>
    </row>
    <row r="1246" spans="1:8" ht="26.25" thickBot="1">
      <c r="A1246" s="4" t="s">
        <v>7092</v>
      </c>
      <c r="B1246" s="5" t="s">
        <v>5288</v>
      </c>
      <c r="C1246" s="6" t="s">
        <v>7093</v>
      </c>
      <c r="G1246" t="str">
        <f t="shared" si="34"/>
        <v>llll</v>
      </c>
      <c r="H1246" t="str">
        <f>[1]!SplitText(A1246,"(",1)</f>
        <v xml:space="preserve">  Split</v>
      </c>
    </row>
    <row r="1247" spans="1:8" ht="17.25" thickBot="1">
      <c r="A1247" s="4" t="s">
        <v>7094</v>
      </c>
      <c r="B1247" s="5" t="s">
        <v>5177</v>
      </c>
      <c r="C1247" s="6" t="s">
        <v>7095</v>
      </c>
      <c r="G1247" t="str">
        <f t="shared" si="34"/>
        <v>llll</v>
      </c>
      <c r="H1247" t="str">
        <f>[1]!SplitText(A1247,"(",1)</f>
        <v xml:space="preserve">  String</v>
      </c>
    </row>
    <row r="1248" spans="1:8" ht="17.25" thickBot="1">
      <c r="A1248" s="4" t="s">
        <v>7096</v>
      </c>
      <c r="B1248" s="5" t="s">
        <v>5177</v>
      </c>
      <c r="C1248" s="6" t="s">
        <v>7097</v>
      </c>
      <c r="G1248" t="str">
        <f t="shared" si="34"/>
        <v>llll</v>
      </c>
      <c r="H1248" t="str">
        <f>[1]!SplitText(A1248,"(",1)</f>
        <v xml:space="preserve">  String</v>
      </c>
    </row>
    <row r="1249" spans="1:8" ht="41.25" thickBot="1">
      <c r="A1249" s="4" t="s">
        <v>7098</v>
      </c>
      <c r="B1249" s="5" t="s">
        <v>5177</v>
      </c>
      <c r="C1249" s="6" t="s">
        <v>7099</v>
      </c>
      <c r="G1249" t="str">
        <f t="shared" si="34"/>
        <v>llll</v>
      </c>
      <c r="H1249" t="str">
        <f>[1]!SplitText(A1249,"(",1)</f>
        <v xml:space="preserve">  String</v>
      </c>
    </row>
    <row r="1250" spans="1:8" ht="17.25" thickBot="1">
      <c r="A1250" s="4" t="s">
        <v>7100</v>
      </c>
      <c r="B1250" s="5" t="s">
        <v>5177</v>
      </c>
      <c r="C1250" s="5" t="s">
        <v>7101</v>
      </c>
      <c r="G1250" t="str">
        <f t="shared" si="34"/>
        <v>llll</v>
      </c>
      <c r="H1250" t="str">
        <f>[1]!SplitText(A1250,"(",1)</f>
        <v xml:space="preserve">  String</v>
      </c>
    </row>
    <row r="1251" spans="1:8" ht="27.75" thickBot="1">
      <c r="A1251" s="4" t="s">
        <v>7102</v>
      </c>
      <c r="B1251" s="5" t="s">
        <v>5177</v>
      </c>
      <c r="C1251" s="6" t="s">
        <v>7103</v>
      </c>
      <c r="G1251" t="str">
        <f t="shared" si="34"/>
        <v>llll</v>
      </c>
      <c r="H1251" t="str">
        <f>[1]!SplitText(A1251,"(",1)</f>
        <v xml:space="preserve">  String</v>
      </c>
    </row>
    <row r="1252" spans="1:8" ht="17.25" thickBot="1">
      <c r="A1252" s="4" t="s">
        <v>7104</v>
      </c>
      <c r="B1252" s="5" t="s">
        <v>5177</v>
      </c>
      <c r="C1252" s="6" t="s">
        <v>7105</v>
      </c>
      <c r="G1252" t="str">
        <f t="shared" si="34"/>
        <v>llll</v>
      </c>
      <c r="H1252" t="str">
        <f>[1]!SplitText(A1252,"(",1)</f>
        <v xml:space="preserve">  String</v>
      </c>
    </row>
    <row r="1253" spans="1:8" ht="26.25" thickBot="1">
      <c r="A1253" s="4" t="s">
        <v>7106</v>
      </c>
      <c r="B1253" s="5" t="s">
        <v>5177</v>
      </c>
      <c r="C1253" s="6" t="s">
        <v>7107</v>
      </c>
      <c r="G1253" t="str">
        <f t="shared" si="34"/>
        <v>llll</v>
      </c>
      <c r="H1253" t="str">
        <f>[1]!SplitText(A1253,"(",1)</f>
        <v xml:space="preserve">  String</v>
      </c>
    </row>
    <row r="1254" spans="1:8" ht="17.25" thickBot="1">
      <c r="A1254" s="4" t="s">
        <v>7108</v>
      </c>
      <c r="B1254" s="5" t="s">
        <v>5177</v>
      </c>
      <c r="C1254" s="5" t="s">
        <v>7109</v>
      </c>
      <c r="G1254" t="str">
        <f t="shared" si="34"/>
        <v>llll</v>
      </c>
      <c r="H1254" t="str">
        <f>[1]!SplitText(A1254,"(",1)</f>
        <v xml:space="preserve">  String</v>
      </c>
    </row>
    <row r="1255" spans="1:8" ht="41.25" thickBot="1">
      <c r="A1255" s="4" t="s">
        <v>7110</v>
      </c>
      <c r="B1255" s="5" t="s">
        <v>5177</v>
      </c>
      <c r="C1255" s="6" t="s">
        <v>7111</v>
      </c>
      <c r="G1255" t="str">
        <f t="shared" si="34"/>
        <v>llll</v>
      </c>
      <c r="H1255" t="str">
        <f>[1]!SplitText(A1255,"(",1)</f>
        <v xml:space="preserve">  String</v>
      </c>
    </row>
    <row r="1256" spans="1:8" ht="26.25" thickBot="1">
      <c r="A1256" s="4" t="s">
        <v>5712</v>
      </c>
      <c r="B1256" s="5" t="s">
        <v>5177</v>
      </c>
      <c r="C1256" s="6" t="s">
        <v>7112</v>
      </c>
      <c r="G1256" t="str">
        <f t="shared" si="34"/>
        <v>llll</v>
      </c>
      <c r="H1256" t="str">
        <f>[1]!SplitText(A1256,"(",1)</f>
        <v xml:space="preserve">  String</v>
      </c>
    </row>
    <row r="1257" spans="1:8" ht="17.25" thickBot="1">
      <c r="A1257" s="4" t="s">
        <v>7113</v>
      </c>
      <c r="B1257" s="5" t="s">
        <v>5177</v>
      </c>
      <c r="C1257" s="6" t="s">
        <v>7114</v>
      </c>
      <c r="G1257" t="str">
        <f t="shared" si="34"/>
        <v>llll</v>
      </c>
      <c r="H1257" t="str">
        <f>[1]!SplitText(A1257,"(",1)</f>
        <v xml:space="preserve">  String</v>
      </c>
    </row>
    <row r="1258" spans="1:8" ht="27">
      <c r="A1258" s="92" t="s">
        <v>7115</v>
      </c>
      <c r="B1258" s="91" t="s">
        <v>5174</v>
      </c>
      <c r="C1258" s="7" t="s">
        <v>7116</v>
      </c>
      <c r="G1258" t="str">
        <f t="shared" si="34"/>
        <v>llll</v>
      </c>
      <c r="H1258" t="str">
        <f>[1]!SplitText(A1258,"(",1)</f>
        <v xml:space="preserve">  String</v>
      </c>
    </row>
    <row r="1259" spans="1:8" ht="41.25" thickBot="1">
      <c r="A1259" s="4" t="s">
        <v>7117</v>
      </c>
      <c r="B1259" s="5" t="s">
        <v>5177</v>
      </c>
      <c r="C1259" s="6" t="s">
        <v>7118</v>
      </c>
      <c r="G1259" t="str">
        <f t="shared" si="34"/>
        <v>llll</v>
      </c>
      <c r="H1259" t="str">
        <f>[1]!SplitText(A1259,"(",1)</f>
        <v xml:space="preserve">  String</v>
      </c>
    </row>
    <row r="1260" spans="1:8" ht="17.25" thickBot="1">
      <c r="A1260" s="4" t="s">
        <v>7119</v>
      </c>
      <c r="B1260" s="5" t="s">
        <v>5177</v>
      </c>
      <c r="C1260" s="5" t="s">
        <v>7120</v>
      </c>
      <c r="G1260" t="str">
        <f t="shared" ref="G1260:G1312" si="35">IF(ISERROR(SEARCH("table 2:",A1260&amp;B1260&amp;C1260&amp;D1260&amp;E1260&amp;F1260,1)*1),"llll","o")</f>
        <v>llll</v>
      </c>
      <c r="H1260" t="str">
        <f>[1]!SplitText(A1260,"(",1)</f>
        <v xml:space="preserve">  String</v>
      </c>
    </row>
    <row r="1261" spans="1:8" ht="41.25" thickBot="1">
      <c r="A1261" s="4" t="s">
        <v>7121</v>
      </c>
      <c r="B1261" s="5" t="s">
        <v>5177</v>
      </c>
      <c r="C1261" s="6" t="s">
        <v>7122</v>
      </c>
      <c r="G1261" t="str">
        <f t="shared" si="35"/>
        <v>llll</v>
      </c>
      <c r="H1261" t="str">
        <f>[1]!SplitText(A1261,"(",1)</f>
        <v xml:space="preserve">  String</v>
      </c>
    </row>
    <row r="1262" spans="1:8" ht="17.25" thickBot="1">
      <c r="A1262" s="4" t="s">
        <v>7123</v>
      </c>
      <c r="B1262" s="5" t="s">
        <v>5177</v>
      </c>
      <c r="C1262" s="6" t="s">
        <v>7124</v>
      </c>
      <c r="G1262" t="str">
        <f t="shared" si="35"/>
        <v>llll</v>
      </c>
      <c r="H1262" t="str">
        <f>[1]!SplitText(A1262,"(",1)</f>
        <v xml:space="preserve">  String</v>
      </c>
    </row>
    <row r="1263" spans="1:8" ht="17.25" thickBot="1">
      <c r="A1263" s="4" t="s">
        <v>7125</v>
      </c>
      <c r="B1263" s="5" t="s">
        <v>5177</v>
      </c>
      <c r="C1263" s="5" t="s">
        <v>7126</v>
      </c>
      <c r="G1263" t="str">
        <f t="shared" si="35"/>
        <v>llll</v>
      </c>
      <c r="H1263" t="str">
        <f>[1]!SplitText(A1263,"(",1)</f>
        <v xml:space="preserve">  String</v>
      </c>
    </row>
    <row r="1264" spans="1:8" ht="27.75" thickBot="1">
      <c r="A1264" s="4" t="s">
        <v>7127</v>
      </c>
      <c r="B1264" s="5" t="s">
        <v>5177</v>
      </c>
      <c r="C1264" s="6" t="s">
        <v>7128</v>
      </c>
      <c r="G1264" t="str">
        <f t="shared" si="35"/>
        <v>llll</v>
      </c>
      <c r="H1264" t="str">
        <f>[1]!SplitText(A1264,"(",1)</f>
        <v xml:space="preserve">  String</v>
      </c>
    </row>
    <row r="1265" spans="1:8" ht="38.25">
      <c r="A1265" s="92" t="s">
        <v>7129</v>
      </c>
      <c r="B1265" s="91" t="s">
        <v>5174</v>
      </c>
      <c r="C1265" s="7" t="s">
        <v>7130</v>
      </c>
      <c r="G1265" t="str">
        <f t="shared" si="35"/>
        <v>llll</v>
      </c>
      <c r="H1265" t="str">
        <f>[1]!SplitText(A1265,"(",1)</f>
        <v xml:space="preserve">  String</v>
      </c>
    </row>
    <row r="1266" spans="1:8" ht="17.25" thickBot="1">
      <c r="A1266" s="4" t="s">
        <v>7131</v>
      </c>
      <c r="B1266" s="5" t="s">
        <v>5177</v>
      </c>
      <c r="C1266" s="6" t="s">
        <v>7132</v>
      </c>
      <c r="G1266" t="str">
        <f t="shared" si="35"/>
        <v>llll</v>
      </c>
      <c r="H1266" t="str">
        <f>[1]!SplitText(A1266,"(",1)</f>
        <v xml:space="preserve">  String</v>
      </c>
    </row>
    <row r="1267" spans="1:8" ht="17.25" thickBot="1">
      <c r="A1267" s="4" t="s">
        <v>7133</v>
      </c>
      <c r="B1267" s="5" t="s">
        <v>5177</v>
      </c>
      <c r="C1267" s="6" t="s">
        <v>7134</v>
      </c>
      <c r="G1267" t="str">
        <f t="shared" si="35"/>
        <v>llll</v>
      </c>
      <c r="H1267" t="str">
        <f>[1]!SplitText(A1267,"(",1)</f>
        <v xml:space="preserve">  String</v>
      </c>
    </row>
    <row r="1268" spans="1:8" ht="17.25" thickBot="1">
      <c r="A1268" s="4" t="s">
        <v>7135</v>
      </c>
      <c r="B1268" s="5" t="s">
        <v>5177</v>
      </c>
      <c r="C1268" s="6" t="s">
        <v>7136</v>
      </c>
      <c r="G1268" t="str">
        <f t="shared" si="35"/>
        <v>llll</v>
      </c>
      <c r="H1268" t="str">
        <f>[1]!SplitText(A1268,"(",1)</f>
        <v xml:space="preserve">  String</v>
      </c>
    </row>
    <row r="1269" spans="1:8" ht="27.75" thickBot="1">
      <c r="A1269" s="4" t="s">
        <v>7137</v>
      </c>
      <c r="B1269" s="5" t="s">
        <v>5177</v>
      </c>
      <c r="C1269" s="6" t="s">
        <v>7138</v>
      </c>
      <c r="G1269" t="str">
        <f t="shared" si="35"/>
        <v>llll</v>
      </c>
      <c r="H1269" t="str">
        <f>[1]!SplitText(A1269,"(",1)</f>
        <v xml:space="preserve">  Substring</v>
      </c>
    </row>
    <row r="1270" spans="1:8" ht="27.75" thickBot="1">
      <c r="A1270" s="4" t="s">
        <v>7139</v>
      </c>
      <c r="B1270" s="5" t="s">
        <v>5177</v>
      </c>
      <c r="C1270" s="6" t="s">
        <v>7140</v>
      </c>
      <c r="G1270" t="str">
        <f t="shared" si="35"/>
        <v>llll</v>
      </c>
      <c r="H1270" t="str">
        <f>[1]!SplitText(A1270,"(",1)</f>
        <v xml:space="preserve">  Substring</v>
      </c>
    </row>
    <row r="1271" spans="1:8" ht="17.25" thickBot="1">
      <c r="A1271" s="4" t="s">
        <v>7141</v>
      </c>
      <c r="B1271" s="5" t="s">
        <v>5177</v>
      </c>
      <c r="C1271" s="5" t="s">
        <v>7142</v>
      </c>
      <c r="G1271" t="str">
        <f t="shared" si="35"/>
        <v>llll</v>
      </c>
      <c r="H1271" t="str">
        <f>[1]!SplitText(A1271,"(",1)</f>
        <v xml:space="preserve">  Trim</v>
      </c>
    </row>
    <row r="1272" spans="1:8" ht="27.75" thickBot="1">
      <c r="A1272" s="92" t="s">
        <v>7143</v>
      </c>
      <c r="B1272" s="91" t="s">
        <v>5174</v>
      </c>
      <c r="C1272" s="7" t="s">
        <v>7144</v>
      </c>
      <c r="G1272" t="str">
        <f t="shared" si="35"/>
        <v>llll</v>
      </c>
      <c r="H1272" t="str">
        <f>[1]!SplitText(A1272,"(",1)</f>
        <v xml:space="preserve">  Trim</v>
      </c>
    </row>
    <row r="1273" spans="1:8" ht="27">
      <c r="A1273" s="92" t="s">
        <v>7145</v>
      </c>
      <c r="B1273" s="91" t="s">
        <v>5662</v>
      </c>
      <c r="C1273" s="8" t="s">
        <v>7146</v>
      </c>
      <c r="G1273" t="str">
        <f t="shared" si="35"/>
        <v>llll</v>
      </c>
      <c r="H1273" t="str">
        <f>[1]!SplitText(A1273,"(",1)</f>
        <v xml:space="preserve">  Trim</v>
      </c>
    </row>
    <row r="1274" spans="1:8" ht="17.25" thickBot="1">
      <c r="A1274" s="4" t="s">
        <v>7147</v>
      </c>
      <c r="B1274" s="5" t="s">
        <v>5177</v>
      </c>
      <c r="C1274" s="5" t="s">
        <v>7148</v>
      </c>
      <c r="G1274" t="str">
        <f t="shared" si="35"/>
        <v>llll</v>
      </c>
      <c r="H1274" t="str">
        <f>[1]!SplitText(A1274,"(",1)</f>
        <v xml:space="preserve">  UpCase</v>
      </c>
    </row>
    <row r="1275" spans="1:8" ht="17.25" thickBot="1">
      <c r="A1275" s="4" t="s">
        <v>7149</v>
      </c>
      <c r="B1275" s="5" t="s">
        <v>5265</v>
      </c>
      <c r="C1275" s="5" t="s">
        <v>7150</v>
      </c>
      <c r="G1275" t="str">
        <f t="shared" si="35"/>
        <v>llll</v>
      </c>
      <c r="H1275" t="str">
        <f>[1]!SplitText(A1275,"(",1)</f>
        <v xml:space="preserve">  VLogical</v>
      </c>
    </row>
    <row r="1276" spans="1:8" ht="17.25" thickBot="1">
      <c r="A1276" s="4" t="s">
        <v>7151</v>
      </c>
      <c r="B1276" s="5" t="s">
        <v>5177</v>
      </c>
      <c r="C1276" s="5" t="s">
        <v>7152</v>
      </c>
      <c r="G1276" t="str">
        <f t="shared" si="35"/>
        <v>llll</v>
      </c>
      <c r="H1276" t="str">
        <f>[1]!SplitText(A1276,"(",1)</f>
        <v xml:space="preserve">  VText</v>
      </c>
    </row>
    <row r="1277" spans="1:8" ht="17.25" thickBot="1">
      <c r="A1277" s="4" t="s">
        <v>7153</v>
      </c>
      <c r="B1277" s="5" t="s">
        <v>5238</v>
      </c>
      <c r="C1277" s="5" t="s">
        <v>7154</v>
      </c>
      <c r="G1277" t="str">
        <f t="shared" si="35"/>
        <v>llll</v>
      </c>
      <c r="H1277" t="str">
        <f>[1]!SplitText(A1277,"(",1)</f>
        <v xml:space="preserve">  VValue</v>
      </c>
    </row>
    <row r="1278" spans="1:8">
      <c r="A1278" s="117" t="s">
        <v>4396</v>
      </c>
      <c r="G1278" t="str">
        <f t="shared" si="35"/>
        <v>o</v>
      </c>
      <c r="H1278" t="str">
        <f>[1]!SplitText(A1278,"(",1)</f>
        <v>Table 2: 117. STRING Object Methods</v>
      </c>
    </row>
    <row r="1279" spans="1:8" ht="17.25" thickBot="1">
      <c r="A1279" s="115" t="s">
        <v>4413</v>
      </c>
      <c r="B1279" s="115" t="s">
        <v>4414</v>
      </c>
      <c r="G1279" t="str">
        <f t="shared" si="35"/>
        <v>llll</v>
      </c>
      <c r="H1279" t="str">
        <f>[1]!SplitText(A1279,"(",1)</f>
        <v>2.5.65</v>
      </c>
    </row>
    <row r="1280" spans="1:8" ht="17.25" thickBot="1">
      <c r="A1280" s="102" t="s">
        <v>3203</v>
      </c>
      <c r="B1280" s="103" t="s">
        <v>1592</v>
      </c>
      <c r="C1280" s="103" t="s">
        <v>1593</v>
      </c>
      <c r="G1280" t="str">
        <f t="shared" si="35"/>
        <v>llll</v>
      </c>
      <c r="H1280" t="str">
        <f>[1]!SplitText(A1280,"(",1)</f>
        <v>Method</v>
      </c>
    </row>
    <row r="1281" spans="1:8" ht="17.25" thickBot="1">
      <c r="A1281" s="145" t="s">
        <v>4416</v>
      </c>
      <c r="B1281" s="5" t="s">
        <v>4027</v>
      </c>
      <c r="C1281" s="5"/>
      <c r="G1281" t="str">
        <f t="shared" si="35"/>
        <v>llll</v>
      </c>
      <c r="H1281" t="str">
        <f>[1]!SplitText(A1281,"(",1)</f>
        <v xml:space="preserve">state </v>
      </c>
    </row>
    <row r="1282" spans="1:8" ht="17.25" thickBot="1">
      <c r="A1282" s="145" t="s">
        <v>4417</v>
      </c>
      <c r="B1282" s="5" t="s">
        <v>1566</v>
      </c>
      <c r="C1282" s="6" t="s">
        <v>4418</v>
      </c>
      <c r="G1282" t="str">
        <f t="shared" si="35"/>
        <v>llll</v>
      </c>
      <c r="H1282" t="str">
        <f>[1]!SplitText(A1282,"(",1)</f>
        <v xml:space="preserve">modifyMode </v>
      </c>
    </row>
    <row r="1283" spans="1:8" ht="30.75" thickBot="1">
      <c r="A1283" s="145" t="s">
        <v>4419</v>
      </c>
      <c r="B1283" s="5" t="s">
        <v>4420</v>
      </c>
      <c r="C1283" s="5" t="s">
        <v>4421</v>
      </c>
      <c r="G1283" t="str">
        <f t="shared" si="35"/>
        <v>llll</v>
      </c>
      <c r="H1283" t="str">
        <f>[1]!SplitText(A1283,"(",1)</f>
        <v xml:space="preserve">modifyMode </v>
      </c>
    </row>
    <row r="1284" spans="1:8" ht="30.75" thickBot="1">
      <c r="A1284" s="145" t="s">
        <v>4422</v>
      </c>
      <c r="B1284" s="5" t="s">
        <v>1566</v>
      </c>
      <c r="C1284" s="6" t="s">
        <v>4423</v>
      </c>
      <c r="G1284" t="str">
        <f t="shared" si="35"/>
        <v>llll</v>
      </c>
      <c r="H1284" t="str">
        <f>[1]!SplitText(A1284,"(",1)</f>
        <v xml:space="preserve">enableModifyMode </v>
      </c>
    </row>
    <row r="1285" spans="1:8" ht="39" thickBot="1">
      <c r="A1285" s="176" t="s">
        <v>4424</v>
      </c>
      <c r="B1285" s="91" t="s">
        <v>1566</v>
      </c>
      <c r="C1285" s="7" t="s">
        <v>4425</v>
      </c>
      <c r="G1285" t="str">
        <f t="shared" si="35"/>
        <v>llll</v>
      </c>
      <c r="H1285" t="str">
        <f>[1]!SplitText(A1285,"(",1)</f>
        <v xml:space="preserve">enableModifyMode </v>
      </c>
    </row>
    <row r="1286" spans="1:8" ht="38.25">
      <c r="A1286" s="144" t="s">
        <v>5157</v>
      </c>
      <c r="B1286" s="91" t="s">
        <v>2698</v>
      </c>
      <c r="C1286" s="91" t="s">
        <v>4429</v>
      </c>
      <c r="G1286" t="str">
        <f t="shared" si="35"/>
        <v>llll</v>
      </c>
      <c r="H1286" t="str">
        <f>[1]!SplitText(A1286,"(",1)</f>
        <v>.featureHighlight</v>
      </c>
    </row>
    <row r="1287" spans="1:8" ht="17.25" thickBot="1">
      <c r="A1287" s="115" t="s">
        <v>4431</v>
      </c>
      <c r="B1287" s="115" t="s">
        <v>4432</v>
      </c>
      <c r="G1287" t="str">
        <f t="shared" si="35"/>
        <v>llll</v>
      </c>
      <c r="H1287" t="str">
        <f>[1]!SplitText(A1287,"(",1)</f>
        <v>2.5.66</v>
      </c>
    </row>
    <row r="1288" spans="1:8" ht="17.25" thickBot="1">
      <c r="A1288" s="102" t="s">
        <v>1591</v>
      </c>
      <c r="B1288" s="103" t="s">
        <v>1592</v>
      </c>
      <c r="C1288" s="103" t="s">
        <v>1593</v>
      </c>
      <c r="G1288" t="str">
        <f t="shared" si="35"/>
        <v>llll</v>
      </c>
      <c r="H1288" t="str">
        <f>[1]!SplitText(A1288,"(",1)</f>
        <v>Name</v>
      </c>
    </row>
    <row r="1289" spans="1:8" ht="17.25" thickBot="1">
      <c r="A1289" s="4" t="s">
        <v>6908</v>
      </c>
      <c r="B1289" s="5" t="s">
        <v>6006</v>
      </c>
      <c r="C1289" s="6" t="s">
        <v>7155</v>
      </c>
      <c r="G1289" t="str">
        <f t="shared" si="35"/>
        <v>llll</v>
      </c>
      <c r="H1289" t="str">
        <f>[1]!SplitText(A1289,"(",1)</f>
        <v xml:space="preserve">  Table</v>
      </c>
    </row>
    <row r="1290" spans="1:8" ht="27.75" thickBot="1">
      <c r="A1290" s="4" t="s">
        <v>7156</v>
      </c>
      <c r="B1290" s="5" t="s">
        <v>6006</v>
      </c>
      <c r="C1290" s="6" t="s">
        <v>7157</v>
      </c>
      <c r="G1290" t="str">
        <f t="shared" si="35"/>
        <v>llll</v>
      </c>
      <c r="H1290" t="str">
        <f>[1]!SplitText(A1290,"(",1)</f>
        <v xml:space="preserve">  Table</v>
      </c>
    </row>
    <row r="1291" spans="1:8" ht="27.75" thickBot="1">
      <c r="A1291" s="92" t="s">
        <v>7158</v>
      </c>
      <c r="B1291" s="5" t="s">
        <v>6029</v>
      </c>
      <c r="C1291" s="7" t="s">
        <v>7159</v>
      </c>
      <c r="G1291" t="str">
        <f t="shared" si="35"/>
        <v>llll</v>
      </c>
      <c r="H1291" t="str">
        <f>[1]!SplitText(A1291,"(",1)</f>
        <v xml:space="preserve">  Table</v>
      </c>
    </row>
    <row r="1292" spans="1:8" ht="41.25" thickBot="1">
      <c r="A1292" s="4" t="s">
        <v>7160</v>
      </c>
      <c r="B1292" s="5" t="s">
        <v>6006</v>
      </c>
      <c r="C1292" s="6" t="s">
        <v>7161</v>
      </c>
      <c r="G1292" t="str">
        <f t="shared" si="35"/>
        <v>llll</v>
      </c>
      <c r="H1292" t="str">
        <f>[1]!SplitText(A1292,"(",1)</f>
        <v xml:space="preserve">  PrimaryKey</v>
      </c>
    </row>
    <row r="1293" spans="1:8" ht="27.75" thickBot="1">
      <c r="A1293" s="4" t="s">
        <v>7162</v>
      </c>
      <c r="B1293" s="5" t="s">
        <v>6006</v>
      </c>
      <c r="C1293" s="5" t="s">
        <v>7163</v>
      </c>
      <c r="G1293" t="str">
        <f t="shared" si="35"/>
        <v>llll</v>
      </c>
      <c r="H1293" t="str">
        <f>[1]!SplitText(A1293,"(",1)</f>
        <v xml:space="preserve">  PrimaryKey</v>
      </c>
    </row>
    <row r="1294" spans="1:8" ht="27.75" thickBot="1">
      <c r="A1294" s="4" t="s">
        <v>7164</v>
      </c>
      <c r="B1294" s="5" t="s">
        <v>6006</v>
      </c>
      <c r="C1294" s="6" t="s">
        <v>7165</v>
      </c>
      <c r="G1294" t="str">
        <f t="shared" si="35"/>
        <v>llll</v>
      </c>
      <c r="H1294" t="str">
        <f>[1]!SplitText(A1294,"(",1)</f>
        <v xml:space="preserve">  Column</v>
      </c>
    </row>
    <row r="1295" spans="1:8" ht="17.25" thickBot="1">
      <c r="A1295" s="4" t="s">
        <v>7166</v>
      </c>
      <c r="B1295" s="5" t="s">
        <v>6006</v>
      </c>
      <c r="C1295" s="6" t="s">
        <v>7167</v>
      </c>
      <c r="G1295" t="str">
        <f t="shared" si="35"/>
        <v>llll</v>
      </c>
      <c r="H1295" t="str">
        <f>[1]!SplitText(A1295,"(",1)</f>
        <v xml:space="preserve">  ClearColumns</v>
      </c>
    </row>
    <row r="1296" spans="1:8" ht="27.75" thickBot="1">
      <c r="A1296" s="4" t="s">
        <v>7168</v>
      </c>
      <c r="B1296" s="5" t="s">
        <v>6006</v>
      </c>
      <c r="C1296" s="6" t="s">
        <v>7169</v>
      </c>
      <c r="G1296" t="str">
        <f t="shared" si="35"/>
        <v>llll</v>
      </c>
      <c r="H1296" t="str">
        <f>[1]!SplitText(A1296,"(",1)</f>
        <v xml:space="preserve">  Columns</v>
      </c>
    </row>
    <row r="1297" spans="1:8" ht="17.25" thickBot="1">
      <c r="A1297" s="4" t="s">
        <v>5411</v>
      </c>
      <c r="B1297" s="5" t="s">
        <v>6006</v>
      </c>
      <c r="C1297" s="6" t="s">
        <v>7170</v>
      </c>
      <c r="G1297" t="str">
        <f t="shared" si="35"/>
        <v>llll</v>
      </c>
      <c r="H1297" t="str">
        <f>[1]!SplitText(A1297,"(",1)</f>
        <v xml:space="preserve">  Evaluate</v>
      </c>
    </row>
    <row r="1298" spans="1:8" ht="27.75" thickBot="1">
      <c r="A1298" s="92" t="s">
        <v>7171</v>
      </c>
      <c r="B1298" s="5" t="s">
        <v>6029</v>
      </c>
      <c r="C1298" s="8" t="s">
        <v>7172</v>
      </c>
      <c r="G1298" t="str">
        <f t="shared" si="35"/>
        <v>llll</v>
      </c>
      <c r="H1298" t="str">
        <f>[1]!SplitText(A1298,"(",1)</f>
        <v xml:space="preserve">  EvaluatePrimaryKey</v>
      </c>
    </row>
    <row r="1299" spans="1:8" ht="25.5">
      <c r="A1299" s="92" t="s">
        <v>7173</v>
      </c>
      <c r="B1299" s="8" t="s">
        <v>5499</v>
      </c>
      <c r="C1299" s="91" t="s">
        <v>7174</v>
      </c>
      <c r="G1299" t="str">
        <f t="shared" si="35"/>
        <v>llll</v>
      </c>
      <c r="H1299" t="str">
        <f>[1]!SplitText(A1299,"(",1)</f>
        <v xml:space="preserve">  PrimaryKey</v>
      </c>
    </row>
    <row r="1300" spans="1:8" ht="26.25" thickBot="1">
      <c r="A1300" s="4" t="s">
        <v>7175</v>
      </c>
      <c r="B1300" s="5" t="s">
        <v>7176</v>
      </c>
      <c r="C1300" s="5" t="s">
        <v>7177</v>
      </c>
      <c r="G1300" t="str">
        <f t="shared" si="35"/>
        <v>llll</v>
      </c>
      <c r="H1300" t="str">
        <f>[1]!SplitText(A1300,"(",1)</f>
        <v xml:space="preserve">  Columns</v>
      </c>
    </row>
    <row r="1301" spans="1:8" ht="27.75" thickBot="1">
      <c r="A1301" s="4" t="s">
        <v>7178</v>
      </c>
      <c r="B1301" s="5" t="s">
        <v>5304</v>
      </c>
      <c r="C1301" s="6" t="s">
        <v>7179</v>
      </c>
      <c r="G1301" t="str">
        <f t="shared" si="35"/>
        <v>llll</v>
      </c>
      <c r="H1301" t="str">
        <f>[1]!SplitText(A1301,"(",1)</f>
        <v xml:space="preserve">  Cell</v>
      </c>
    </row>
    <row r="1302" spans="1:8" ht="17.25" thickBot="1">
      <c r="A1302" s="4" t="s">
        <v>7180</v>
      </c>
      <c r="B1302" s="5" t="s">
        <v>5288</v>
      </c>
      <c r="C1302" s="5" t="s">
        <v>7181</v>
      </c>
      <c r="G1302" t="str">
        <f t="shared" si="35"/>
        <v>llll</v>
      </c>
      <c r="H1302" t="str">
        <f>[1]!SplitText(A1302,"(",1)</f>
        <v xml:space="preserve">  Column</v>
      </c>
    </row>
    <row r="1303" spans="1:8" ht="17.25" thickBot="1">
      <c r="A1303" s="4" t="s">
        <v>7182</v>
      </c>
      <c r="B1303" s="5" t="s">
        <v>5288</v>
      </c>
      <c r="C1303" s="5" t="s">
        <v>7183</v>
      </c>
      <c r="G1303" t="str">
        <f t="shared" si="35"/>
        <v>llll</v>
      </c>
      <c r="H1303" t="str">
        <f>[1]!SplitText(A1303,"(",1)</f>
        <v xml:space="preserve">  Row</v>
      </c>
    </row>
    <row r="1304" spans="1:8" ht="27.75" thickBot="1">
      <c r="A1304" s="4" t="s">
        <v>7184</v>
      </c>
      <c r="B1304" s="5" t="s">
        <v>5304</v>
      </c>
      <c r="C1304" s="6" t="s">
        <v>7185</v>
      </c>
      <c r="G1304" t="str">
        <f t="shared" si="35"/>
        <v>llll</v>
      </c>
      <c r="H1304" t="str">
        <f>[1]!SplitText(A1304,"(",1)</f>
        <v xml:space="preserve">  Cell</v>
      </c>
    </row>
    <row r="1305" spans="1:8" ht="17.25" thickBot="1">
      <c r="A1305" s="99" t="s">
        <v>5375</v>
      </c>
      <c r="B1305" s="100" t="s">
        <v>5398</v>
      </c>
      <c r="C1305" s="100" t="s">
        <v>5399</v>
      </c>
      <c r="G1305" t="str">
        <f t="shared" si="35"/>
        <v>llll</v>
      </c>
      <c r="H1305" t="str">
        <f>[1]!SplitText(A1305,"(",1)</f>
        <v xml:space="preserve">  Name</v>
      </c>
    </row>
    <row r="1306" spans="1:8" ht="17.25" thickBot="1">
      <c r="A1306" s="4" t="s">
        <v>7186</v>
      </c>
      <c r="B1306" s="5" t="s">
        <v>5288</v>
      </c>
      <c r="C1306" s="6" t="s">
        <v>7187</v>
      </c>
      <c r="G1306" t="str">
        <f t="shared" si="35"/>
        <v>llll</v>
      </c>
      <c r="H1306" t="str">
        <f>[1]!SplitText(A1306,"(",1)</f>
        <v xml:space="preserve">  Column</v>
      </c>
    </row>
    <row r="1307" spans="1:8" ht="17.25" thickBot="1">
      <c r="A1307" s="4" t="s">
        <v>7188</v>
      </c>
      <c r="B1307" s="5" t="s">
        <v>5288</v>
      </c>
      <c r="C1307" s="6" t="s">
        <v>7189</v>
      </c>
      <c r="G1307" t="str">
        <f t="shared" si="35"/>
        <v>llll</v>
      </c>
      <c r="H1307" t="str">
        <f>[1]!SplitText(A1307,"(",1)</f>
        <v xml:space="preserve">  Row</v>
      </c>
    </row>
    <row r="1308" spans="1:8" ht="17.25" thickBot="1">
      <c r="A1308" s="115" t="s">
        <v>4472</v>
      </c>
      <c r="B1308" s="115" t="s">
        <v>4473</v>
      </c>
      <c r="G1308" t="str">
        <f t="shared" si="35"/>
        <v>llll</v>
      </c>
      <c r="H1308" t="str">
        <f>[1]!SplitText(A1308,"(",1)</f>
        <v>2.5.67</v>
      </c>
    </row>
    <row r="1309" spans="1:8" ht="17.25" thickBot="1">
      <c r="A1309" s="102" t="s">
        <v>1591</v>
      </c>
      <c r="B1309" s="103" t="s">
        <v>1635</v>
      </c>
      <c r="C1309" s="103" t="s">
        <v>1593</v>
      </c>
      <c r="G1309" t="str">
        <f t="shared" si="35"/>
        <v>llll</v>
      </c>
      <c r="H1309" t="str">
        <f>[1]!SplitText(A1309,"(",1)</f>
        <v>Name</v>
      </c>
    </row>
    <row r="1310" spans="1:8" ht="17.25" thickBot="1">
      <c r="A1310" s="4" t="s">
        <v>5657</v>
      </c>
      <c r="B1310" s="5" t="s">
        <v>5177</v>
      </c>
      <c r="C1310" s="5" t="s">
        <v>7190</v>
      </c>
      <c r="G1310" t="str">
        <f t="shared" si="35"/>
        <v>llll</v>
      </c>
      <c r="H1310" t="str">
        <f>[1]!SplitText(A1310,"(",1)</f>
        <v xml:space="preserve">  Name </v>
      </c>
    </row>
    <row r="1311" spans="1:8" ht="17.25" thickBot="1">
      <c r="A1311" s="4" t="s">
        <v>5659</v>
      </c>
      <c r="B1311" s="5" t="s">
        <v>5177</v>
      </c>
      <c r="C1311" s="5" t="s">
        <v>7191</v>
      </c>
      <c r="G1311" t="str">
        <f t="shared" si="35"/>
        <v>llll</v>
      </c>
      <c r="H1311" t="str">
        <f>[1]!SplitText(A1311,"(",1)</f>
        <v xml:space="preserve">  Description</v>
      </c>
    </row>
    <row r="1312" spans="1:8">
      <c r="A1312" s="92" t="s">
        <v>7192</v>
      </c>
      <c r="B1312" s="91" t="s">
        <v>5174</v>
      </c>
      <c r="C1312" s="8" t="s">
        <v>7193</v>
      </c>
      <c r="G1312" t="str">
        <f t="shared" si="35"/>
        <v>llll</v>
      </c>
      <c r="H1312" t="str">
        <f>[1]!SplitText(A1312,"(",1)</f>
        <v xml:space="preserve">  Refno </v>
      </c>
    </row>
    <row r="1313" spans="1:8" ht="17.25" thickBot="1">
      <c r="A1313" s="4" t="s">
        <v>7194</v>
      </c>
      <c r="B1313" s="5" t="s">
        <v>6154</v>
      </c>
      <c r="C1313" s="5" t="s">
        <v>7195</v>
      </c>
      <c r="G1313" t="str">
        <f t="shared" ref="G1313:G1356" si="36">IF(ISERROR(SEARCH("table 2:",A1313&amp;B1313&amp;C1313&amp;D1313&amp;E1313&amp;F1313,1)*1),"llll","o")</f>
        <v>llll</v>
      </c>
      <c r="H1313" t="str">
        <f>[1]!SplitText(A1313,"(",1)</f>
        <v xml:space="preserve">  DbList</v>
      </c>
    </row>
    <row r="1314" spans="1:8" ht="17.25" thickBot="1">
      <c r="A1314" s="4" t="s">
        <v>6661</v>
      </c>
      <c r="B1314" s="5" t="s">
        <v>7196</v>
      </c>
      <c r="C1314" s="5" t="s">
        <v>7197</v>
      </c>
      <c r="G1314" t="str">
        <f t="shared" si="36"/>
        <v>llll</v>
      </c>
      <c r="H1314" t="str">
        <f>[1]!SplitText(A1314,"(",1)</f>
        <v xml:space="preserve">  UserList</v>
      </c>
    </row>
    <row r="1315" spans="1:8" ht="17.25" thickBot="1">
      <c r="A1315" s="4" t="s">
        <v>7198</v>
      </c>
      <c r="B1315" s="5" t="s">
        <v>5673</v>
      </c>
      <c r="C1315" s="6" t="s">
        <v>7199</v>
      </c>
      <c r="G1315" t="str">
        <f t="shared" si="36"/>
        <v>llll</v>
      </c>
      <c r="H1315" t="str">
        <f>[1]!SplitText(A1315,"(",1)</f>
        <v xml:space="preserve">  TEAM</v>
      </c>
    </row>
    <row r="1316" spans="1:8" ht="17.25" thickBot="1">
      <c r="A1316" s="4" t="s">
        <v>7200</v>
      </c>
      <c r="B1316" s="5" t="s">
        <v>5673</v>
      </c>
      <c r="C1316" s="6" t="s">
        <v>7201</v>
      </c>
      <c r="G1316" t="str">
        <f t="shared" si="36"/>
        <v>llll</v>
      </c>
      <c r="H1316" t="str">
        <f>[1]!SplitText(A1316,"(",1)</f>
        <v xml:space="preserve">  TEAM</v>
      </c>
    </row>
    <row r="1317" spans="1:8" ht="17.25" thickBot="1">
      <c r="A1317" s="115" t="s">
        <v>4496</v>
      </c>
      <c r="B1317" s="115" t="s">
        <v>4497</v>
      </c>
      <c r="G1317" t="str">
        <f t="shared" si="36"/>
        <v>llll</v>
      </c>
      <c r="H1317" t="str">
        <f>[1]!SplitText(A1317,"(",1)</f>
        <v>2.5.68</v>
      </c>
    </row>
    <row r="1318" spans="1:8" ht="17.25" thickBot="1">
      <c r="A1318" s="102" t="s">
        <v>1591</v>
      </c>
      <c r="B1318" s="103" t="s">
        <v>1635</v>
      </c>
      <c r="C1318" s="103" t="s">
        <v>1593</v>
      </c>
      <c r="G1318" t="str">
        <f t="shared" si="36"/>
        <v>llll</v>
      </c>
      <c r="H1318" t="str">
        <f>[1]!SplitText(A1318,"(",1)</f>
        <v>Name</v>
      </c>
    </row>
    <row r="1319" spans="1:8" ht="17.25" thickBot="1">
      <c r="A1319" s="92" t="s">
        <v>5560</v>
      </c>
      <c r="B1319" s="8" t="s">
        <v>5596</v>
      </c>
      <c r="C1319" s="91" t="s">
        <v>7202</v>
      </c>
      <c r="G1319" t="str">
        <f t="shared" si="36"/>
        <v>llll</v>
      </c>
      <c r="H1319" t="str">
        <f>[1]!SplitText(A1319,"(",1)</f>
        <v xml:space="preserve">  Val </v>
      </c>
    </row>
    <row r="1320" spans="1:8" ht="17.25" thickBot="1">
      <c r="A1320" s="92" t="s">
        <v>7203</v>
      </c>
      <c r="B1320" s="8" t="s">
        <v>5993</v>
      </c>
      <c r="C1320" s="91" t="s">
        <v>7204</v>
      </c>
      <c r="G1320" t="str">
        <f t="shared" si="36"/>
        <v>llll</v>
      </c>
      <c r="H1320" t="str">
        <f>[1]!SplitText(A1320,"(",1)</f>
        <v xml:space="preserve">  Val   </v>
      </c>
    </row>
    <row r="1321" spans="1:8" ht="17.25" thickBot="1">
      <c r="A1321" s="92" t="s">
        <v>7203</v>
      </c>
      <c r="B1321" s="8" t="s">
        <v>5552</v>
      </c>
      <c r="C1321" s="91" t="s">
        <v>7205</v>
      </c>
      <c r="G1321" t="str">
        <f t="shared" si="36"/>
        <v>llll</v>
      </c>
      <c r="H1321" t="str">
        <f>[1]!SplitText(A1321,"(",1)</f>
        <v xml:space="preserve">  Val   </v>
      </c>
    </row>
    <row r="1322" spans="1:8" ht="25.5">
      <c r="A1322" s="92" t="s">
        <v>5464</v>
      </c>
      <c r="B1322" s="8" t="s">
        <v>7206</v>
      </c>
      <c r="C1322" s="91" t="s">
        <v>7207</v>
      </c>
      <c r="G1322" t="str">
        <f t="shared" si="36"/>
        <v>llll</v>
      </c>
      <c r="H1322" t="str">
        <f>[1]!SplitText(A1322,"(",1)</f>
        <v xml:space="preserve">  Val  </v>
      </c>
    </row>
    <row r="1323" spans="1:8" ht="17.25" thickBot="1">
      <c r="A1323" s="4" t="s">
        <v>7208</v>
      </c>
      <c r="B1323" s="5" t="s">
        <v>5544</v>
      </c>
      <c r="C1323" s="5" t="s">
        <v>7209</v>
      </c>
      <c r="G1323" t="str">
        <f t="shared" si="36"/>
        <v>llll</v>
      </c>
      <c r="H1323" t="str">
        <f>[1]!SplitText(A1323,"(",1)</f>
        <v xml:space="preserve">  DataType</v>
      </c>
    </row>
    <row r="1324" spans="1:8" ht="25.5">
      <c r="A1324" s="92" t="s">
        <v>7210</v>
      </c>
      <c r="B1324" s="8" t="s">
        <v>5908</v>
      </c>
      <c r="C1324" s="91" t="s">
        <v>7211</v>
      </c>
      <c r="G1324" t="str">
        <f t="shared" si="36"/>
        <v>llll</v>
      </c>
      <c r="H1324" t="str">
        <f>[1]!SplitText(A1324,"(",1)</f>
        <v xml:space="preserve">  Echo </v>
      </c>
    </row>
    <row r="1325" spans="1:8" ht="17.25" thickBot="1">
      <c r="A1325" s="4" t="s">
        <v>7212</v>
      </c>
      <c r="B1325" s="5" t="s">
        <v>5544</v>
      </c>
      <c r="C1325" s="6" t="s">
        <v>7213</v>
      </c>
      <c r="G1325" t="str">
        <f t="shared" si="36"/>
        <v>llll</v>
      </c>
      <c r="H1325" t="str">
        <f>[1]!SplitText(A1325,"(",1)</f>
        <v xml:space="preserve">  Format</v>
      </c>
    </row>
    <row r="1326" spans="1:8" ht="17.25" thickBot="1">
      <c r="A1326" s="92" t="s">
        <v>5554</v>
      </c>
      <c r="B1326" s="8" t="s">
        <v>6937</v>
      </c>
      <c r="C1326" s="91" t="s">
        <v>7214</v>
      </c>
      <c r="G1326" t="str">
        <f t="shared" si="36"/>
        <v>llll</v>
      </c>
      <c r="H1326" t="str">
        <f>[1]!SplitText(A1326,"(",1)</f>
        <v xml:space="preserve">  Scroll </v>
      </c>
    </row>
    <row r="1327" spans="1:8" ht="17.25" thickBot="1">
      <c r="A1327" s="92" t="s">
        <v>7215</v>
      </c>
      <c r="B1327" s="8" t="s">
        <v>5596</v>
      </c>
      <c r="C1327" s="91" t="s">
        <v>7216</v>
      </c>
      <c r="G1327" t="str">
        <f t="shared" si="36"/>
        <v>llll</v>
      </c>
      <c r="H1327" t="str">
        <f>[1]!SplitText(A1327,"(",1)</f>
        <v xml:space="preserve">  ValidateCall </v>
      </c>
    </row>
    <row r="1328" spans="1:8">
      <c r="A1328" s="92" t="s">
        <v>5551</v>
      </c>
      <c r="B1328" s="8" t="s">
        <v>5552</v>
      </c>
      <c r="C1328" s="91" t="s">
        <v>7217</v>
      </c>
      <c r="G1328" t="str">
        <f t="shared" si="36"/>
        <v>llll</v>
      </c>
      <c r="H1328" t="str">
        <f>[1]!SplitText(A1328,"(",1)</f>
        <v xml:space="preserve">  Editable </v>
      </c>
    </row>
    <row r="1329" spans="1:8" ht="17.25" thickBot="1">
      <c r="A1329" s="4" t="s">
        <v>5388</v>
      </c>
      <c r="B1329" s="5" t="s">
        <v>5177</v>
      </c>
      <c r="C1329" s="5" t="s">
        <v>5469</v>
      </c>
      <c r="G1329" t="str">
        <f t="shared" si="36"/>
        <v>llll</v>
      </c>
      <c r="H1329" t="str">
        <f>[1]!SplitText(A1329,"(",1)</f>
        <v xml:space="preserve">  FullName</v>
      </c>
    </row>
    <row r="1330" spans="1:8" ht="17.25" thickBot="1">
      <c r="A1330" s="4" t="s">
        <v>5470</v>
      </c>
      <c r="B1330" s="5" t="s">
        <v>5177</v>
      </c>
      <c r="C1330" s="5" t="s">
        <v>5471</v>
      </c>
      <c r="G1330" t="str">
        <f t="shared" si="36"/>
        <v>llll</v>
      </c>
      <c r="H1330" t="str">
        <f>[1]!SplitText(A1330,"(",1)</f>
        <v xml:space="preserve">  Name</v>
      </c>
    </row>
    <row r="1331" spans="1:8" ht="17.25" thickBot="1">
      <c r="A1331" s="4" t="s">
        <v>5396</v>
      </c>
      <c r="B1331" s="5" t="s">
        <v>4994</v>
      </c>
      <c r="C1331" s="5" t="s">
        <v>5472</v>
      </c>
      <c r="G1331" t="str">
        <f t="shared" si="36"/>
        <v>llll</v>
      </c>
      <c r="H1331" t="str">
        <f>[1]!SplitText(A1331,"(",1)</f>
        <v xml:space="preserve">  Owner</v>
      </c>
    </row>
    <row r="1332" spans="1:8" ht="17.25" thickBot="1">
      <c r="A1332" s="4" t="s">
        <v>5277</v>
      </c>
      <c r="B1332" s="6" t="s">
        <v>5273</v>
      </c>
      <c r="C1332" s="5" t="s">
        <v>7218</v>
      </c>
      <c r="G1332" t="str">
        <f t="shared" si="36"/>
        <v>llll</v>
      </c>
      <c r="H1332" t="str">
        <f>[1]!SplitText(A1332,"(",1)</f>
        <v xml:space="preserve">  Clear</v>
      </c>
    </row>
    <row r="1333" spans="1:8" ht="27.75" thickBot="1">
      <c r="A1333" s="4" t="s">
        <v>7219</v>
      </c>
      <c r="B1333" s="6" t="s">
        <v>5273</v>
      </c>
      <c r="C1333" s="6" t="s">
        <v>7220</v>
      </c>
      <c r="G1333" t="str">
        <f t="shared" si="36"/>
        <v>llll</v>
      </c>
      <c r="H1333" t="str">
        <f>[1]!SplitText(A1333,"(",1)</f>
        <v xml:space="preserve">  SetEditable</v>
      </c>
    </row>
    <row r="1334" spans="1:8" ht="17.25" thickBot="1">
      <c r="A1334" s="4" t="s">
        <v>5480</v>
      </c>
      <c r="B1334" s="6" t="s">
        <v>5273</v>
      </c>
      <c r="C1334" s="5" t="s">
        <v>5481</v>
      </c>
      <c r="G1334" t="str">
        <f t="shared" si="36"/>
        <v>llll</v>
      </c>
      <c r="H1334" t="str">
        <f>[1]!SplitText(A1334,"(",1)</f>
        <v xml:space="preserve">  SetFocus</v>
      </c>
    </row>
    <row r="1335" spans="1:8" ht="17.25" thickBot="1">
      <c r="A1335" s="4" t="s">
        <v>5486</v>
      </c>
      <c r="B1335" s="6" t="s">
        <v>5273</v>
      </c>
      <c r="C1335" s="5" t="s">
        <v>6955</v>
      </c>
      <c r="G1335" t="str">
        <f t="shared" si="36"/>
        <v>llll</v>
      </c>
      <c r="H1335" t="str">
        <f>[1]!SplitText(A1335,"(",1)</f>
        <v xml:space="preserve">  SetToolTip</v>
      </c>
    </row>
    <row r="1336" spans="1:8" ht="17.25" thickBot="1">
      <c r="A1336" s="4" t="s">
        <v>5482</v>
      </c>
      <c r="B1336" s="6" t="s">
        <v>5273</v>
      </c>
      <c r="C1336" s="5" t="s">
        <v>5582</v>
      </c>
      <c r="G1336" t="str">
        <f t="shared" si="36"/>
        <v>llll</v>
      </c>
      <c r="H1336" t="str">
        <f>[1]!SplitText(A1336,"(",1)</f>
        <v xml:space="preserve">  Refresh</v>
      </c>
    </row>
    <row r="1337" spans="1:8" ht="41.25" thickBot="1">
      <c r="A1337" s="4" t="s">
        <v>7221</v>
      </c>
      <c r="B1337" s="6" t="s">
        <v>5273</v>
      </c>
      <c r="C1337" s="6" t="s">
        <v>7222</v>
      </c>
      <c r="G1337" t="str">
        <f t="shared" si="36"/>
        <v>llll</v>
      </c>
      <c r="H1337" t="str">
        <f>[1]!SplitText(A1337,"(",1)</f>
        <v xml:space="preserve">  SetValue</v>
      </c>
    </row>
    <row r="1338" spans="1:8" ht="17.25" thickBot="1">
      <c r="A1338" s="4" t="s">
        <v>5477</v>
      </c>
      <c r="B1338" s="5" t="s">
        <v>5478</v>
      </c>
      <c r="C1338" s="6" t="s">
        <v>5584</v>
      </c>
      <c r="G1338" t="str">
        <f t="shared" si="36"/>
        <v>llll</v>
      </c>
      <c r="H1338" t="str">
        <f>[1]!SplitText(A1338,"(",1)</f>
        <v xml:space="preserve">  GetPickedPopup</v>
      </c>
    </row>
    <row r="1339" spans="1:8" ht="17.25" thickBot="1">
      <c r="A1339" s="4" t="s">
        <v>5404</v>
      </c>
      <c r="B1339" s="5" t="s">
        <v>5265</v>
      </c>
      <c r="C1339" s="5" t="s">
        <v>5585</v>
      </c>
      <c r="G1339" t="str">
        <f t="shared" si="36"/>
        <v>llll</v>
      </c>
      <c r="H1339" t="str">
        <f>[1]!SplitText(A1339,"(",1)</f>
        <v xml:space="preserve">  Shown</v>
      </c>
    </row>
    <row r="1340" spans="1:8" ht="17.25" thickBot="1">
      <c r="A1340" s="4" t="s">
        <v>5406</v>
      </c>
      <c r="B1340" s="5" t="s">
        <v>5177</v>
      </c>
      <c r="C1340" s="6" t="s">
        <v>7223</v>
      </c>
      <c r="G1340" t="str">
        <f t="shared" si="36"/>
        <v>llll</v>
      </c>
      <c r="H1340" t="str">
        <f>[1]!SplitText(A1340,"(",1)</f>
        <v xml:space="preserve">  Type</v>
      </c>
    </row>
    <row r="1341" spans="1:8" ht="17.25" thickBot="1">
      <c r="A1341" s="99" t="s">
        <v>5375</v>
      </c>
      <c r="B1341" s="100" t="s">
        <v>5398</v>
      </c>
      <c r="C1341" s="100" t="s">
        <v>5399</v>
      </c>
      <c r="G1341" t="str">
        <f t="shared" si="36"/>
        <v>llll</v>
      </c>
      <c r="H1341" t="str">
        <f>[1]!SplitText(A1341,"(",1)</f>
        <v xml:space="preserve">  Name</v>
      </c>
    </row>
    <row r="1342" spans="1:8" ht="76.5">
      <c r="A1342" s="144" t="s">
        <v>7224</v>
      </c>
      <c r="B1342" s="91" t="s">
        <v>7225</v>
      </c>
      <c r="C1342" s="7" t="s">
        <v>7226</v>
      </c>
      <c r="G1342" t="str">
        <f t="shared" si="36"/>
        <v>llll</v>
      </c>
      <c r="H1342" t="str">
        <f>[1]!SplitText(A1342,"(",1)</f>
        <v xml:space="preserve">  Seteditable</v>
      </c>
    </row>
    <row r="1343" spans="1:8">
      <c r="A1343" s="117" t="s">
        <v>4529</v>
      </c>
      <c r="G1343" t="str">
        <f t="shared" si="36"/>
        <v>o</v>
      </c>
      <c r="H1343" t="str">
        <f>[1]!SplitText(A1343,"(",1)</f>
        <v>Table 2: 123. TEXT Object Methods</v>
      </c>
    </row>
    <row r="1344" spans="1:8">
      <c r="A1344" s="115" t="s">
        <v>4549</v>
      </c>
      <c r="B1344" s="115" t="s">
        <v>4550</v>
      </c>
      <c r="G1344" t="str">
        <f t="shared" si="36"/>
        <v>llll</v>
      </c>
      <c r="H1344" t="str">
        <f>[1]!SplitText(A1344,"(",1)</f>
        <v>2.5.69</v>
      </c>
    </row>
    <row r="1345" spans="1:8" ht="17.25" thickBot="1">
      <c r="A1345" s="126" t="s">
        <v>1874</v>
      </c>
      <c r="G1345" t="str">
        <f t="shared" si="36"/>
        <v>llll</v>
      </c>
      <c r="H1345" t="str">
        <f>[1]!SplitText(A1345,"(",1)</f>
        <v>Members</v>
      </c>
    </row>
    <row r="1346" spans="1:8" ht="17.25" thickBot="1">
      <c r="A1346" s="102" t="s">
        <v>1591</v>
      </c>
      <c r="B1346" s="103" t="s">
        <v>1635</v>
      </c>
      <c r="C1346" s="103" t="s">
        <v>1593</v>
      </c>
      <c r="G1346" t="str">
        <f t="shared" si="36"/>
        <v>llll</v>
      </c>
      <c r="H1346" t="str">
        <f>[1]!SplitText(A1346,"(",1)</f>
        <v>Name</v>
      </c>
    </row>
    <row r="1347" spans="1:8" ht="17.25" thickBot="1">
      <c r="A1347" s="92" t="s">
        <v>5464</v>
      </c>
      <c r="B1347" s="7" t="s">
        <v>7227</v>
      </c>
      <c r="C1347" s="91" t="s">
        <v>7228</v>
      </c>
      <c r="G1347" t="str">
        <f t="shared" si="36"/>
        <v>llll</v>
      </c>
      <c r="H1347" t="str">
        <f>[1]!SplitText(A1347,"(",1)</f>
        <v xml:space="preserve">  Val  </v>
      </c>
    </row>
    <row r="1348" spans="1:8">
      <c r="A1348" s="92" t="s">
        <v>7229</v>
      </c>
      <c r="B1348" s="8" t="s">
        <v>6937</v>
      </c>
      <c r="C1348" s="91" t="s">
        <v>7230</v>
      </c>
      <c r="G1348" t="str">
        <f t="shared" si="36"/>
        <v>llll</v>
      </c>
      <c r="H1348" t="str">
        <f>[1]!SplitText(A1348,"(",1)</f>
        <v xml:space="preserve">  Count  </v>
      </c>
    </row>
    <row r="1349" spans="1:8">
      <c r="A1349" s="117" t="s">
        <v>4554</v>
      </c>
      <c r="G1349" t="str">
        <f t="shared" si="36"/>
        <v>o</v>
      </c>
      <c r="H1349" t="str">
        <f>[1]!SplitText(A1349,"(",1)</f>
        <v>Table 2: 124. TEXTPANE Gadget Members</v>
      </c>
    </row>
    <row r="1350" spans="1:8" ht="17.25" thickBot="1">
      <c r="A1350" s="126" t="s">
        <v>1646</v>
      </c>
      <c r="G1350" t="str">
        <f t="shared" si="36"/>
        <v>llll</v>
      </c>
      <c r="H1350" t="str">
        <f>[1]!SplitText(A1350,"(",1)</f>
        <v>Methods</v>
      </c>
    </row>
    <row r="1351" spans="1:8" ht="17.25" thickBot="1">
      <c r="A1351" s="102" t="s">
        <v>1591</v>
      </c>
      <c r="B1351" s="103" t="s">
        <v>1592</v>
      </c>
      <c r="C1351" s="172" t="s">
        <v>1593</v>
      </c>
      <c r="D1351" s="173"/>
      <c r="G1351" t="str">
        <f t="shared" si="36"/>
        <v>llll</v>
      </c>
      <c r="H1351" t="str">
        <f>[1]!SplitText(A1351,"(",1)</f>
        <v>Name</v>
      </c>
    </row>
    <row r="1352" spans="1:8" ht="17.25" thickBot="1">
      <c r="A1352" s="92" t="s">
        <v>5920</v>
      </c>
      <c r="B1352" s="91" t="s">
        <v>5174</v>
      </c>
      <c r="C1352" s="179" t="s">
        <v>7231</v>
      </c>
      <c r="D1352" s="180"/>
      <c r="G1352" t="str">
        <f t="shared" si="36"/>
        <v>llll</v>
      </c>
      <c r="H1352" t="str">
        <f>[1]!SplitText(A1352,"(",1)</f>
        <v xml:space="preserve">  FullName</v>
      </c>
    </row>
    <row r="1353" spans="1:8" ht="17.25" thickBot="1">
      <c r="A1353" s="92" t="s">
        <v>5394</v>
      </c>
      <c r="B1353" s="91" t="s">
        <v>5174</v>
      </c>
      <c r="C1353" s="179" t="s">
        <v>5471</v>
      </c>
      <c r="D1353" s="180"/>
      <c r="G1353" t="str">
        <f t="shared" si="36"/>
        <v>llll</v>
      </c>
      <c r="H1353" t="str">
        <f>[1]!SplitText(A1353,"(",1)</f>
        <v xml:space="preserve">  Name</v>
      </c>
    </row>
    <row r="1354" spans="1:8" ht="17.25" thickBot="1">
      <c r="A1354" s="4" t="s">
        <v>5396</v>
      </c>
      <c r="B1354" s="5" t="s">
        <v>4994</v>
      </c>
      <c r="C1354" s="174" t="s">
        <v>5472</v>
      </c>
      <c r="D1354" s="175"/>
      <c r="G1354" t="str">
        <f t="shared" si="36"/>
        <v>llll</v>
      </c>
      <c r="H1354" t="str">
        <f>[1]!SplitText(A1354,"(",1)</f>
        <v xml:space="preserve">  Owner</v>
      </c>
    </row>
    <row r="1355" spans="1:8" ht="17.25" thickBot="1">
      <c r="A1355" s="4" t="s">
        <v>5277</v>
      </c>
      <c r="B1355" s="6" t="s">
        <v>5273</v>
      </c>
      <c r="C1355" s="174" t="s">
        <v>7232</v>
      </c>
      <c r="D1355" s="175"/>
      <c r="G1355" t="str">
        <f t="shared" si="36"/>
        <v>llll</v>
      </c>
      <c r="H1355" t="str">
        <f>[1]!SplitText(A1355,"(",1)</f>
        <v xml:space="preserve">  Clear</v>
      </c>
    </row>
    <row r="1356" spans="1:8" ht="17.25" thickBot="1">
      <c r="A1356" s="4" t="s">
        <v>7233</v>
      </c>
      <c r="B1356" s="5" t="s">
        <v>5177</v>
      </c>
      <c r="C1356" s="174" t="s">
        <v>7234</v>
      </c>
      <c r="D1356" s="175"/>
      <c r="G1356" t="str">
        <f t="shared" si="36"/>
        <v>llll</v>
      </c>
      <c r="H1356" t="str">
        <f>[1]!SplitText(A1356,"(",1)</f>
        <v xml:space="preserve">  Line</v>
      </c>
    </row>
    <row r="1357" spans="1:8" ht="27.75" thickBot="1">
      <c r="A1357" s="4" t="s">
        <v>7235</v>
      </c>
      <c r="B1357" s="6" t="s">
        <v>5273</v>
      </c>
      <c r="C1357" s="111" t="s">
        <v>7236</v>
      </c>
      <c r="D1357" s="6"/>
      <c r="G1357" t="str">
        <f t="shared" ref="G1357:G1405" si="37">IF(ISERROR(SEARCH("table 2:",A1357&amp;B1357&amp;C1357&amp;D1357&amp;E1357&amp;F1357,1)*1),"llll","o")</f>
        <v>llll</v>
      </c>
      <c r="H1357" t="str">
        <f>[1]!SplitText(A1357,"(",1)</f>
        <v xml:space="preserve">  SetLine</v>
      </c>
    </row>
    <row r="1358" spans="1:8" ht="17.25" thickBot="1">
      <c r="A1358" s="4" t="s">
        <v>7237</v>
      </c>
      <c r="B1358" s="5" t="s">
        <v>7238</v>
      </c>
      <c r="C1358" s="111" t="s">
        <v>7239</v>
      </c>
      <c r="D1358" s="5"/>
      <c r="G1358" t="str">
        <f t="shared" si="37"/>
        <v>llll</v>
      </c>
      <c r="H1358" t="str">
        <f>[1]!SplitText(A1358,"(",1)</f>
        <v xml:space="preserve">  CurPos</v>
      </c>
    </row>
    <row r="1359" spans="1:8" ht="17.25" thickBot="1">
      <c r="A1359" s="4" t="s">
        <v>7240</v>
      </c>
      <c r="B1359" s="6" t="s">
        <v>5273</v>
      </c>
      <c r="C1359" s="111" t="s">
        <v>7241</v>
      </c>
      <c r="D1359" s="5"/>
      <c r="G1359" t="str">
        <f t="shared" si="37"/>
        <v>llll</v>
      </c>
      <c r="H1359" t="str">
        <f>[1]!SplitText(A1359,"(",1)</f>
        <v xml:space="preserve">  SetCurPos</v>
      </c>
    </row>
    <row r="1360" spans="1:8" ht="27.75" thickBot="1">
      <c r="A1360" s="4" t="s">
        <v>7242</v>
      </c>
      <c r="B1360" s="6" t="s">
        <v>5273</v>
      </c>
      <c r="C1360" s="111" t="s">
        <v>7241</v>
      </c>
      <c r="D1360" s="5"/>
      <c r="G1360" t="str">
        <f t="shared" si="37"/>
        <v>llll</v>
      </c>
      <c r="H1360" t="str">
        <f>[1]!SplitText(A1360,"(",1)</f>
        <v xml:space="preserve">  SetCurPos</v>
      </c>
    </row>
    <row r="1361" spans="1:8" ht="27.75" thickBot="1">
      <c r="A1361" s="4" t="s">
        <v>7219</v>
      </c>
      <c r="B1361" s="6" t="s">
        <v>5273</v>
      </c>
      <c r="C1361" s="111" t="s">
        <v>7243</v>
      </c>
      <c r="D1361" s="5"/>
      <c r="G1361" t="str">
        <f t="shared" si="37"/>
        <v>llll</v>
      </c>
      <c r="H1361" t="str">
        <f>[1]!SplitText(A1361,"(",1)</f>
        <v xml:space="preserve">  SetEditable</v>
      </c>
    </row>
    <row r="1362" spans="1:8" ht="17.25" thickBot="1">
      <c r="A1362" s="4" t="s">
        <v>5930</v>
      </c>
      <c r="B1362" s="6" t="s">
        <v>5273</v>
      </c>
      <c r="C1362" s="174" t="s">
        <v>5474</v>
      </c>
      <c r="D1362" s="175"/>
      <c r="G1362" t="str">
        <f t="shared" si="37"/>
        <v>llll</v>
      </c>
      <c r="H1362" t="str">
        <f>[1]!SplitText(A1362,"(",1)</f>
        <v xml:space="preserve">  SetPopup</v>
      </c>
    </row>
    <row r="1363" spans="1:8" ht="17.25" thickBot="1">
      <c r="A1363" s="4" t="s">
        <v>5932</v>
      </c>
      <c r="B1363" s="6" t="s">
        <v>5273</v>
      </c>
      <c r="C1363" s="174" t="s">
        <v>5476</v>
      </c>
      <c r="D1363" s="175"/>
      <c r="G1363" t="str">
        <f t="shared" si="37"/>
        <v>llll</v>
      </c>
      <c r="H1363" t="str">
        <f>[1]!SplitText(A1363,"(",1)</f>
        <v xml:space="preserve">  RemovePopup</v>
      </c>
    </row>
    <row r="1364" spans="1:8" ht="17.25" thickBot="1">
      <c r="A1364" s="99" t="s">
        <v>5375</v>
      </c>
      <c r="B1364" s="100" t="s">
        <v>5398</v>
      </c>
      <c r="C1364" s="172" t="s">
        <v>5399</v>
      </c>
      <c r="D1364" s="173"/>
      <c r="G1364" t="str">
        <f t="shared" si="37"/>
        <v>llll</v>
      </c>
      <c r="H1364" t="str">
        <f>[1]!SplitText(A1364,"(",1)</f>
        <v xml:space="preserve">  Name</v>
      </c>
    </row>
    <row r="1365" spans="1:8" ht="17.25" thickBot="1">
      <c r="A1365" s="4" t="s">
        <v>5477</v>
      </c>
      <c r="B1365" s="5" t="s">
        <v>5478</v>
      </c>
      <c r="C1365" s="174" t="s">
        <v>5584</v>
      </c>
      <c r="D1365" s="175"/>
      <c r="G1365" t="str">
        <f t="shared" si="37"/>
        <v>llll</v>
      </c>
      <c r="H1365" t="str">
        <f>[1]!SplitText(A1365,"(",1)</f>
        <v xml:space="preserve">  GetPickedPopup</v>
      </c>
    </row>
    <row r="1366" spans="1:8" ht="17.25" thickBot="1">
      <c r="A1366" s="4" t="s">
        <v>5486</v>
      </c>
      <c r="B1366" s="6" t="s">
        <v>5273</v>
      </c>
      <c r="C1366" s="174" t="s">
        <v>6955</v>
      </c>
      <c r="D1366" s="175"/>
      <c r="G1366" t="str">
        <f t="shared" si="37"/>
        <v>llll</v>
      </c>
      <c r="H1366" t="str">
        <f>[1]!SplitText(A1366,"(",1)</f>
        <v xml:space="preserve">  SetToolTip</v>
      </c>
    </row>
    <row r="1367" spans="1:8" ht="17.25" thickBot="1">
      <c r="A1367" s="4" t="s">
        <v>5482</v>
      </c>
      <c r="B1367" s="6" t="s">
        <v>5273</v>
      </c>
      <c r="C1367" s="174" t="s">
        <v>5582</v>
      </c>
      <c r="D1367" s="175"/>
      <c r="G1367" t="str">
        <f t="shared" si="37"/>
        <v>llll</v>
      </c>
      <c r="H1367" t="str">
        <f>[1]!SplitText(A1367,"(",1)</f>
        <v xml:space="preserve">  Refresh</v>
      </c>
    </row>
    <row r="1368" spans="1:8" ht="17.25" thickBot="1">
      <c r="A1368" s="4" t="s">
        <v>5404</v>
      </c>
      <c r="B1368" s="5" t="s">
        <v>5265</v>
      </c>
      <c r="C1368" s="174" t="s">
        <v>5585</v>
      </c>
      <c r="D1368" s="175"/>
      <c r="G1368" t="str">
        <f t="shared" si="37"/>
        <v>llll</v>
      </c>
      <c r="H1368" t="str">
        <f>[1]!SplitText(A1368,"(",1)</f>
        <v xml:space="preserve">  Shown</v>
      </c>
    </row>
    <row r="1369" spans="1:8" ht="17.25" thickBot="1">
      <c r="A1369" s="4" t="s">
        <v>5406</v>
      </c>
      <c r="B1369" s="5" t="s">
        <v>5177</v>
      </c>
      <c r="C1369" s="174" t="s">
        <v>5586</v>
      </c>
      <c r="D1369" s="175"/>
      <c r="G1369" t="str">
        <f t="shared" si="37"/>
        <v>llll</v>
      </c>
      <c r="H1369" t="str">
        <f>[1]!SplitText(A1369,"(",1)</f>
        <v xml:space="preserve">  Type</v>
      </c>
    </row>
    <row r="1370" spans="1:8">
      <c r="A1370" s="92" t="s">
        <v>7244</v>
      </c>
      <c r="B1370" s="91" t="s">
        <v>5177</v>
      </c>
      <c r="C1370" s="179" t="s">
        <v>7245</v>
      </c>
      <c r="D1370" s="180"/>
      <c r="G1370" t="str">
        <f t="shared" si="37"/>
        <v>llll</v>
      </c>
      <c r="H1370" t="str">
        <f>[1]!SplitText(A1370,"(",1)</f>
        <v xml:space="preserve">  Background</v>
      </c>
    </row>
    <row r="1371" spans="1:8" ht="17.25" thickBot="1">
      <c r="A1371" s="115" t="s">
        <v>4585</v>
      </c>
      <c r="B1371" s="115" t="s">
        <v>4586</v>
      </c>
      <c r="G1371" t="str">
        <f t="shared" si="37"/>
        <v>llll</v>
      </c>
      <c r="H1371" t="str">
        <f>[1]!SplitText(A1371,"(",1)</f>
        <v>2.5.70</v>
      </c>
    </row>
    <row r="1372" spans="1:8" ht="17.25" thickBot="1">
      <c r="A1372" s="102" t="s">
        <v>1591</v>
      </c>
      <c r="B1372" s="103" t="s">
        <v>1635</v>
      </c>
      <c r="C1372" s="110" t="s">
        <v>1593</v>
      </c>
      <c r="D1372" s="2"/>
      <c r="G1372" t="str">
        <f t="shared" si="37"/>
        <v>llll</v>
      </c>
      <c r="H1372" t="str">
        <f>[1]!SplitText(A1372,"(",1)</f>
        <v>Name</v>
      </c>
    </row>
    <row r="1373" spans="1:8" ht="17.25" thickBot="1">
      <c r="A1373" s="92" t="s">
        <v>7246</v>
      </c>
      <c r="B1373" s="8" t="s">
        <v>5193</v>
      </c>
      <c r="C1373" s="179" t="s">
        <v>7247</v>
      </c>
      <c r="D1373" s="180"/>
      <c r="G1373" t="str">
        <f t="shared" si="37"/>
        <v>llll</v>
      </c>
      <c r="H1373" t="str">
        <f>[1]!SplitText(A1373,"(",1)</f>
        <v xml:space="preserve">  Val  Methods</v>
      </c>
    </row>
    <row r="1374" spans="1:8" ht="94.5">
      <c r="A1374" s="96" t="s">
        <v>5466</v>
      </c>
      <c r="B1374" s="91" t="s">
        <v>5467</v>
      </c>
      <c r="C1374" s="91" t="s">
        <v>5468</v>
      </c>
      <c r="G1374" t="str">
        <f t="shared" si="37"/>
        <v>llll</v>
      </c>
      <c r="H1374" t="str">
        <f>[1]!SplitText(A1374,"(",1)</f>
        <v xml:space="preserve">  AddPixmap</v>
      </c>
    </row>
    <row r="1375" spans="1:8" ht="17.25" thickBot="1">
      <c r="A1375" s="4" t="s">
        <v>5388</v>
      </c>
      <c r="B1375" s="5" t="s">
        <v>5177</v>
      </c>
      <c r="C1375" s="5" t="s">
        <v>5469</v>
      </c>
      <c r="G1375" t="str">
        <f t="shared" si="37"/>
        <v>llll</v>
      </c>
      <c r="H1375" t="str">
        <f>[1]!SplitText(A1375,"(",1)</f>
        <v xml:space="preserve">  FullName</v>
      </c>
    </row>
    <row r="1376" spans="1:8" ht="17.25" thickBot="1">
      <c r="A1376" s="4" t="s">
        <v>5470</v>
      </c>
      <c r="B1376" s="5" t="s">
        <v>5177</v>
      </c>
      <c r="C1376" s="5" t="s">
        <v>5471</v>
      </c>
      <c r="G1376" t="str">
        <f t="shared" si="37"/>
        <v>llll</v>
      </c>
      <c r="H1376" t="str">
        <f>[1]!SplitText(A1376,"(",1)</f>
        <v xml:space="preserve">  Name</v>
      </c>
    </row>
    <row r="1377" spans="1:8" ht="17.25" thickBot="1">
      <c r="A1377" s="4" t="s">
        <v>5396</v>
      </c>
      <c r="B1377" s="5" t="s">
        <v>4994</v>
      </c>
      <c r="C1377" s="5" t="s">
        <v>5472</v>
      </c>
      <c r="G1377" t="str">
        <f t="shared" si="37"/>
        <v>llll</v>
      </c>
      <c r="H1377" t="str">
        <f>[1]!SplitText(A1377,"(",1)</f>
        <v xml:space="preserve">  Owner</v>
      </c>
    </row>
    <row r="1378" spans="1:8" ht="17.25" thickBot="1">
      <c r="A1378" s="4" t="s">
        <v>5480</v>
      </c>
      <c r="B1378" s="6" t="s">
        <v>5273</v>
      </c>
      <c r="C1378" s="5" t="s">
        <v>7248</v>
      </c>
      <c r="G1378" t="str">
        <f t="shared" si="37"/>
        <v>llll</v>
      </c>
      <c r="H1378" t="str">
        <f>[1]!SplitText(A1378,"(",1)</f>
        <v xml:space="preserve">  SetFocus</v>
      </c>
    </row>
    <row r="1379" spans="1:8" ht="17.25" thickBot="1">
      <c r="A1379" s="4" t="s">
        <v>5930</v>
      </c>
      <c r="B1379" s="6" t="s">
        <v>5273</v>
      </c>
      <c r="C1379" s="6" t="s">
        <v>5474</v>
      </c>
      <c r="G1379" t="str">
        <f t="shared" si="37"/>
        <v>llll</v>
      </c>
      <c r="H1379" t="str">
        <f>[1]!SplitText(A1379,"(",1)</f>
        <v xml:space="preserve">  SetPopup</v>
      </c>
    </row>
    <row r="1380" spans="1:8" ht="17.25" thickBot="1">
      <c r="A1380" s="4" t="s">
        <v>5932</v>
      </c>
      <c r="B1380" s="6" t="s">
        <v>5273</v>
      </c>
      <c r="C1380" s="6" t="s">
        <v>5476</v>
      </c>
      <c r="G1380" t="str">
        <f t="shared" si="37"/>
        <v>llll</v>
      </c>
      <c r="H1380" t="str">
        <f>[1]!SplitText(A1380,"(",1)</f>
        <v xml:space="preserve">  RemovePopup</v>
      </c>
    </row>
    <row r="1381" spans="1:8" ht="17.25" thickBot="1">
      <c r="A1381" s="99" t="s">
        <v>5375</v>
      </c>
      <c r="B1381" s="100" t="s">
        <v>5398</v>
      </c>
      <c r="C1381" s="100" t="s">
        <v>5399</v>
      </c>
      <c r="G1381" t="str">
        <f t="shared" si="37"/>
        <v>llll</v>
      </c>
      <c r="H1381" t="str">
        <f>[1]!SplitText(A1381,"(",1)</f>
        <v xml:space="preserve">  Name</v>
      </c>
    </row>
    <row r="1382" spans="1:8" ht="17.25" thickBot="1">
      <c r="A1382" s="4" t="s">
        <v>5477</v>
      </c>
      <c r="B1382" s="5" t="s">
        <v>5478</v>
      </c>
      <c r="C1382" s="6" t="s">
        <v>5584</v>
      </c>
      <c r="G1382" t="str">
        <f t="shared" si="37"/>
        <v>llll</v>
      </c>
      <c r="H1382" t="str">
        <f>[1]!SplitText(A1382,"(",1)</f>
        <v xml:space="preserve">  GetPickedPopup</v>
      </c>
    </row>
    <row r="1383" spans="1:8" ht="17.25" thickBot="1">
      <c r="A1383" s="4" t="s">
        <v>5482</v>
      </c>
      <c r="B1383" s="6" t="s">
        <v>5273</v>
      </c>
      <c r="C1383" s="5" t="s">
        <v>5582</v>
      </c>
      <c r="G1383" t="str">
        <f t="shared" si="37"/>
        <v>llll</v>
      </c>
      <c r="H1383" t="str">
        <f>[1]!SplitText(A1383,"(",1)</f>
        <v xml:space="preserve">  Refresh</v>
      </c>
    </row>
    <row r="1384" spans="1:8" ht="17.25" thickBot="1">
      <c r="A1384" s="4" t="s">
        <v>5404</v>
      </c>
      <c r="B1384" s="5" t="s">
        <v>5265</v>
      </c>
      <c r="C1384" s="5" t="s">
        <v>5585</v>
      </c>
      <c r="G1384" t="str">
        <f t="shared" si="37"/>
        <v>llll</v>
      </c>
      <c r="H1384" t="str">
        <f>[1]!SplitText(A1384,"(",1)</f>
        <v xml:space="preserve">  Shown</v>
      </c>
    </row>
    <row r="1385" spans="1:8" ht="17.25" thickBot="1">
      <c r="A1385" s="4" t="s">
        <v>7249</v>
      </c>
      <c r="B1385" s="5" t="s">
        <v>5177</v>
      </c>
      <c r="C1385" s="5" t="s">
        <v>6955</v>
      </c>
      <c r="G1385" t="str">
        <f t="shared" si="37"/>
        <v>llll</v>
      </c>
      <c r="H1385" t="str">
        <f>[1]!SplitText(A1385,"(",1)</f>
        <v xml:space="preserve">  SetToolTip</v>
      </c>
    </row>
    <row r="1386" spans="1:8" ht="17.25" thickBot="1">
      <c r="A1386" s="4" t="s">
        <v>5406</v>
      </c>
      <c r="B1386" s="5" t="s">
        <v>5177</v>
      </c>
      <c r="C1386" s="5" t="s">
        <v>5586</v>
      </c>
      <c r="G1386" t="str">
        <f t="shared" si="37"/>
        <v>llll</v>
      </c>
      <c r="H1386" t="str">
        <f>[1]!SplitText(A1386,"(",1)</f>
        <v xml:space="preserve">  Type</v>
      </c>
    </row>
    <row r="1387" spans="1:8" ht="63.75">
      <c r="A1387" s="92" t="s">
        <v>5484</v>
      </c>
      <c r="B1387" s="91" t="s">
        <v>5174</v>
      </c>
      <c r="C1387" s="8" t="s">
        <v>5485</v>
      </c>
      <c r="G1387" t="str">
        <f t="shared" si="37"/>
        <v>llll</v>
      </c>
      <c r="H1387" t="str">
        <f>[1]!SplitText(A1387,"(",1)</f>
        <v xml:space="preserve">  Background</v>
      </c>
    </row>
    <row r="1388" spans="1:8">
      <c r="A1388" s="117" t="s">
        <v>4590</v>
      </c>
      <c r="G1388" t="str">
        <f t="shared" si="37"/>
        <v>o</v>
      </c>
      <c r="H1388" t="str">
        <f>[1]!SplitText(A1388,"(",1)</f>
        <v>Table 2: 126. TOGGLE Object Methods</v>
      </c>
    </row>
    <row r="1389" spans="1:8" ht="17.25" thickBot="1">
      <c r="A1389" s="115" t="s">
        <v>4591</v>
      </c>
      <c r="B1389" s="115" t="s">
        <v>4592</v>
      </c>
      <c r="G1389" t="str">
        <f t="shared" si="37"/>
        <v>llll</v>
      </c>
      <c r="H1389" t="str">
        <f>[1]!SplitText(A1389,"(",1)</f>
        <v>2.5.71</v>
      </c>
    </row>
    <row r="1390" spans="1:8" ht="17.25" thickBot="1">
      <c r="A1390" s="102" t="s">
        <v>1591</v>
      </c>
      <c r="B1390" s="103" t="s">
        <v>1592</v>
      </c>
      <c r="C1390" s="103" t="s">
        <v>1593</v>
      </c>
      <c r="G1390" t="str">
        <f t="shared" si="37"/>
        <v>llll</v>
      </c>
      <c r="H1390" t="str">
        <f>[1]!SplitText(A1390,"(",1)</f>
        <v>Name</v>
      </c>
    </row>
    <row r="1391" spans="1:8" ht="27.75" thickBot="1">
      <c r="A1391" s="4" t="s">
        <v>7250</v>
      </c>
      <c r="B1391" s="6" t="s">
        <v>5273</v>
      </c>
      <c r="C1391" s="5" t="s">
        <v>7251</v>
      </c>
      <c r="G1391" t="str">
        <f t="shared" si="37"/>
        <v>llll</v>
      </c>
      <c r="H1391" t="str">
        <f>[1]!SplitText(A1391,"(",1)</f>
        <v xml:space="preserve">  description</v>
      </c>
    </row>
    <row r="1392" spans="1:8" ht="26.25" thickBot="1">
      <c r="A1392" s="4" t="s">
        <v>7252</v>
      </c>
      <c r="B1392" s="6" t="s">
        <v>5273</v>
      </c>
      <c r="C1392" s="6" t="s">
        <v>7253</v>
      </c>
      <c r="G1392" t="str">
        <f t="shared" si="37"/>
        <v>llll</v>
      </c>
      <c r="H1392" t="str">
        <f>[1]!SplitText(A1392,"(",1)</f>
        <v xml:space="preserve">  add</v>
      </c>
    </row>
    <row r="1393" spans="1:8" ht="17.25" thickBot="1">
      <c r="A1393" s="4" t="s">
        <v>7254</v>
      </c>
      <c r="B1393" s="6" t="s">
        <v>5273</v>
      </c>
      <c r="C1393" s="5" t="s">
        <v>7255</v>
      </c>
      <c r="G1393" t="str">
        <f t="shared" si="37"/>
        <v>llll</v>
      </c>
      <c r="H1393" t="str">
        <f>[1]!SplitText(A1393,"(",1)</f>
        <v xml:space="preserve">  endundoable</v>
      </c>
    </row>
    <row r="1394" spans="1:8" ht="27.75" thickBot="1">
      <c r="A1394" s="4" t="s">
        <v>7256</v>
      </c>
      <c r="B1394" s="6" t="s">
        <v>5273</v>
      </c>
      <c r="C1394" s="6" t="s">
        <v>7257</v>
      </c>
      <c r="G1394" t="str">
        <f t="shared" si="37"/>
        <v>llll</v>
      </c>
      <c r="H1394" t="str">
        <f>[1]!SplitText(A1394,"(",1)</f>
        <v xml:space="preserve">  undoAction </v>
      </c>
    </row>
    <row r="1395" spans="1:8" ht="26.25" thickBot="1">
      <c r="A1395" s="4" t="s">
        <v>7258</v>
      </c>
      <c r="B1395" s="6" t="s">
        <v>5273</v>
      </c>
      <c r="C1395" s="6" t="s">
        <v>7259</v>
      </c>
      <c r="G1395" t="str">
        <f t="shared" si="37"/>
        <v>llll</v>
      </c>
      <c r="H1395" t="str">
        <f>[1]!SplitText(A1395,"(",1)</f>
        <v xml:space="preserve">  redoAction</v>
      </c>
    </row>
    <row r="1396" spans="1:8" ht="27.75" thickBot="1">
      <c r="A1396" s="4" t="s">
        <v>7260</v>
      </c>
      <c r="B1396" s="6" t="s">
        <v>5273</v>
      </c>
      <c r="C1396" s="6" t="s">
        <v>7261</v>
      </c>
      <c r="G1396" t="str">
        <f t="shared" si="37"/>
        <v>llll</v>
      </c>
      <c r="H1396" t="str">
        <f>[1]!SplitText(A1396,"(",1)</f>
        <v xml:space="preserve">  clearAction</v>
      </c>
    </row>
    <row r="1397" spans="1:8">
      <c r="A1397" s="117" t="s">
        <v>4606</v>
      </c>
      <c r="G1397" t="str">
        <f t="shared" si="37"/>
        <v>o</v>
      </c>
      <c r="H1397" t="str">
        <f>[1]!SplitText(A1397,"(",1)</f>
        <v>Table 2: 127. PMLUndoable Object Methods</v>
      </c>
    </row>
    <row r="1398" spans="1:8" ht="17.25" thickBot="1">
      <c r="A1398" s="115" t="s">
        <v>4607</v>
      </c>
      <c r="B1398" s="115" t="s">
        <v>4608</v>
      </c>
      <c r="G1398" t="str">
        <f t="shared" si="37"/>
        <v>llll</v>
      </c>
      <c r="H1398" t="str">
        <f>[1]!SplitText(A1398,"(",1)</f>
        <v>2.5.72</v>
      </c>
    </row>
    <row r="1399" spans="1:8" ht="17.25" thickBot="1">
      <c r="A1399" s="102" t="s">
        <v>1591</v>
      </c>
      <c r="B1399" s="103" t="s">
        <v>1592</v>
      </c>
      <c r="C1399" s="103" t="s">
        <v>1593</v>
      </c>
      <c r="G1399" t="str">
        <f t="shared" si="37"/>
        <v>llll</v>
      </c>
      <c r="H1399" t="str">
        <f>[1]!SplitText(A1399,"(",1)</f>
        <v>Name</v>
      </c>
    </row>
    <row r="1400" spans="1:8" ht="26.25" thickBot="1">
      <c r="A1400" s="92" t="s">
        <v>7262</v>
      </c>
      <c r="B1400" s="91" t="s">
        <v>6220</v>
      </c>
      <c r="C1400" s="7" t="s">
        <v>7263</v>
      </c>
      <c r="G1400" t="str">
        <f t="shared" si="37"/>
        <v>llll</v>
      </c>
      <c r="H1400" t="str">
        <f>[1]!SplitText(A1400,"(",1)</f>
        <v xml:space="preserve">  Unit</v>
      </c>
    </row>
    <row r="1401" spans="1:8" ht="25.5">
      <c r="A1401" s="92" t="s">
        <v>7264</v>
      </c>
      <c r="B1401" s="91" t="s">
        <v>6220</v>
      </c>
      <c r="C1401" s="7" t="s">
        <v>7265</v>
      </c>
      <c r="G1401" t="str">
        <f t="shared" si="37"/>
        <v>llll</v>
      </c>
      <c r="H1401" t="str">
        <f>[1]!SplitText(A1401,"(",1)</f>
        <v xml:space="preserve">  Unit</v>
      </c>
    </row>
    <row r="1402" spans="1:8" ht="17.25" thickBot="1">
      <c r="A1402" s="117" t="s">
        <v>4615</v>
      </c>
      <c r="G1402" t="str">
        <f t="shared" si="37"/>
        <v>o</v>
      </c>
      <c r="H1402" t="str">
        <f>[1]!SplitText(A1402,"(",1)</f>
        <v>Table 2: 128. UNIT Object Members</v>
      </c>
    </row>
    <row r="1403" spans="1:8" ht="17.25" thickBot="1">
      <c r="A1403" s="102" t="s">
        <v>1591</v>
      </c>
      <c r="B1403" s="103" t="s">
        <v>1592</v>
      </c>
      <c r="C1403" s="103" t="s">
        <v>1593</v>
      </c>
      <c r="G1403" t="str">
        <f t="shared" si="37"/>
        <v>llll</v>
      </c>
      <c r="H1403" t="str">
        <f>[1]!SplitText(A1403,"(",1)</f>
        <v>Name</v>
      </c>
    </row>
    <row r="1404" spans="1:8" ht="27">
      <c r="A1404" s="96" t="s">
        <v>7266</v>
      </c>
      <c r="B1404" s="91" t="s">
        <v>5174</v>
      </c>
      <c r="C1404" s="91" t="s">
        <v>7267</v>
      </c>
      <c r="G1404" t="str">
        <f t="shared" si="37"/>
        <v>llll</v>
      </c>
      <c r="H1404" t="str">
        <f>[1]!SplitText(A1404,"(",1)</f>
        <v xml:space="preserve">  Description</v>
      </c>
    </row>
    <row r="1405" spans="1:8" ht="17.25" thickBot="1">
      <c r="A1405" s="99" t="s">
        <v>5375</v>
      </c>
      <c r="B1405" s="100" t="s">
        <v>5398</v>
      </c>
      <c r="C1405" s="100" t="s">
        <v>5399</v>
      </c>
      <c r="G1405" t="str">
        <f t="shared" si="37"/>
        <v>llll</v>
      </c>
      <c r="H1405" t="str">
        <f>[1]!SplitText(A1405,"(",1)</f>
        <v xml:space="preserve">  Name</v>
      </c>
    </row>
    <row r="1406" spans="1:8" ht="17.25" thickBot="1">
      <c r="A1406" s="4" t="s">
        <v>5394</v>
      </c>
      <c r="B1406" s="5" t="s">
        <v>5177</v>
      </c>
      <c r="C1406" s="6" t="s">
        <v>7268</v>
      </c>
      <c r="G1406" t="str">
        <f t="shared" ref="G1406:G1459" si="38">IF(ISERROR(SEARCH("table 2:",A1406&amp;B1406&amp;C1406&amp;D1406&amp;E1406&amp;F1406,1)*1),"llll","o")</f>
        <v>llll</v>
      </c>
      <c r="H1406" t="str">
        <f>[1]!SplitText(A1406,"(",1)</f>
        <v xml:space="preserve">  Name</v>
      </c>
    </row>
    <row r="1407" spans="1:8" ht="26.25" thickBot="1">
      <c r="A1407" s="4" t="s">
        <v>7269</v>
      </c>
      <c r="B1407" s="5" t="s">
        <v>5177</v>
      </c>
      <c r="C1407" s="6" t="s">
        <v>7270</v>
      </c>
      <c r="G1407" t="str">
        <f t="shared" si="38"/>
        <v>llll</v>
      </c>
      <c r="H1407" t="str">
        <f>[1]!SplitText(A1407,"(",1)</f>
        <v xml:space="preserve">  ShortName</v>
      </c>
    </row>
    <row r="1408" spans="1:8" ht="39" thickBot="1">
      <c r="A1408" s="96" t="s">
        <v>6192</v>
      </c>
      <c r="B1408" s="91" t="s">
        <v>5174</v>
      </c>
      <c r="C1408" s="91" t="s">
        <v>7271</v>
      </c>
      <c r="G1408" t="str">
        <f t="shared" si="38"/>
        <v>llll</v>
      </c>
      <c r="H1408" t="str">
        <f>[1]!SplitText(A1408,"(",1)</f>
        <v xml:space="preserve">  Hashcode</v>
      </c>
    </row>
    <row r="1409" spans="1:8" ht="25.5">
      <c r="A1409" s="92" t="s">
        <v>7272</v>
      </c>
      <c r="B1409" s="91" t="s">
        <v>5235</v>
      </c>
      <c r="C1409" s="7" t="s">
        <v>7273</v>
      </c>
      <c r="G1409" t="str">
        <f t="shared" si="38"/>
        <v>llll</v>
      </c>
      <c r="H1409" t="str">
        <f>[1]!SplitText(A1409,"(",1)</f>
        <v xml:space="preserve">  Enum</v>
      </c>
    </row>
    <row r="1410" spans="1:8" ht="17.25" thickBot="1">
      <c r="A1410" s="4" t="s">
        <v>7274</v>
      </c>
      <c r="B1410" s="5" t="s">
        <v>5238</v>
      </c>
      <c r="C1410" s="5" t="s">
        <v>7275</v>
      </c>
      <c r="G1410" t="str">
        <f t="shared" si="38"/>
        <v>llll</v>
      </c>
      <c r="H1410" t="str">
        <f>[1]!SplitText(A1410,"(",1)</f>
        <v xml:space="preserve">  Factor</v>
      </c>
    </row>
    <row r="1411" spans="1:8" ht="17.25" thickBot="1">
      <c r="A1411" s="4" t="s">
        <v>6197</v>
      </c>
      <c r="B1411" s="5" t="s">
        <v>5177</v>
      </c>
      <c r="C1411" s="5" t="s">
        <v>6198</v>
      </c>
      <c r="G1411" t="str">
        <f t="shared" si="38"/>
        <v>llll</v>
      </c>
      <c r="H1411" t="str">
        <f>[1]!SplitText(A1411,"(",1)</f>
        <v xml:space="preserve">  UnitQualifier</v>
      </c>
    </row>
    <row r="1412" spans="1:8" ht="17.25" thickBot="1">
      <c r="A1412" s="4" t="s">
        <v>6797</v>
      </c>
      <c r="B1412" s="5" t="s">
        <v>6183</v>
      </c>
      <c r="C1412" s="5" t="s">
        <v>7276</v>
      </c>
      <c r="G1412" t="str">
        <f t="shared" si="38"/>
        <v>llll</v>
      </c>
      <c r="H1412" t="str">
        <f>[1]!SplitText(A1412,"(",1)</f>
        <v xml:space="preserve">  Dimension</v>
      </c>
    </row>
    <row r="1413" spans="1:8" ht="25.5">
      <c r="A1413" s="92" t="s">
        <v>6217</v>
      </c>
      <c r="B1413" s="91" t="s">
        <v>5270</v>
      </c>
      <c r="C1413" s="8" t="s">
        <v>7277</v>
      </c>
      <c r="G1413" t="str">
        <f t="shared" si="38"/>
        <v>llll</v>
      </c>
      <c r="H1413" t="str">
        <f>[1]!SplitText(A1413,"(",1)</f>
        <v xml:space="preserve">  IsStandard</v>
      </c>
    </row>
    <row r="1414" spans="1:8" ht="17.25" thickBot="1">
      <c r="A1414" s="4" t="s">
        <v>6215</v>
      </c>
      <c r="B1414" s="5" t="s">
        <v>5265</v>
      </c>
      <c r="C1414" s="5" t="s">
        <v>7278</v>
      </c>
      <c r="G1414" t="str">
        <f t="shared" si="38"/>
        <v>llll</v>
      </c>
      <c r="H1414" t="str">
        <f>[1]!SplitText(A1414,"(",1)</f>
        <v xml:space="preserve">  IsNull</v>
      </c>
    </row>
    <row r="1415" spans="1:8" ht="17.25" thickBot="1">
      <c r="A1415" s="4" t="s">
        <v>6225</v>
      </c>
      <c r="B1415" s="5" t="s">
        <v>6801</v>
      </c>
      <c r="C1415" s="5" t="s">
        <v>6802</v>
      </c>
      <c r="G1415" t="str">
        <f t="shared" si="38"/>
        <v>llll</v>
      </c>
      <c r="H1415" t="str">
        <f>[1]!SplitText(A1415,"(",1)</f>
        <v xml:space="preserve">  AllDimensions</v>
      </c>
    </row>
    <row r="1416" spans="1:8">
      <c r="A1416" s="92" t="s">
        <v>6228</v>
      </c>
      <c r="B1416" s="8" t="s">
        <v>7279</v>
      </c>
      <c r="C1416" s="91" t="s">
        <v>7280</v>
      </c>
      <c r="G1416" t="str">
        <f t="shared" si="38"/>
        <v>llll</v>
      </c>
      <c r="H1416" t="str">
        <f>[1]!SplitText(A1416,"(",1)</f>
        <v xml:space="preserve">  AllUnits</v>
      </c>
    </row>
    <row r="1417" spans="1:8" ht="26.25" thickBot="1">
      <c r="A1417" s="4" t="s">
        <v>7281</v>
      </c>
      <c r="B1417" s="5" t="s">
        <v>5265</v>
      </c>
      <c r="C1417" s="6" t="s">
        <v>7282</v>
      </c>
      <c r="G1417" t="str">
        <f t="shared" si="38"/>
        <v>llll</v>
      </c>
      <c r="H1417" t="str">
        <f>[1]!SplitText(A1417,"(",1)</f>
        <v xml:space="preserve">  IsImperial</v>
      </c>
    </row>
    <row r="1418" spans="1:8" ht="26.25" thickBot="1">
      <c r="A1418" s="4" t="s">
        <v>7283</v>
      </c>
      <c r="B1418" s="5" t="s">
        <v>5265</v>
      </c>
      <c r="C1418" s="6" t="s">
        <v>7284</v>
      </c>
      <c r="G1418" t="str">
        <f t="shared" si="38"/>
        <v>llll</v>
      </c>
      <c r="H1418" t="str">
        <f>[1]!SplitText(A1418,"(",1)</f>
        <v xml:space="preserve">  IsMetric</v>
      </c>
    </row>
    <row r="1419" spans="1:8">
      <c r="A1419" s="115" t="s">
        <v>4639</v>
      </c>
      <c r="B1419" s="115" t="s">
        <v>4640</v>
      </c>
      <c r="G1419" t="str">
        <f t="shared" si="38"/>
        <v>llll</v>
      </c>
      <c r="H1419" t="str">
        <f>[1]!SplitText(A1419,"(",1)</f>
        <v>2.5.73</v>
      </c>
    </row>
    <row r="1420" spans="1:8" ht="17.25" thickBot="1">
      <c r="A1420" s="126" t="s">
        <v>1963</v>
      </c>
      <c r="G1420" t="str">
        <f t="shared" si="38"/>
        <v>llll</v>
      </c>
      <c r="H1420" t="str">
        <f>[1]!SplitText(A1420,"(",1)</f>
        <v>Member</v>
      </c>
    </row>
    <row r="1421" spans="1:8" ht="17.25" thickBot="1">
      <c r="A1421" s="102" t="s">
        <v>1591</v>
      </c>
      <c r="B1421" s="103" t="s">
        <v>1592</v>
      </c>
      <c r="C1421" s="103" t="s">
        <v>1593</v>
      </c>
      <c r="G1421" t="str">
        <f t="shared" si="38"/>
        <v>llll</v>
      </c>
      <c r="H1421" t="str">
        <f>[1]!SplitText(A1421,"(",1)</f>
        <v>Name</v>
      </c>
    </row>
    <row r="1422" spans="1:8" ht="17.25" thickBot="1">
      <c r="A1422" s="4" t="s">
        <v>5657</v>
      </c>
      <c r="B1422" s="5" t="s">
        <v>5177</v>
      </c>
      <c r="C1422" s="6" t="s">
        <v>7285</v>
      </c>
      <c r="G1422" t="str">
        <f t="shared" si="38"/>
        <v>llll</v>
      </c>
      <c r="H1422" t="str">
        <f>[1]!SplitText(A1422,"(",1)</f>
        <v xml:space="preserve">  Name </v>
      </c>
    </row>
    <row r="1423" spans="1:8" ht="17.25" thickBot="1">
      <c r="A1423" s="4" t="s">
        <v>5659</v>
      </c>
      <c r="B1423" s="5" t="s">
        <v>5177</v>
      </c>
      <c r="C1423" s="5" t="s">
        <v>7286</v>
      </c>
      <c r="G1423" t="str">
        <f t="shared" si="38"/>
        <v>llll</v>
      </c>
      <c r="H1423" t="str">
        <f>[1]!SplitText(A1423,"(",1)</f>
        <v xml:space="preserve">  Description</v>
      </c>
    </row>
    <row r="1424" spans="1:8" ht="17.25" thickBot="1">
      <c r="A1424" s="4" t="s">
        <v>7287</v>
      </c>
      <c r="B1424" s="5" t="s">
        <v>5177</v>
      </c>
      <c r="C1424" s="6" t="s">
        <v>7288</v>
      </c>
      <c r="G1424" t="str">
        <f t="shared" si="38"/>
        <v>llll</v>
      </c>
      <c r="H1424" t="str">
        <f>[1]!SplitText(A1424,"(",1)</f>
        <v xml:space="preserve">  Access</v>
      </c>
    </row>
    <row r="1425" spans="1:8">
      <c r="A1425" s="92" t="s">
        <v>7192</v>
      </c>
      <c r="B1425" s="91" t="s">
        <v>5174</v>
      </c>
      <c r="C1425" s="8" t="s">
        <v>7193</v>
      </c>
      <c r="G1425" t="str">
        <f t="shared" si="38"/>
        <v>llll</v>
      </c>
      <c r="H1425" t="str">
        <f>[1]!SplitText(A1425,"(",1)</f>
        <v xml:space="preserve">  Refno </v>
      </c>
    </row>
    <row r="1426" spans="1:8">
      <c r="A1426" s="117" t="s">
        <v>4644</v>
      </c>
      <c r="G1426" t="str">
        <f t="shared" si="38"/>
        <v>o</v>
      </c>
      <c r="H1426" t="str">
        <f>[1]!SplitText(A1426,"(",1)</f>
        <v>Table 2: 129. USER Object Members</v>
      </c>
    </row>
    <row r="1427" spans="1:8" ht="17.25" thickBot="1">
      <c r="A1427" s="126" t="s">
        <v>3203</v>
      </c>
      <c r="G1427" t="str">
        <f t="shared" si="38"/>
        <v>llll</v>
      </c>
      <c r="H1427" t="str">
        <f>[1]!SplitText(A1427,"(",1)</f>
        <v>Method</v>
      </c>
    </row>
    <row r="1428" spans="1:8" ht="17.25" thickBot="1">
      <c r="A1428" s="102" t="s">
        <v>1591</v>
      </c>
      <c r="B1428" s="103" t="s">
        <v>1592</v>
      </c>
      <c r="C1428" s="103" t="s">
        <v>1593</v>
      </c>
      <c r="G1428" t="str">
        <f t="shared" si="38"/>
        <v>llll</v>
      </c>
      <c r="H1428" t="str">
        <f>[1]!SplitText(A1428,"(",1)</f>
        <v>Name</v>
      </c>
    </row>
    <row r="1429" spans="1:8" ht="17.25" thickBot="1">
      <c r="A1429" s="92" t="s">
        <v>7289</v>
      </c>
      <c r="B1429" s="91" t="s">
        <v>7290</v>
      </c>
      <c r="C1429" s="7" t="s">
        <v>7291</v>
      </c>
      <c r="G1429" t="str">
        <f t="shared" si="38"/>
        <v>llll</v>
      </c>
      <c r="H1429" t="str">
        <f>[1]!SplitText(A1429,"(",1)</f>
        <v xml:space="preserve">  TeamList</v>
      </c>
    </row>
    <row r="1430" spans="1:8">
      <c r="A1430" s="92" t="s">
        <v>7292</v>
      </c>
      <c r="B1430" s="7" t="s">
        <v>6657</v>
      </c>
      <c r="C1430" s="91" t="s">
        <v>7293</v>
      </c>
      <c r="G1430" t="str">
        <f t="shared" si="38"/>
        <v>llll</v>
      </c>
      <c r="H1430" t="str">
        <f>[1]!SplitText(A1430,"(",1)</f>
        <v xml:space="preserve">  WorkingList</v>
      </c>
    </row>
    <row r="1431" spans="1:8" ht="17.25" thickBot="1">
      <c r="A1431" s="4" t="s">
        <v>7294</v>
      </c>
      <c r="B1431" s="5" t="s">
        <v>5177</v>
      </c>
      <c r="C1431" s="5" t="s">
        <v>7295</v>
      </c>
      <c r="G1431" t="str">
        <f t="shared" si="38"/>
        <v>llll</v>
      </c>
      <c r="H1431" t="str">
        <f>[1]!SplitText(A1431,"(",1)</f>
        <v xml:space="preserve">  Password</v>
      </c>
    </row>
    <row r="1432" spans="1:8" ht="17.25" thickBot="1">
      <c r="A1432" s="4" t="s">
        <v>7296</v>
      </c>
      <c r="B1432" s="5" t="s">
        <v>7007</v>
      </c>
      <c r="C1432" s="6" t="s">
        <v>7297</v>
      </c>
      <c r="G1432" t="str">
        <f t="shared" si="38"/>
        <v>llll</v>
      </c>
      <c r="H1432" t="str">
        <f>[1]!SplitText(A1432,"(",1)</f>
        <v xml:space="preserve">  USER</v>
      </c>
    </row>
    <row r="1433" spans="1:8" ht="17.25" thickBot="1">
      <c r="A1433" s="4" t="s">
        <v>7298</v>
      </c>
      <c r="B1433" s="5" t="s">
        <v>7007</v>
      </c>
      <c r="C1433" s="6" t="s">
        <v>7299</v>
      </c>
      <c r="G1433" t="str">
        <f t="shared" si="38"/>
        <v>llll</v>
      </c>
      <c r="H1433" t="str">
        <f>[1]!SplitText(A1433,"(",1)</f>
        <v xml:space="preserve">  USER</v>
      </c>
    </row>
    <row r="1434" spans="1:8">
      <c r="A1434" s="117" t="s">
        <v>4917</v>
      </c>
      <c r="G1434" t="str">
        <f t="shared" si="38"/>
        <v>o</v>
      </c>
      <c r="H1434" t="str">
        <f>[1]!SplitText(A1434,"(",1)</f>
        <v>Table 2: 130. USER Object Methods</v>
      </c>
    </row>
    <row r="1435" spans="1:8">
      <c r="A1435" s="115" t="s">
        <v>4656</v>
      </c>
      <c r="B1435" s="115" t="s">
        <v>4657</v>
      </c>
      <c r="G1435" t="str">
        <f t="shared" si="38"/>
        <v>llll</v>
      </c>
      <c r="H1435" t="str">
        <f>[1]!SplitText(A1435,"(",1)</f>
        <v>2.5.74</v>
      </c>
    </row>
    <row r="1436" spans="1:8" ht="17.25" thickBot="1">
      <c r="A1436" s="126" t="s">
        <v>1646</v>
      </c>
      <c r="G1436" t="str">
        <f t="shared" si="38"/>
        <v>llll</v>
      </c>
      <c r="H1436" t="str">
        <f>[1]!SplitText(A1436,"(",1)</f>
        <v>Methods</v>
      </c>
    </row>
    <row r="1437" spans="1:8" ht="17.25" thickBot="1">
      <c r="A1437" s="102" t="s">
        <v>1591</v>
      </c>
      <c r="B1437" s="103" t="s">
        <v>1592</v>
      </c>
      <c r="C1437" s="103" t="s">
        <v>1593</v>
      </c>
      <c r="G1437" t="str">
        <f t="shared" si="38"/>
        <v>llll</v>
      </c>
      <c r="H1437" t="str">
        <f>[1]!SplitText(A1437,"(",1)</f>
        <v>Name</v>
      </c>
    </row>
    <row r="1438" spans="1:8" ht="17.25" thickBot="1">
      <c r="A1438" s="145" t="s">
        <v>7300</v>
      </c>
      <c r="B1438" s="6" t="s">
        <v>7301</v>
      </c>
      <c r="C1438" s="5" t="s">
        <v>6513</v>
      </c>
      <c r="G1438" t="str">
        <f t="shared" si="38"/>
        <v>llll</v>
      </c>
      <c r="H1438" t="str">
        <f>[1]!SplitText(A1438,"(",1)</f>
        <v xml:space="preserve">  Verify</v>
      </c>
    </row>
    <row r="1439" spans="1:8" ht="17.25" thickBot="1">
      <c r="A1439" s="145" t="s">
        <v>7302</v>
      </c>
      <c r="B1439" s="5" t="s">
        <v>5273</v>
      </c>
      <c r="C1439" s="5" t="s">
        <v>7303</v>
      </c>
      <c r="G1439" t="str">
        <f t="shared" si="38"/>
        <v>llll</v>
      </c>
      <c r="H1439" t="str">
        <f>[1]!SplitText(A1439,"(",1)</f>
        <v xml:space="preserve">  After</v>
      </c>
    </row>
    <row r="1440" spans="1:8" ht="17.25" thickBot="1">
      <c r="A1440" s="145" t="s">
        <v>7304</v>
      </c>
      <c r="B1440" s="5" t="s">
        <v>5273</v>
      </c>
      <c r="C1440" s="5" t="s">
        <v>7305</v>
      </c>
      <c r="G1440" t="str">
        <f t="shared" si="38"/>
        <v>llll</v>
      </c>
      <c r="H1440" t="str">
        <f>[1]!SplitText(A1440,"(",1)</f>
        <v xml:space="preserve">  Before</v>
      </c>
    </row>
    <row r="1441" spans="1:8" ht="26.25" thickBot="1">
      <c r="A1441" s="145" t="s">
        <v>7306</v>
      </c>
      <c r="B1441" s="5" t="s">
        <v>5273</v>
      </c>
      <c r="C1441" s="6" t="s">
        <v>7307</v>
      </c>
      <c r="G1441" t="str">
        <f t="shared" si="38"/>
        <v>llll</v>
      </c>
      <c r="H1441" t="str">
        <f>[1]!SplitText(A1441,"(",1)</f>
        <v xml:space="preserve">  Hostname</v>
      </c>
    </row>
    <row r="1442" spans="1:8" ht="26.25" thickBot="1">
      <c r="A1442" s="145" t="s">
        <v>7308</v>
      </c>
      <c r="B1442" s="5" t="s">
        <v>5273</v>
      </c>
      <c r="C1442" s="5" t="s">
        <v>7309</v>
      </c>
      <c r="G1442" t="str">
        <f t="shared" si="38"/>
        <v>llll</v>
      </c>
      <c r="H1442" t="str">
        <f>[1]!SplitText(A1442,"(",1)</f>
        <v xml:space="preserve">  Hostname</v>
      </c>
    </row>
    <row r="1443" spans="1:8" ht="25.5">
      <c r="A1443" s="176" t="s">
        <v>7310</v>
      </c>
      <c r="B1443" s="91" t="s">
        <v>5316</v>
      </c>
      <c r="C1443" s="7" t="s">
        <v>7311</v>
      </c>
      <c r="G1443" t="str">
        <f t="shared" si="38"/>
        <v>llll</v>
      </c>
      <c r="H1443" t="str">
        <f>[1]!SplitText(A1443,"(",1)</f>
        <v xml:space="preserve">  WinUser</v>
      </c>
    </row>
    <row r="1444" spans="1:8" ht="26.25" thickBot="1">
      <c r="A1444" s="145" t="s">
        <v>7312</v>
      </c>
      <c r="B1444" s="5" t="s">
        <v>5273</v>
      </c>
      <c r="C1444" s="6" t="s">
        <v>7313</v>
      </c>
      <c r="G1444" t="str">
        <f t="shared" si="38"/>
        <v>llll</v>
      </c>
      <c r="H1444" t="str">
        <f>[1]!SplitText(A1444,"(",1)</f>
        <v xml:space="preserve">  WinUser</v>
      </c>
    </row>
    <row r="1445" spans="1:8">
      <c r="A1445" s="117" t="s">
        <v>4673</v>
      </c>
      <c r="G1445" t="str">
        <f t="shared" si="38"/>
        <v>o</v>
      </c>
      <c r="H1445" t="str">
        <f>[1]!SplitText(A1445,"(",1)</f>
        <v>Table 2: 131. VERIFY Object Method</v>
      </c>
    </row>
    <row r="1446" spans="1:8" ht="17.25" thickBot="1">
      <c r="A1446" s="115" t="s">
        <v>4674</v>
      </c>
      <c r="B1446" s="115" t="s">
        <v>4675</v>
      </c>
      <c r="G1446" t="str">
        <f t="shared" si="38"/>
        <v>llll</v>
      </c>
      <c r="H1446" t="str">
        <f>[1]!SplitText(A1446,"(",1)</f>
        <v>2.5.75</v>
      </c>
    </row>
    <row r="1447" spans="1:8" ht="17.25" thickBot="1">
      <c r="A1447" s="102" t="s">
        <v>1591</v>
      </c>
      <c r="B1447" s="103" t="s">
        <v>1592</v>
      </c>
      <c r="C1447" s="103" t="s">
        <v>1593</v>
      </c>
      <c r="G1447" t="str">
        <f t="shared" si="38"/>
        <v>llll</v>
      </c>
      <c r="H1447" t="str">
        <f>[1]!SplitText(A1447,"(",1)</f>
        <v>Name</v>
      </c>
    </row>
    <row r="1448" spans="1:8" ht="30.75" thickBot="1">
      <c r="A1448" s="162" t="s">
        <v>7314</v>
      </c>
      <c r="B1448" s="5" t="s">
        <v>6006</v>
      </c>
      <c r="C1448" s="6" t="s">
        <v>7315</v>
      </c>
      <c r="G1448" t="str">
        <f t="shared" si="38"/>
        <v>llll</v>
      </c>
      <c r="H1448" t="str">
        <f>[1]!SplitText(A1448,"(",1)</f>
        <v xml:space="preserve">  .viewFinder</v>
      </c>
    </row>
    <row r="1449" spans="1:8" ht="30.75" thickBot="1">
      <c r="A1449" s="145" t="s">
        <v>7316</v>
      </c>
      <c r="B1449" s="5" t="s">
        <v>6029</v>
      </c>
      <c r="C1449" s="6" t="s">
        <v>7317</v>
      </c>
      <c r="G1449" t="str">
        <f t="shared" si="38"/>
        <v>llll</v>
      </c>
      <c r="H1449" t="str">
        <f>[1]!SplitText(A1449,"(",1)</f>
        <v xml:space="preserve">  .view</v>
      </c>
    </row>
    <row r="1450" spans="1:8" ht="17.25" thickBot="1">
      <c r="A1450" s="102" t="s">
        <v>5375</v>
      </c>
      <c r="B1450" s="103" t="s">
        <v>5398</v>
      </c>
      <c r="C1450" s="103" t="s">
        <v>5399</v>
      </c>
      <c r="G1450" t="str">
        <f t="shared" si="38"/>
        <v>llll</v>
      </c>
      <c r="H1450" t="str">
        <f>[1]!SplitText(A1450,"(",1)</f>
        <v xml:space="preserve">  Name</v>
      </c>
    </row>
    <row r="1451" spans="1:8" ht="17.25" thickBot="1">
      <c r="A1451" s="145" t="s">
        <v>7318</v>
      </c>
      <c r="B1451" s="5" t="s">
        <v>6006</v>
      </c>
      <c r="C1451" s="6" t="s">
        <v>7319</v>
      </c>
      <c r="G1451" t="str">
        <f t="shared" si="38"/>
        <v>llll</v>
      </c>
      <c r="H1451" t="str">
        <f>[1]!SplitText(A1451,"(",1)</f>
        <v xml:space="preserve">  .redraw</v>
      </c>
    </row>
    <row r="1452" spans="1:8" ht="17.25" thickBot="1">
      <c r="A1452" s="145" t="s">
        <v>7320</v>
      </c>
      <c r="B1452" s="5" t="s">
        <v>6006</v>
      </c>
      <c r="C1452" s="6" t="s">
        <v>7321</v>
      </c>
      <c r="G1452" t="str">
        <f t="shared" si="38"/>
        <v>llll</v>
      </c>
      <c r="H1452" t="str">
        <f>[1]!SplitText(A1452,"(",1)</f>
        <v xml:space="preserve">  .update3d</v>
      </c>
    </row>
    <row r="1453" spans="1:8" ht="17.25" thickBot="1">
      <c r="A1453" s="145" t="s">
        <v>7322</v>
      </c>
      <c r="B1453" s="5" t="s">
        <v>6006</v>
      </c>
      <c r="C1453" s="6" t="s">
        <v>7323</v>
      </c>
      <c r="G1453" t="str">
        <f t="shared" si="38"/>
        <v>llll</v>
      </c>
      <c r="H1453" t="str">
        <f>[1]!SplitText(A1453,"(",1)</f>
        <v xml:space="preserve">  .colour </v>
      </c>
    </row>
    <row r="1454" spans="1:8" ht="45.75" thickBot="1">
      <c r="A1454" s="145" t="s">
        <v>7324</v>
      </c>
      <c r="B1454" s="5" t="s">
        <v>6006</v>
      </c>
      <c r="C1454" s="5" t="s">
        <v>7325</v>
      </c>
      <c r="G1454" t="str">
        <f t="shared" si="38"/>
        <v>llll</v>
      </c>
      <c r="H1454" t="str">
        <f>[1]!SplitText(A1454,"(",1)</f>
        <v xml:space="preserve">  .translucency</v>
      </c>
    </row>
    <row r="1455" spans="1:8" ht="17.25" thickBot="1">
      <c r="A1455" s="145" t="s">
        <v>7326</v>
      </c>
      <c r="B1455" s="5" t="s">
        <v>6006</v>
      </c>
      <c r="C1455" s="6" t="s">
        <v>7327</v>
      </c>
      <c r="G1455" t="str">
        <f t="shared" si="38"/>
        <v>llll</v>
      </c>
      <c r="H1455" t="str">
        <f>[1]!SplitText(A1455,"(",1)</f>
        <v xml:space="preserve">  .align</v>
      </c>
    </row>
    <row r="1456" spans="1:8" ht="17.25" thickBot="1">
      <c r="A1456" s="145" t="s">
        <v>7328</v>
      </c>
      <c r="B1456" s="5" t="s">
        <v>6006</v>
      </c>
      <c r="C1456" s="6" t="s">
        <v>7329</v>
      </c>
      <c r="G1456" t="str">
        <f t="shared" si="38"/>
        <v>llll</v>
      </c>
      <c r="H1456" t="str">
        <f>[1]!SplitText(A1456,"(",1)</f>
        <v xml:space="preserve">  .lock</v>
      </c>
    </row>
    <row r="1457" spans="1:8" ht="30.75" thickBot="1">
      <c r="A1457" s="145" t="s">
        <v>7330</v>
      </c>
      <c r="B1457" s="5" t="s">
        <v>6006</v>
      </c>
      <c r="C1457" s="6" t="s">
        <v>7331</v>
      </c>
      <c r="G1457" t="str">
        <f t="shared" si="38"/>
        <v>llll</v>
      </c>
      <c r="H1457" t="str">
        <f>[1]!SplitText(A1457,"(",1)</f>
        <v xml:space="preserve">  .dynamic</v>
      </c>
    </row>
    <row r="1458" spans="1:8" ht="17.25" thickBot="1">
      <c r="A1458" s="145" t="s">
        <v>7332</v>
      </c>
      <c r="B1458" s="5" t="s">
        <v>6006</v>
      </c>
      <c r="C1458" s="5" t="s">
        <v>7333</v>
      </c>
      <c r="G1458" t="str">
        <f t="shared" si="38"/>
        <v>llll</v>
      </c>
      <c r="H1458" t="str">
        <f>[1]!SplitText(A1458,"(",1)</f>
        <v xml:space="preserve">  .hide</v>
      </c>
    </row>
    <row r="1459" spans="1:8" ht="30.75" thickBot="1">
      <c r="A1459" s="145" t="s">
        <v>7334</v>
      </c>
      <c r="B1459" s="5" t="s">
        <v>6029</v>
      </c>
      <c r="C1459" s="6" t="s">
        <v>7335</v>
      </c>
      <c r="G1459" t="str">
        <f t="shared" si="38"/>
        <v>llll</v>
      </c>
      <c r="H1459" t="str">
        <f>[1]!SplitText(A1459,"(",1)</f>
        <v xml:space="preserve">  .show</v>
      </c>
    </row>
    <row r="1460" spans="1:8" ht="17.25" thickBot="1">
      <c r="A1460" s="102" t="s">
        <v>5375</v>
      </c>
      <c r="B1460" s="172" t="s">
        <v>5398</v>
      </c>
      <c r="C1460" s="103" t="s">
        <v>5399</v>
      </c>
      <c r="G1460" t="str">
        <f t="shared" ref="G1460:G1505" si="39">IF(ISERROR(SEARCH("table 2:",A1460&amp;B1460&amp;C1460&amp;D1460&amp;E1460&amp;F1460,1)*1),"llll","o")</f>
        <v>llll</v>
      </c>
      <c r="H1460" t="str">
        <f>[1]!SplitText(A1460,"(",1)</f>
        <v xml:space="preserve">  Name</v>
      </c>
    </row>
    <row r="1461" spans="1:8" ht="26.25" thickBot="1">
      <c r="A1461" s="145" t="s">
        <v>7336</v>
      </c>
      <c r="B1461" s="174" t="s">
        <v>5265</v>
      </c>
      <c r="C1461" s="6" t="s">
        <v>7337</v>
      </c>
      <c r="G1461" t="str">
        <f t="shared" si="39"/>
        <v>llll</v>
      </c>
      <c r="H1461" t="str">
        <f>[1]!SplitText(A1461,"(",1)</f>
        <v xml:space="preserve"> valid</v>
      </c>
    </row>
    <row r="1462" spans="1:8" ht="17.25" thickBot="1">
      <c r="A1462" s="145" t="s">
        <v>7338</v>
      </c>
      <c r="B1462" s="174" t="s">
        <v>5696</v>
      </c>
      <c r="C1462" s="6" t="s">
        <v>7339</v>
      </c>
      <c r="G1462" t="str">
        <f t="shared" si="39"/>
        <v>llll</v>
      </c>
      <c r="H1462" t="str">
        <f>[1]!SplitText(A1462,"(",1)</f>
        <v xml:space="preserve">  view</v>
      </c>
    </row>
    <row r="1463" spans="1:8" ht="17.25" thickBot="1">
      <c r="A1463" s="145" t="s">
        <v>7340</v>
      </c>
      <c r="B1463" s="174" t="s">
        <v>5220</v>
      </c>
      <c r="C1463" s="6" t="s">
        <v>7341</v>
      </c>
      <c r="G1463" t="str">
        <f t="shared" si="39"/>
        <v>llll</v>
      </c>
      <c r="H1463" t="str">
        <f>[1]!SplitText(A1463,"(",1)</f>
        <v xml:space="preserve">  .position</v>
      </c>
    </row>
    <row r="1464" spans="1:8" ht="17.25" thickBot="1">
      <c r="A1464" s="145" t="s">
        <v>7342</v>
      </c>
      <c r="B1464" s="174" t="s">
        <v>5223</v>
      </c>
      <c r="C1464" s="6" t="s">
        <v>7343</v>
      </c>
      <c r="G1464" t="str">
        <f t="shared" si="39"/>
        <v>llll</v>
      </c>
      <c r="H1464" t="str">
        <f>[1]!SplitText(A1464,"(",1)</f>
        <v xml:space="preserve">  .direction</v>
      </c>
    </row>
    <row r="1465" spans="1:8" ht="17.25" thickBot="1">
      <c r="A1465" s="145" t="s">
        <v>7344</v>
      </c>
      <c r="B1465" s="111" t="s">
        <v>7345</v>
      </c>
      <c r="C1465" s="6" t="s">
        <v>7346</v>
      </c>
      <c r="G1465" t="str">
        <f t="shared" si="39"/>
        <v>llll</v>
      </c>
      <c r="H1465" t="str">
        <f>[1]!SplitText(A1465,"(",1)</f>
        <v xml:space="preserve">  size</v>
      </c>
    </row>
    <row r="1466" spans="1:8" ht="17.25" thickBot="1">
      <c r="A1466" s="145" t="s">
        <v>7347</v>
      </c>
      <c r="B1466" s="111" t="s">
        <v>5265</v>
      </c>
      <c r="C1466" s="5" t="s">
        <v>7348</v>
      </c>
      <c r="G1466" t="str">
        <f t="shared" si="39"/>
        <v>llll</v>
      </c>
      <c r="H1466" t="str">
        <f>[1]!SplitText(A1466,"(",1)</f>
        <v xml:space="preserve"> dynamic</v>
      </c>
    </row>
    <row r="1467" spans="1:8">
      <c r="A1467" s="117" t="s">
        <v>4706</v>
      </c>
      <c r="G1467" t="str">
        <f t="shared" si="39"/>
        <v>o</v>
      </c>
      <c r="H1467" t="str">
        <f>[1]!SplitText(A1467,"(",1)</f>
        <v>Table 2: 132. ViewFinder Object Methods</v>
      </c>
    </row>
    <row r="1468" spans="1:8" ht="17.25" thickBot="1">
      <c r="A1468" s="115" t="s">
        <v>4707</v>
      </c>
      <c r="B1468" s="115" t="s">
        <v>4708</v>
      </c>
      <c r="G1468" t="str">
        <f t="shared" si="39"/>
        <v>llll</v>
      </c>
      <c r="H1468" t="str">
        <f>[1]!SplitText(A1468,"(",1)</f>
        <v>2.5.76</v>
      </c>
    </row>
    <row r="1469" spans="1:8" ht="17.25" thickBot="1">
      <c r="A1469" s="102" t="s">
        <v>1591</v>
      </c>
      <c r="B1469" s="103" t="s">
        <v>1635</v>
      </c>
      <c r="C1469" s="110" t="s">
        <v>1593</v>
      </c>
      <c r="D1469" s="166"/>
      <c r="E1469" s="166"/>
      <c r="G1469" t="str">
        <f t="shared" si="39"/>
        <v>llll</v>
      </c>
      <c r="H1469" t="str">
        <f>[1]!SplitText(A1469,"(",1)</f>
        <v>Name</v>
      </c>
    </row>
    <row r="1470" spans="1:8">
      <c r="A1470" s="92" t="s">
        <v>7349</v>
      </c>
      <c r="B1470" s="8" t="s">
        <v>5596</v>
      </c>
      <c r="C1470" s="179" t="s">
        <v>7350</v>
      </c>
      <c r="D1470" s="187"/>
      <c r="E1470" s="187"/>
      <c r="G1470" t="str">
        <f t="shared" si="39"/>
        <v>llll</v>
      </c>
      <c r="H1470" t="str">
        <f>[1]!SplitText(A1470,"(",1)</f>
        <v xml:space="preserve">  Channel </v>
      </c>
    </row>
    <row r="1471" spans="1:8" ht="17.25" thickBot="1">
      <c r="A1471" s="4" t="s">
        <v>5277</v>
      </c>
      <c r="B1471" s="6" t="s">
        <v>5273</v>
      </c>
      <c r="C1471" s="6" t="s">
        <v>7351</v>
      </c>
      <c r="G1471" t="str">
        <f t="shared" si="39"/>
        <v>llll</v>
      </c>
      <c r="H1471" t="str">
        <f>[1]!SplitText(A1471,"(",1)</f>
        <v xml:space="preserve">  Clear</v>
      </c>
    </row>
    <row r="1472" spans="1:8" ht="17.25" thickBot="1">
      <c r="A1472" s="4" t="s">
        <v>7352</v>
      </c>
      <c r="B1472" s="6" t="s">
        <v>5273</v>
      </c>
      <c r="C1472" s="5" t="s">
        <v>5582</v>
      </c>
      <c r="G1472" t="str">
        <f t="shared" si="39"/>
        <v>llll</v>
      </c>
      <c r="H1472" t="str">
        <f>[1]!SplitText(A1472,"(",1)</f>
        <v xml:space="preserve">  Refresh</v>
      </c>
    </row>
    <row r="1473" spans="1:8" ht="17.25" thickBot="1">
      <c r="A1473" s="4" t="s">
        <v>5480</v>
      </c>
      <c r="B1473" s="6" t="s">
        <v>5273</v>
      </c>
      <c r="C1473" s="6" t="s">
        <v>7353</v>
      </c>
      <c r="G1473" t="str">
        <f t="shared" si="39"/>
        <v>llll</v>
      </c>
      <c r="H1473" t="str">
        <f>[1]!SplitText(A1473,"(",1)</f>
        <v xml:space="preserve">  SetFocus</v>
      </c>
    </row>
    <row r="1474" spans="1:8" ht="26.25" thickBot="1">
      <c r="A1474" s="4" t="s">
        <v>7354</v>
      </c>
      <c r="B1474" s="6" t="s">
        <v>5273</v>
      </c>
      <c r="C1474" s="6" t="s">
        <v>7355</v>
      </c>
      <c r="G1474" t="str">
        <f t="shared" si="39"/>
        <v>llll</v>
      </c>
      <c r="H1474" t="str">
        <f>[1]!SplitText(A1474,"(",1)</f>
        <v xml:space="preserve">  removeRequests</v>
      </c>
    </row>
    <row r="1475" spans="1:8" ht="63.75">
      <c r="A1475" s="92" t="s">
        <v>5484</v>
      </c>
      <c r="B1475" s="91" t="s">
        <v>5174</v>
      </c>
      <c r="C1475" s="8" t="s">
        <v>6140</v>
      </c>
      <c r="G1475" t="str">
        <f t="shared" si="39"/>
        <v>llll</v>
      </c>
      <c r="H1475" t="str">
        <f>[1]!SplitText(A1475,"(",1)</f>
        <v xml:space="preserve">  Background</v>
      </c>
    </row>
    <row r="1476" spans="1:8">
      <c r="A1476" s="117" t="s">
        <v>4927</v>
      </c>
      <c r="G1476" t="str">
        <f t="shared" si="39"/>
        <v>o</v>
      </c>
      <c r="H1476" t="str">
        <f>[1]!SplitText(A1476,"(",1)</f>
        <v>Table 2: 134. VIEW ALPHA Object Methods</v>
      </c>
    </row>
    <row r="1477" spans="1:8" ht="17.25" thickBot="1">
      <c r="A1477" s="115" t="s">
        <v>4717</v>
      </c>
      <c r="B1477" s="115" t="s">
        <v>4718</v>
      </c>
      <c r="G1477" t="str">
        <f t="shared" si="39"/>
        <v>llll</v>
      </c>
      <c r="H1477" t="str">
        <f>[1]!SplitText(A1477,"(",1)</f>
        <v>2.5.77</v>
      </c>
    </row>
    <row r="1478" spans="1:8" ht="17.25" thickBot="1">
      <c r="A1478" s="102" t="s">
        <v>1591</v>
      </c>
      <c r="B1478" s="103" t="s">
        <v>1635</v>
      </c>
      <c r="C1478" s="103" t="s">
        <v>1593</v>
      </c>
      <c r="G1478" t="str">
        <f t="shared" si="39"/>
        <v>llll</v>
      </c>
      <c r="H1478" t="str">
        <f>[1]!SplitText(A1478,"(",1)</f>
        <v>Name</v>
      </c>
    </row>
    <row r="1479" spans="1:8" ht="17.25" thickBot="1">
      <c r="A1479" s="92" t="s">
        <v>7356</v>
      </c>
      <c r="B1479" s="8" t="s">
        <v>7357</v>
      </c>
      <c r="C1479" s="8" t="s">
        <v>7358</v>
      </c>
      <c r="G1479" t="str">
        <f t="shared" si="39"/>
        <v>llll</v>
      </c>
      <c r="H1479" t="str">
        <f>[1]!SplitText(A1479,"(",1)</f>
        <v xml:space="preserve">  Limits  </v>
      </c>
    </row>
    <row r="1480" spans="1:8" ht="17.25" thickBot="1">
      <c r="A1480" s="92" t="s">
        <v>7359</v>
      </c>
      <c r="B1480" s="8" t="s">
        <v>5552</v>
      </c>
      <c r="C1480" s="91" t="s">
        <v>7360</v>
      </c>
      <c r="G1480" t="str">
        <f t="shared" si="39"/>
        <v>llll</v>
      </c>
      <c r="H1480" t="str">
        <f>[1]!SplitText(A1480,"(",1)</f>
        <v xml:space="preserve">  Borders  </v>
      </c>
    </row>
    <row r="1481" spans="1:8">
      <c r="A1481" s="92" t="s">
        <v>5459</v>
      </c>
      <c r="B1481" s="8" t="s">
        <v>5993</v>
      </c>
      <c r="C1481" s="7" t="s">
        <v>7361</v>
      </c>
      <c r="G1481" t="str">
        <f t="shared" si="39"/>
        <v>llll</v>
      </c>
      <c r="H1481" t="str">
        <f>[1]!SplitText(A1481,"(",1)</f>
        <v xml:space="preserve">  Background </v>
      </c>
    </row>
    <row r="1482" spans="1:8" ht="17.25" thickBot="1">
      <c r="A1482" s="4" t="s">
        <v>6319</v>
      </c>
      <c r="B1482" s="5" t="s">
        <v>5462</v>
      </c>
      <c r="C1482" s="5" t="s">
        <v>7362</v>
      </c>
      <c r="G1482" t="str">
        <f t="shared" si="39"/>
        <v>llll</v>
      </c>
      <c r="H1482" t="str">
        <f>[1]!SplitText(A1482,"(",1)</f>
        <v xml:space="preserve">  Background</v>
      </c>
    </row>
    <row r="1483" spans="1:8" ht="17.25" thickBot="1">
      <c r="A1483" s="92" t="s">
        <v>7363</v>
      </c>
      <c r="B1483" s="8" t="s">
        <v>7364</v>
      </c>
      <c r="C1483" s="91" t="s">
        <v>7365</v>
      </c>
      <c r="G1483" t="str">
        <f t="shared" si="39"/>
        <v>llll</v>
      </c>
      <c r="H1483" t="str">
        <f>[1]!SplitText(A1483,"(",1)</f>
        <v xml:space="preserve">  Contents   </v>
      </c>
    </row>
    <row r="1484" spans="1:8" ht="17.25" thickBot="1">
      <c r="A1484" s="92" t="s">
        <v>7366</v>
      </c>
      <c r="B1484" s="8" t="s">
        <v>5596</v>
      </c>
      <c r="C1484" s="91" t="s">
        <v>7367</v>
      </c>
      <c r="G1484" t="str">
        <f t="shared" si="39"/>
        <v>llll</v>
      </c>
      <c r="H1484" t="str">
        <f>[1]!SplitText(A1484,"(",1)</f>
        <v xml:space="preserve">  Defcall </v>
      </c>
    </row>
    <row r="1485" spans="1:8" ht="17.25" thickBot="1">
      <c r="A1485" s="92" t="s">
        <v>7368</v>
      </c>
      <c r="B1485" s="8" t="s">
        <v>6937</v>
      </c>
      <c r="C1485" s="91" t="s">
        <v>7369</v>
      </c>
      <c r="G1485" t="str">
        <f t="shared" si="39"/>
        <v>llll</v>
      </c>
      <c r="H1485" t="str">
        <f>[1]!SplitText(A1485,"(",1)</f>
        <v xml:space="preserve">  Height  </v>
      </c>
    </row>
    <row r="1486" spans="1:8">
      <c r="A1486" s="92" t="s">
        <v>7370</v>
      </c>
      <c r="B1486" s="8" t="s">
        <v>5993</v>
      </c>
      <c r="C1486" s="91" t="s">
        <v>7371</v>
      </c>
      <c r="G1486" t="str">
        <f t="shared" si="39"/>
        <v>llll</v>
      </c>
      <c r="H1486" t="str">
        <f>[1]!SplitText(A1486,"(",1)</f>
        <v xml:space="preserve">  Highlight </v>
      </c>
    </row>
    <row r="1487" spans="1:8" ht="17.25" thickBot="1">
      <c r="A1487" s="4" t="s">
        <v>7372</v>
      </c>
      <c r="B1487" s="5" t="s">
        <v>5462</v>
      </c>
      <c r="C1487" s="5" t="s">
        <v>7373</v>
      </c>
      <c r="G1487" t="str">
        <f t="shared" si="39"/>
        <v>llll</v>
      </c>
      <c r="H1487" t="str">
        <f>[1]!SplitText(A1487,"(",1)</f>
        <v xml:space="preserve">  Highlight</v>
      </c>
    </row>
    <row r="1488" spans="1:8">
      <c r="A1488" s="92" t="s">
        <v>7374</v>
      </c>
      <c r="B1488" s="8" t="s">
        <v>7375</v>
      </c>
      <c r="C1488" s="91" t="s">
        <v>7376</v>
      </c>
      <c r="G1488" t="str">
        <f t="shared" si="39"/>
        <v>llll</v>
      </c>
      <c r="H1488" t="str">
        <f>[1]!SplitText(A1488,"(",1)</f>
        <v xml:space="preserve">  Prompt </v>
      </c>
    </row>
    <row r="1489" spans="1:8" ht="17.25" thickBot="1">
      <c r="A1489" s="4" t="s">
        <v>7377</v>
      </c>
      <c r="B1489" s="5" t="s">
        <v>5544</v>
      </c>
      <c r="C1489" s="5" t="s">
        <v>7378</v>
      </c>
      <c r="G1489" t="str">
        <f t="shared" si="39"/>
        <v>llll</v>
      </c>
      <c r="H1489" t="str">
        <f>[1]!SplitText(A1489,"(",1)</f>
        <v xml:space="preserve">  Subtype</v>
      </c>
    </row>
    <row r="1490" spans="1:8">
      <c r="A1490" s="92" t="s">
        <v>7379</v>
      </c>
      <c r="B1490" s="8" t="s">
        <v>6937</v>
      </c>
      <c r="C1490" s="91" t="s">
        <v>7380</v>
      </c>
      <c r="G1490" t="str">
        <f t="shared" si="39"/>
        <v>llll</v>
      </c>
      <c r="H1490" t="str">
        <f>[1]!SplitText(A1490,"(",1)</f>
        <v xml:space="preserve">  Width  </v>
      </c>
    </row>
    <row r="1491" spans="1:8" ht="17.25" thickBot="1">
      <c r="A1491" s="4" t="s">
        <v>7244</v>
      </c>
      <c r="B1491" s="5" t="s">
        <v>5177</v>
      </c>
      <c r="C1491" s="6" t="s">
        <v>7381</v>
      </c>
      <c r="G1491" t="str">
        <f t="shared" si="39"/>
        <v>llll</v>
      </c>
      <c r="H1491" t="str">
        <f>[1]!SplitText(A1491,"(",1)</f>
        <v xml:space="preserve">  Background</v>
      </c>
    </row>
    <row r="1492" spans="1:8" ht="17.25" thickBot="1">
      <c r="A1492" s="4" t="s">
        <v>5277</v>
      </c>
      <c r="B1492" s="6" t="s">
        <v>5273</v>
      </c>
      <c r="C1492" s="5" t="s">
        <v>7382</v>
      </c>
      <c r="G1492" t="str">
        <f t="shared" si="39"/>
        <v>llll</v>
      </c>
      <c r="H1492" t="str">
        <f>[1]!SplitText(A1492,"(",1)</f>
        <v xml:space="preserve">  Clear</v>
      </c>
    </row>
    <row r="1493" spans="1:8" ht="17.25" thickBot="1">
      <c r="A1493" s="4" t="s">
        <v>7383</v>
      </c>
      <c r="B1493" s="5" t="s">
        <v>5177</v>
      </c>
      <c r="C1493" s="6" t="s">
        <v>7381</v>
      </c>
      <c r="G1493" t="str">
        <f t="shared" si="39"/>
        <v>llll</v>
      </c>
      <c r="H1493" t="str">
        <f>[1]!SplitText(A1493,"(",1)</f>
        <v xml:space="preserve">  Highlight</v>
      </c>
    </row>
    <row r="1494" spans="1:8" ht="17.25" thickBot="1">
      <c r="A1494" s="4" t="s">
        <v>5482</v>
      </c>
      <c r="B1494" s="6" t="s">
        <v>5273</v>
      </c>
      <c r="C1494" s="5" t="s">
        <v>7384</v>
      </c>
      <c r="G1494" t="str">
        <f t="shared" si="39"/>
        <v>llll</v>
      </c>
      <c r="H1494" t="str">
        <f>[1]!SplitText(A1494,"(",1)</f>
        <v xml:space="preserve">  Refresh</v>
      </c>
    </row>
    <row r="1495" spans="1:8" ht="27.75" thickBot="1">
      <c r="A1495" s="4" t="s">
        <v>7385</v>
      </c>
      <c r="B1495" s="6" t="s">
        <v>5273</v>
      </c>
      <c r="C1495" s="6" t="s">
        <v>7386</v>
      </c>
      <c r="G1495" t="str">
        <f t="shared" si="39"/>
        <v>llll</v>
      </c>
      <c r="H1495" t="str">
        <f>[1]!SplitText(A1495,"(",1)</f>
        <v xml:space="preserve">  RestoreView</v>
      </c>
    </row>
    <row r="1496" spans="1:8" ht="27.75" thickBot="1">
      <c r="A1496" s="4" t="s">
        <v>7387</v>
      </c>
      <c r="B1496" s="6" t="s">
        <v>5273</v>
      </c>
      <c r="C1496" s="6" t="s">
        <v>7388</v>
      </c>
      <c r="G1496" t="str">
        <f t="shared" si="39"/>
        <v>llll</v>
      </c>
      <c r="H1496" t="str">
        <f>[1]!SplitText(A1496,"(",1)</f>
        <v xml:space="preserve">  SaveView</v>
      </c>
    </row>
    <row r="1497" spans="1:8" ht="27.75" thickBot="1">
      <c r="A1497" s="4" t="s">
        <v>7389</v>
      </c>
      <c r="B1497" s="6" t="s">
        <v>5273</v>
      </c>
      <c r="C1497" s="5" t="s">
        <v>7390</v>
      </c>
      <c r="G1497" t="str">
        <f t="shared" si="39"/>
        <v>llll</v>
      </c>
      <c r="H1497" t="str">
        <f>[1]!SplitText(A1497,"(",1)</f>
        <v xml:space="preserve">  SetSize</v>
      </c>
    </row>
    <row r="1498" spans="1:8">
      <c r="A1498" s="117" t="s">
        <v>4755</v>
      </c>
      <c r="G1498" t="str">
        <f t="shared" si="39"/>
        <v>o</v>
      </c>
      <c r="H1498" t="str">
        <f>[1]!SplitText(A1498,"(",1)</f>
        <v>Table 2: 136. VIEW AREA Object Methods</v>
      </c>
    </row>
    <row r="1499" spans="1:8" ht="17.25" thickBot="1">
      <c r="A1499" s="115" t="s">
        <v>4777</v>
      </c>
      <c r="B1499" s="115" t="s">
        <v>4778</v>
      </c>
      <c r="G1499" t="str">
        <f t="shared" si="39"/>
        <v>llll</v>
      </c>
      <c r="H1499" t="str">
        <f>[1]!SplitText(A1499,"(",1)</f>
        <v>2.5.78</v>
      </c>
    </row>
    <row r="1500" spans="1:8" ht="17.25" thickBot="1">
      <c r="A1500" s="102" t="s">
        <v>1591</v>
      </c>
      <c r="B1500" s="103" t="s">
        <v>1635</v>
      </c>
      <c r="C1500" s="103" t="s">
        <v>1593</v>
      </c>
      <c r="G1500" t="str">
        <f t="shared" si="39"/>
        <v>llll</v>
      </c>
      <c r="H1500" t="str">
        <f>[1]!SplitText(A1500,"(",1)</f>
        <v>Name</v>
      </c>
    </row>
    <row r="1501" spans="1:8">
      <c r="A1501" s="92" t="s">
        <v>5459</v>
      </c>
      <c r="B1501" s="8" t="s">
        <v>5993</v>
      </c>
      <c r="C1501" s="91" t="s">
        <v>7391</v>
      </c>
      <c r="G1501" t="str">
        <f t="shared" si="39"/>
        <v>llll</v>
      </c>
      <c r="H1501" t="str">
        <f>[1]!SplitText(A1501,"(",1)</f>
        <v xml:space="preserve">  Background </v>
      </c>
    </row>
    <row r="1502" spans="1:8" ht="17.25" thickBot="1">
      <c r="A1502" s="4" t="s">
        <v>6319</v>
      </c>
      <c r="B1502" s="5" t="s">
        <v>5462</v>
      </c>
      <c r="C1502" s="5" t="s">
        <v>7392</v>
      </c>
      <c r="G1502" t="str">
        <f t="shared" si="39"/>
        <v>llll</v>
      </c>
      <c r="H1502" t="str">
        <f>[1]!SplitText(A1502,"(",1)</f>
        <v xml:space="preserve">  Background</v>
      </c>
    </row>
    <row r="1503" spans="1:8" ht="17.25" thickBot="1">
      <c r="A1503" s="92" t="s">
        <v>7359</v>
      </c>
      <c r="B1503" s="8" t="s">
        <v>5552</v>
      </c>
      <c r="C1503" s="91" t="s">
        <v>7360</v>
      </c>
      <c r="G1503" t="str">
        <f t="shared" si="39"/>
        <v>llll</v>
      </c>
      <c r="H1503" t="str">
        <f>[1]!SplitText(A1503,"(",1)</f>
        <v xml:space="preserve">  Borders  </v>
      </c>
    </row>
    <row r="1504" spans="1:8" ht="17.25" thickBot="1">
      <c r="A1504" s="92" t="s">
        <v>7363</v>
      </c>
      <c r="B1504" s="8" t="s">
        <v>7364</v>
      </c>
      <c r="C1504" s="91" t="s">
        <v>7393</v>
      </c>
      <c r="G1504" t="str">
        <f t="shared" si="39"/>
        <v>llll</v>
      </c>
      <c r="H1504" t="str">
        <f>[1]!SplitText(A1504,"(",1)</f>
        <v xml:space="preserve">  Contents   </v>
      </c>
    </row>
    <row r="1505" spans="1:8" ht="17.25" thickBot="1">
      <c r="A1505" s="92" t="s">
        <v>7366</v>
      </c>
      <c r="B1505" s="8" t="s">
        <v>5596</v>
      </c>
      <c r="C1505" s="91" t="s">
        <v>7367</v>
      </c>
      <c r="G1505" t="str">
        <f t="shared" si="39"/>
        <v>llll</v>
      </c>
      <c r="H1505" t="str">
        <f>[1]!SplitText(A1505,"(",1)</f>
        <v xml:space="preserve">  Defcall </v>
      </c>
    </row>
    <row r="1506" spans="1:8" ht="17.25" thickBot="1">
      <c r="A1506" s="92" t="s">
        <v>7368</v>
      </c>
      <c r="B1506" s="8" t="s">
        <v>6937</v>
      </c>
      <c r="C1506" s="91" t="s">
        <v>7369</v>
      </c>
      <c r="G1506" t="str">
        <f t="shared" ref="G1506:G1543" si="40">IF(ISERROR(SEARCH("table 2:",A1506&amp;B1506&amp;C1506&amp;D1506&amp;E1506&amp;F1506,1)*1),"llll","o")</f>
        <v>llll</v>
      </c>
      <c r="H1506" t="str">
        <f>[1]!SplitText(A1506,"(",1)</f>
        <v xml:space="preserve">  Height  </v>
      </c>
    </row>
    <row r="1507" spans="1:8">
      <c r="A1507" s="92" t="s">
        <v>7370</v>
      </c>
      <c r="B1507" s="8" t="s">
        <v>5993</v>
      </c>
      <c r="C1507" s="91" t="s">
        <v>7371</v>
      </c>
      <c r="G1507" t="str">
        <f t="shared" si="40"/>
        <v>llll</v>
      </c>
      <c r="H1507" t="str">
        <f>[1]!SplitText(A1507,"(",1)</f>
        <v xml:space="preserve">  Highlight </v>
      </c>
    </row>
    <row r="1508" spans="1:8" ht="17.25" thickBot="1">
      <c r="A1508" s="4" t="s">
        <v>7372</v>
      </c>
      <c r="B1508" s="5" t="s">
        <v>5462</v>
      </c>
      <c r="C1508" s="5" t="s">
        <v>7394</v>
      </c>
      <c r="G1508" t="str">
        <f t="shared" si="40"/>
        <v>llll</v>
      </c>
      <c r="H1508" t="str">
        <f>[1]!SplitText(A1508,"(",1)</f>
        <v xml:space="preserve">  Highlight</v>
      </c>
    </row>
    <row r="1509" spans="1:8">
      <c r="A1509" s="92" t="s">
        <v>7374</v>
      </c>
      <c r="B1509" s="8" t="s">
        <v>7375</v>
      </c>
      <c r="C1509" s="91" t="s">
        <v>7395</v>
      </c>
      <c r="G1509" t="str">
        <f t="shared" si="40"/>
        <v>llll</v>
      </c>
      <c r="H1509" t="str">
        <f>[1]!SplitText(A1509,"(",1)</f>
        <v xml:space="preserve">  Prompt </v>
      </c>
    </row>
    <row r="1510" spans="1:8" ht="17.25" thickBot="1">
      <c r="A1510" s="4" t="s">
        <v>7377</v>
      </c>
      <c r="B1510" s="5" t="s">
        <v>5544</v>
      </c>
      <c r="C1510" s="5" t="s">
        <v>7378</v>
      </c>
      <c r="G1510" t="str">
        <f t="shared" si="40"/>
        <v>llll</v>
      </c>
      <c r="H1510" t="str">
        <f>[1]!SplitText(A1510,"(",1)</f>
        <v xml:space="preserve">  Subtype</v>
      </c>
    </row>
    <row r="1511" spans="1:8">
      <c r="A1511" s="92" t="s">
        <v>7379</v>
      </c>
      <c r="B1511" s="8" t="s">
        <v>6937</v>
      </c>
      <c r="C1511" s="91" t="s">
        <v>7380</v>
      </c>
      <c r="G1511" t="str">
        <f t="shared" si="40"/>
        <v>llll</v>
      </c>
      <c r="H1511" t="str">
        <f>[1]!SplitText(A1511,"(",1)</f>
        <v xml:space="preserve">  Width  </v>
      </c>
    </row>
    <row r="1512" spans="1:8" ht="26.25" thickBot="1">
      <c r="A1512" s="4" t="s">
        <v>7396</v>
      </c>
      <c r="B1512" s="6" t="s">
        <v>5273</v>
      </c>
      <c r="C1512" s="6" t="s">
        <v>7397</v>
      </c>
      <c r="G1512" t="str">
        <f t="shared" si="40"/>
        <v>llll</v>
      </c>
      <c r="H1512" t="str">
        <f>[1]!SplitText(A1512,"(",1)</f>
        <v xml:space="preserve">  Add</v>
      </c>
    </row>
    <row r="1513" spans="1:8" ht="17.25" thickBot="1">
      <c r="A1513" s="4" t="s">
        <v>7244</v>
      </c>
      <c r="B1513" s="5" t="s">
        <v>5177</v>
      </c>
      <c r="C1513" s="6" t="s">
        <v>7398</v>
      </c>
      <c r="G1513" t="str">
        <f t="shared" si="40"/>
        <v>llll</v>
      </c>
      <c r="H1513" t="str">
        <f>[1]!SplitText(A1513,"(",1)</f>
        <v xml:space="preserve">  Background</v>
      </c>
    </row>
    <row r="1514" spans="1:8" ht="17.25" thickBot="1">
      <c r="A1514" s="4" t="s">
        <v>5277</v>
      </c>
      <c r="B1514" s="6" t="s">
        <v>5273</v>
      </c>
      <c r="C1514" s="5" t="s">
        <v>7399</v>
      </c>
      <c r="G1514" t="str">
        <f t="shared" si="40"/>
        <v>llll</v>
      </c>
      <c r="H1514" t="str">
        <f>[1]!SplitText(A1514,"(",1)</f>
        <v xml:space="preserve">  Clear</v>
      </c>
    </row>
    <row r="1515" spans="1:8" ht="17.25" thickBot="1">
      <c r="A1515" s="4" t="s">
        <v>7383</v>
      </c>
      <c r="B1515" s="5" t="s">
        <v>5177</v>
      </c>
      <c r="C1515" s="6" t="s">
        <v>7400</v>
      </c>
      <c r="G1515" t="str">
        <f t="shared" si="40"/>
        <v>llll</v>
      </c>
      <c r="H1515" t="str">
        <f>[1]!SplitText(A1515,"(",1)</f>
        <v xml:space="preserve">  Highlight</v>
      </c>
    </row>
    <row r="1516" spans="1:8" ht="17.25" thickBot="1">
      <c r="A1516" s="4" t="s">
        <v>5482</v>
      </c>
      <c r="B1516" s="6" t="s">
        <v>5273</v>
      </c>
      <c r="C1516" s="5" t="s">
        <v>7384</v>
      </c>
      <c r="G1516" t="str">
        <f t="shared" si="40"/>
        <v>llll</v>
      </c>
      <c r="H1516" t="str">
        <f>[1]!SplitText(A1516,"(",1)</f>
        <v xml:space="preserve">  Refresh</v>
      </c>
    </row>
    <row r="1517" spans="1:8" ht="27.75" thickBot="1">
      <c r="A1517" s="4" t="s">
        <v>7389</v>
      </c>
      <c r="B1517" s="6" t="s">
        <v>5273</v>
      </c>
      <c r="C1517" s="5" t="s">
        <v>7401</v>
      </c>
      <c r="G1517" t="str">
        <f t="shared" si="40"/>
        <v>llll</v>
      </c>
      <c r="H1517" t="str">
        <f>[1]!SplitText(A1517,"(",1)</f>
        <v xml:space="preserve">  SetSize</v>
      </c>
    </row>
    <row r="1518" spans="1:8">
      <c r="A1518" s="117" t="s">
        <v>4791</v>
      </c>
      <c r="G1518" t="str">
        <f t="shared" si="40"/>
        <v>o</v>
      </c>
      <c r="H1518" t="str">
        <f>[1]!SplitText(A1518,"(",1)</f>
        <v>Table 2: 138. VIEW PLOT Object Methods</v>
      </c>
    </row>
    <row r="1519" spans="1:8" ht="17.25" thickBot="1">
      <c r="A1519" s="115" t="s">
        <v>4802</v>
      </c>
      <c r="B1519" s="115" t="s">
        <v>4803</v>
      </c>
      <c r="G1519" t="str">
        <f t="shared" si="40"/>
        <v>llll</v>
      </c>
      <c r="H1519" t="str">
        <f>[1]!SplitText(A1519,"(",1)</f>
        <v>2.5.79</v>
      </c>
    </row>
    <row r="1520" spans="1:8" ht="17.25" thickBot="1">
      <c r="A1520" s="102" t="s">
        <v>1591</v>
      </c>
      <c r="B1520" s="103" t="s">
        <v>1635</v>
      </c>
      <c r="C1520" s="103" t="s">
        <v>1593</v>
      </c>
      <c r="G1520" t="str">
        <f t="shared" si="40"/>
        <v>llll</v>
      </c>
      <c r="H1520" t="str">
        <f>[1]!SplitText(A1520,"(",1)</f>
        <v>Name</v>
      </c>
    </row>
    <row r="1521" spans="1:8">
      <c r="A1521" s="92" t="s">
        <v>5459</v>
      </c>
      <c r="B1521" s="8" t="s">
        <v>5993</v>
      </c>
      <c r="C1521" s="8" t="s">
        <v>7402</v>
      </c>
      <c r="G1521" t="str">
        <f t="shared" si="40"/>
        <v>llll</v>
      </c>
      <c r="H1521" t="str">
        <f>[1]!SplitText(A1521,"(",1)</f>
        <v xml:space="preserve">  Background </v>
      </c>
    </row>
    <row r="1522" spans="1:8" ht="17.25" thickBot="1">
      <c r="A1522" s="4" t="s">
        <v>6319</v>
      </c>
      <c r="B1522" s="5" t="s">
        <v>5462</v>
      </c>
      <c r="C1522" s="5" t="s">
        <v>6321</v>
      </c>
      <c r="G1522" t="str">
        <f t="shared" si="40"/>
        <v>llll</v>
      </c>
      <c r="H1522" t="str">
        <f>[1]!SplitText(A1522,"(",1)</f>
        <v xml:space="preserve">  Background</v>
      </c>
    </row>
    <row r="1523" spans="1:8" ht="17.25" thickBot="1">
      <c r="A1523" s="92" t="s">
        <v>7363</v>
      </c>
      <c r="B1523" s="8" t="s">
        <v>7364</v>
      </c>
      <c r="C1523" s="91" t="s">
        <v>7393</v>
      </c>
      <c r="G1523" t="str">
        <f t="shared" si="40"/>
        <v>llll</v>
      </c>
      <c r="H1523" t="str">
        <f>[1]!SplitText(A1523,"(",1)</f>
        <v xml:space="preserve">  Contents   </v>
      </c>
    </row>
    <row r="1524" spans="1:8" ht="17.25" thickBot="1">
      <c r="A1524" s="92" t="s">
        <v>7366</v>
      </c>
      <c r="B1524" s="8" t="s">
        <v>5596</v>
      </c>
      <c r="C1524" s="91" t="s">
        <v>7367</v>
      </c>
      <c r="G1524" t="str">
        <f t="shared" si="40"/>
        <v>llll</v>
      </c>
      <c r="H1524" t="str">
        <f>[1]!SplitText(A1524,"(",1)</f>
        <v xml:space="preserve">  Defcall </v>
      </c>
    </row>
    <row r="1525" spans="1:8" ht="17.25" thickBot="1">
      <c r="A1525" s="92" t="s">
        <v>7368</v>
      </c>
      <c r="B1525" s="8" t="s">
        <v>6937</v>
      </c>
      <c r="C1525" s="91" t="s">
        <v>7403</v>
      </c>
      <c r="G1525" t="str">
        <f t="shared" si="40"/>
        <v>llll</v>
      </c>
      <c r="H1525" t="str">
        <f>[1]!SplitText(A1525,"(",1)</f>
        <v xml:space="preserve">  Height  </v>
      </c>
    </row>
    <row r="1526" spans="1:8">
      <c r="A1526" s="92" t="s">
        <v>7370</v>
      </c>
      <c r="B1526" s="8" t="s">
        <v>5993</v>
      </c>
      <c r="C1526" s="91" t="s">
        <v>7404</v>
      </c>
      <c r="G1526" t="str">
        <f t="shared" si="40"/>
        <v>llll</v>
      </c>
      <c r="H1526" t="str">
        <f>[1]!SplitText(A1526,"(",1)</f>
        <v xml:space="preserve">  Highlight </v>
      </c>
    </row>
    <row r="1527" spans="1:8" ht="17.25" thickBot="1">
      <c r="A1527" s="4" t="s">
        <v>7372</v>
      </c>
      <c r="B1527" s="5" t="s">
        <v>5462</v>
      </c>
      <c r="C1527" s="5" t="s">
        <v>7405</v>
      </c>
      <c r="G1527" t="str">
        <f t="shared" si="40"/>
        <v>llll</v>
      </c>
      <c r="H1527" t="str">
        <f>[1]!SplitText(A1527,"(",1)</f>
        <v xml:space="preserve">  Highlight</v>
      </c>
    </row>
    <row r="1528" spans="1:8">
      <c r="A1528" s="92" t="s">
        <v>7374</v>
      </c>
      <c r="B1528" s="8" t="s">
        <v>7375</v>
      </c>
      <c r="C1528" s="91" t="s">
        <v>7406</v>
      </c>
      <c r="G1528" t="str">
        <f t="shared" si="40"/>
        <v>llll</v>
      </c>
      <c r="H1528" t="str">
        <f>[1]!SplitText(A1528,"(",1)</f>
        <v xml:space="preserve">  Prompt </v>
      </c>
    </row>
    <row r="1529" spans="1:8" ht="17.25" thickBot="1">
      <c r="A1529" s="4" t="s">
        <v>7377</v>
      </c>
      <c r="B1529" s="5" t="s">
        <v>5544</v>
      </c>
      <c r="C1529" s="5" t="s">
        <v>7407</v>
      </c>
      <c r="G1529" t="str">
        <f t="shared" si="40"/>
        <v>llll</v>
      </c>
      <c r="H1529" t="str">
        <f>[1]!SplitText(A1529,"(",1)</f>
        <v xml:space="preserve">  Subtype</v>
      </c>
    </row>
    <row r="1530" spans="1:8" ht="17.25" thickBot="1">
      <c r="A1530" s="92" t="s">
        <v>7379</v>
      </c>
      <c r="B1530" s="8" t="s">
        <v>6937</v>
      </c>
      <c r="C1530" s="91" t="s">
        <v>7408</v>
      </c>
      <c r="G1530" t="str">
        <f t="shared" si="40"/>
        <v>llll</v>
      </c>
      <c r="H1530" t="str">
        <f>[1]!SplitText(A1530,"(",1)</f>
        <v xml:space="preserve">  Width  </v>
      </c>
    </row>
    <row r="1531" spans="1:8" ht="17.25" thickBot="1">
      <c r="A1531" s="92" t="s">
        <v>7359</v>
      </c>
      <c r="B1531" s="8" t="s">
        <v>5552</v>
      </c>
      <c r="C1531" s="91" t="s">
        <v>7409</v>
      </c>
      <c r="G1531" t="str">
        <f t="shared" si="40"/>
        <v>llll</v>
      </c>
      <c r="H1531" t="str">
        <f>[1]!SplitText(A1531,"(",1)</f>
        <v xml:space="preserve">  Borders  </v>
      </c>
    </row>
    <row r="1532" spans="1:8" ht="17.25" thickBot="1">
      <c r="A1532" s="92" t="s">
        <v>7410</v>
      </c>
      <c r="B1532" s="8" t="s">
        <v>7411</v>
      </c>
      <c r="C1532" s="91" t="s">
        <v>7412</v>
      </c>
      <c r="G1532" t="str">
        <f t="shared" si="40"/>
        <v>llll</v>
      </c>
      <c r="H1532" t="str">
        <f>[1]!SplitText(A1532,"(",1)</f>
        <v xml:space="preserve">  Direction  </v>
      </c>
    </row>
    <row r="1533" spans="1:8" ht="17.25" thickBot="1">
      <c r="A1533" s="92" t="s">
        <v>7413</v>
      </c>
      <c r="B1533" s="8" t="s">
        <v>5552</v>
      </c>
      <c r="C1533" s="91" t="s">
        <v>7414</v>
      </c>
      <c r="G1533" t="str">
        <f t="shared" si="40"/>
        <v>llll</v>
      </c>
      <c r="H1533" t="str">
        <f>[1]!SplitText(A1533,"(",1)</f>
        <v xml:space="preserve">  EyeMode </v>
      </c>
    </row>
    <row r="1534" spans="1:8" ht="17.25" thickBot="1">
      <c r="A1534" s="92" t="s">
        <v>7415</v>
      </c>
      <c r="B1534" s="8" t="s">
        <v>7416</v>
      </c>
      <c r="C1534" s="8" t="s">
        <v>7417</v>
      </c>
      <c r="G1534" t="str">
        <f t="shared" si="40"/>
        <v>llll</v>
      </c>
      <c r="H1534" t="str">
        <f>[1]!SplitText(A1534,"(",1)</f>
        <v xml:space="preserve">  Limits   </v>
      </c>
    </row>
    <row r="1535" spans="1:8" ht="17.25" thickBot="1">
      <c r="A1535" s="92" t="s">
        <v>7418</v>
      </c>
      <c r="B1535" s="8" t="s">
        <v>5596</v>
      </c>
      <c r="C1535" s="91" t="s">
        <v>7419</v>
      </c>
      <c r="G1535" t="str">
        <f t="shared" si="40"/>
        <v>llll</v>
      </c>
      <c r="H1535" t="str">
        <f>[1]!SplitText(A1535,"(",1)</f>
        <v xml:space="preserve">  Mousemode </v>
      </c>
    </row>
    <row r="1536" spans="1:8" ht="17.25" thickBot="1">
      <c r="A1536" s="92" t="s">
        <v>7420</v>
      </c>
      <c r="B1536" s="8" t="s">
        <v>5596</v>
      </c>
      <c r="C1536" s="8" t="s">
        <v>7421</v>
      </c>
      <c r="G1536" t="str">
        <f t="shared" si="40"/>
        <v>llll</v>
      </c>
      <c r="H1536" t="str">
        <f>[1]!SplitText(A1536,"(",1)</f>
        <v xml:space="preserve">  Projection </v>
      </c>
    </row>
    <row r="1537" spans="1:8" ht="17.25" thickBot="1">
      <c r="A1537" s="92" t="s">
        <v>5185</v>
      </c>
      <c r="B1537" s="8" t="s">
        <v>5993</v>
      </c>
      <c r="C1537" s="91" t="s">
        <v>7422</v>
      </c>
      <c r="G1537" t="str">
        <f t="shared" si="40"/>
        <v>llll</v>
      </c>
      <c r="H1537" t="str">
        <f>[1]!SplitText(A1537,"(",1)</f>
        <v xml:space="preserve">  Radius </v>
      </c>
    </row>
    <row r="1538" spans="1:8">
      <c r="A1538" s="92" t="s">
        <v>7423</v>
      </c>
      <c r="B1538" s="8" t="s">
        <v>5993</v>
      </c>
      <c r="C1538" s="91" t="s">
        <v>7424</v>
      </c>
      <c r="G1538" t="str">
        <f t="shared" si="40"/>
        <v>llll</v>
      </c>
      <c r="H1538" t="str">
        <f>[1]!SplitText(A1538,"(",1)</f>
        <v xml:space="preserve">  Range </v>
      </c>
    </row>
    <row r="1539" spans="1:8" ht="17.25" thickBot="1">
      <c r="A1539" s="4" t="s">
        <v>7352</v>
      </c>
      <c r="B1539" s="6" t="s">
        <v>5273</v>
      </c>
      <c r="C1539" s="5" t="s">
        <v>5582</v>
      </c>
      <c r="G1539" t="str">
        <f t="shared" si="40"/>
        <v>llll</v>
      </c>
      <c r="H1539" t="str">
        <f>[1]!SplitText(A1539,"(",1)</f>
        <v xml:space="preserve">  Refresh</v>
      </c>
    </row>
    <row r="1540" spans="1:8" ht="17.25" thickBot="1">
      <c r="A1540" s="92" t="s">
        <v>7425</v>
      </c>
      <c r="B1540" s="8" t="s">
        <v>5993</v>
      </c>
      <c r="C1540" s="91" t="s">
        <v>7426</v>
      </c>
      <c r="G1540" t="str">
        <f t="shared" si="40"/>
        <v>llll</v>
      </c>
      <c r="H1540" t="str">
        <f>[1]!SplitText(A1540,"(",1)</f>
        <v xml:space="preserve">  RestoreView </v>
      </c>
    </row>
    <row r="1541" spans="1:8" ht="17.25" thickBot="1">
      <c r="A1541" s="92" t="s">
        <v>7427</v>
      </c>
      <c r="B1541" s="8" t="s">
        <v>5993</v>
      </c>
      <c r="C1541" s="91" t="s">
        <v>7428</v>
      </c>
      <c r="G1541" t="str">
        <f t="shared" si="40"/>
        <v>llll</v>
      </c>
      <c r="H1541" t="str">
        <f>[1]!SplitText(A1541,"(",1)</f>
        <v xml:space="preserve">  SaveView </v>
      </c>
    </row>
    <row r="1542" spans="1:8" ht="17.25" thickBot="1">
      <c r="A1542" s="92" t="s">
        <v>7429</v>
      </c>
      <c r="B1542" s="8" t="s">
        <v>5552</v>
      </c>
      <c r="C1542" s="91" t="s">
        <v>7430</v>
      </c>
      <c r="G1542" t="str">
        <f t="shared" si="40"/>
        <v>llll</v>
      </c>
      <c r="H1542" t="str">
        <f>[1]!SplitText(A1542,"(",1)</f>
        <v xml:space="preserve">  Shaded  </v>
      </c>
    </row>
    <row r="1543" spans="1:8" ht="17.25" thickBot="1">
      <c r="A1543" s="92" t="s">
        <v>7431</v>
      </c>
      <c r="B1543" s="8" t="s">
        <v>5993</v>
      </c>
      <c r="C1543" s="91" t="s">
        <v>7432</v>
      </c>
      <c r="G1543" t="str">
        <f t="shared" si="40"/>
        <v>llll</v>
      </c>
      <c r="H1543" t="str">
        <f>[1]!SplitText(A1543,"(",1)</f>
        <v xml:space="preserve">  Step </v>
      </c>
    </row>
    <row r="1544" spans="1:8" ht="17.25" thickBot="1">
      <c r="A1544" s="92" t="s">
        <v>7433</v>
      </c>
      <c r="B1544" s="8" t="s">
        <v>7411</v>
      </c>
      <c r="C1544" s="91" t="s">
        <v>7434</v>
      </c>
      <c r="G1544" t="str">
        <f t="shared" ref="G1544:G1562" si="41">IF(ISERROR(SEARCH("table 2:",A1544&amp;B1544&amp;C1544&amp;D1544&amp;E1544&amp;F1544,1)*1),"llll","o")</f>
        <v>llll</v>
      </c>
      <c r="H1544" t="str">
        <f>[1]!SplitText(A1544,"(",1)</f>
        <v xml:space="preserve">  Through  </v>
      </c>
    </row>
    <row r="1545" spans="1:8" ht="17.25" thickBot="1">
      <c r="A1545" s="92" t="s">
        <v>7435</v>
      </c>
      <c r="B1545" s="8" t="s">
        <v>5552</v>
      </c>
      <c r="C1545" s="8" t="s">
        <v>7436</v>
      </c>
      <c r="G1545" t="str">
        <f t="shared" si="41"/>
        <v>llll</v>
      </c>
      <c r="H1545" t="str">
        <f>[1]!SplitText(A1545,"(",1)</f>
        <v xml:space="preserve">  WalkThrough </v>
      </c>
    </row>
    <row r="1546" spans="1:8" ht="17.25" thickBot="1">
      <c r="A1546" s="92" t="s">
        <v>7437</v>
      </c>
      <c r="B1546" s="8" t="s">
        <v>5596</v>
      </c>
      <c r="C1546" s="91" t="s">
        <v>7438</v>
      </c>
      <c r="G1546" t="str">
        <f t="shared" si="41"/>
        <v>llll</v>
      </c>
      <c r="H1546" t="str">
        <f>[1]!SplitText(A1546,"(",1)</f>
        <v xml:space="preserve">  LabelStyle </v>
      </c>
    </row>
    <row r="1547" spans="1:8" ht="17.25" thickBot="1">
      <c r="A1547" s="176" t="s">
        <v>7439</v>
      </c>
      <c r="B1547" s="8" t="s">
        <v>5993</v>
      </c>
      <c r="C1547" s="8" t="s">
        <v>7440</v>
      </c>
      <c r="G1547" t="str">
        <f t="shared" si="41"/>
        <v>llll</v>
      </c>
      <c r="H1547" t="str">
        <f>[1]!SplitText(A1547,"(",1)</f>
        <v xml:space="preserve">  Bearing </v>
      </c>
    </row>
    <row r="1548" spans="1:8">
      <c r="A1548" s="176" t="s">
        <v>7441</v>
      </c>
      <c r="B1548" s="8" t="s">
        <v>5993</v>
      </c>
      <c r="C1548" s="8" t="s">
        <v>7442</v>
      </c>
      <c r="G1548" t="str">
        <f t="shared" si="41"/>
        <v>llll</v>
      </c>
      <c r="H1548" t="str">
        <f>[1]!SplitText(A1548,"(",1)</f>
        <v xml:space="preserve">  Elevation </v>
      </c>
    </row>
    <row r="1549" spans="1:8" ht="17.25" thickBot="1">
      <c r="A1549" s="4" t="s">
        <v>7244</v>
      </c>
      <c r="B1549" s="5" t="s">
        <v>5177</v>
      </c>
      <c r="C1549" s="6" t="s">
        <v>7443</v>
      </c>
      <c r="G1549" t="str">
        <f t="shared" si="41"/>
        <v>llll</v>
      </c>
      <c r="H1549" t="str">
        <f>[1]!SplitText(A1549,"(",1)</f>
        <v xml:space="preserve">  Background</v>
      </c>
    </row>
    <row r="1550" spans="1:8" ht="17.25" thickBot="1">
      <c r="A1550" s="4" t="s">
        <v>7383</v>
      </c>
      <c r="B1550" s="5" t="s">
        <v>5177</v>
      </c>
      <c r="C1550" s="6" t="s">
        <v>7444</v>
      </c>
      <c r="G1550" t="str">
        <f t="shared" si="41"/>
        <v>llll</v>
      </c>
      <c r="H1550" t="str">
        <f>[1]!SplitText(A1550,"(",1)</f>
        <v xml:space="preserve">  Highlight</v>
      </c>
    </row>
    <row r="1551" spans="1:8" ht="27.75" thickBot="1">
      <c r="A1551" s="4" t="s">
        <v>7389</v>
      </c>
      <c r="B1551" s="6" t="s">
        <v>5273</v>
      </c>
      <c r="C1551" s="5" t="s">
        <v>7401</v>
      </c>
      <c r="G1551" t="str">
        <f t="shared" si="41"/>
        <v>llll</v>
      </c>
      <c r="H1551" t="str">
        <f>[1]!SplitText(A1551,"(",1)</f>
        <v xml:space="preserve">  SetSize</v>
      </c>
    </row>
    <row r="1552" spans="1:8" ht="27.75" thickBot="1">
      <c r="A1552" s="4" t="s">
        <v>7385</v>
      </c>
      <c r="B1552" s="6" t="s">
        <v>5273</v>
      </c>
      <c r="C1552" s="6" t="s">
        <v>7426</v>
      </c>
      <c r="G1552" t="str">
        <f t="shared" si="41"/>
        <v>llll</v>
      </c>
      <c r="H1552" t="str">
        <f>[1]!SplitText(A1552,"(",1)</f>
        <v xml:space="preserve">  RestoreView</v>
      </c>
    </row>
    <row r="1553" spans="1:8" ht="27.75" thickBot="1">
      <c r="A1553" s="4" t="s">
        <v>7387</v>
      </c>
      <c r="B1553" s="6" t="s">
        <v>5273</v>
      </c>
      <c r="C1553" s="5" t="s">
        <v>7445</v>
      </c>
      <c r="G1553" t="str">
        <f t="shared" si="41"/>
        <v>llll</v>
      </c>
      <c r="H1553" t="str">
        <f>[1]!SplitText(A1553,"(",1)</f>
        <v xml:space="preserve">  SaveView</v>
      </c>
    </row>
    <row r="1554" spans="1:8">
      <c r="A1554" s="117" t="s">
        <v>4853</v>
      </c>
      <c r="G1554" t="str">
        <f t="shared" si="41"/>
        <v>o</v>
      </c>
      <c r="H1554" t="str">
        <f>[1]!SplitText(A1554,"(",1)</f>
        <v>Table 2: 140. VOLUME VIEW Object Methods</v>
      </c>
    </row>
    <row r="1555" spans="1:8">
      <c r="A1555" s="115" t="s">
        <v>4879</v>
      </c>
      <c r="B1555" s="115" t="s">
        <v>4880</v>
      </c>
      <c r="G1555" t="str">
        <f t="shared" si="41"/>
        <v>llll</v>
      </c>
      <c r="H1555" t="str">
        <f>[1]!SplitText(A1555,"(",1)</f>
        <v>2.5.80</v>
      </c>
    </row>
    <row r="1556" spans="1:8" ht="17.25" thickBot="1">
      <c r="A1556" s="126" t="s">
        <v>1874</v>
      </c>
      <c r="G1556" t="str">
        <f t="shared" si="41"/>
        <v>llll</v>
      </c>
      <c r="H1556" t="str">
        <f>[1]!SplitText(A1556,"(",1)</f>
        <v>Members</v>
      </c>
    </row>
    <row r="1557" spans="1:8" ht="17.25" thickBot="1">
      <c r="A1557" s="102" t="s">
        <v>1591</v>
      </c>
      <c r="B1557" s="103" t="s">
        <v>1635</v>
      </c>
      <c r="C1557" s="103" t="s">
        <v>1593</v>
      </c>
      <c r="G1557" t="str">
        <f t="shared" si="41"/>
        <v>llll</v>
      </c>
      <c r="H1557" t="str">
        <f>[1]!SplitText(A1557,"(",1)</f>
        <v>Name</v>
      </c>
    </row>
    <row r="1558" spans="1:8" ht="17.25" thickBot="1">
      <c r="A1558" s="4" t="s">
        <v>7446</v>
      </c>
      <c r="B1558" s="5" t="s">
        <v>5186</v>
      </c>
      <c r="C1558" s="6" t="s">
        <v>7447</v>
      </c>
      <c r="G1558" t="str">
        <f t="shared" si="41"/>
        <v>llll</v>
      </c>
      <c r="H1558" t="str">
        <f>[1]!SplitText(A1558,"(",1)</f>
        <v xml:space="preserve">  X</v>
      </c>
    </row>
    <row r="1559" spans="1:8" ht="17.25" thickBot="1">
      <c r="A1559" s="4" t="s">
        <v>7448</v>
      </c>
      <c r="B1559" s="5" t="s">
        <v>5186</v>
      </c>
      <c r="C1559" s="6" t="s">
        <v>7449</v>
      </c>
      <c r="G1559" t="str">
        <f t="shared" si="41"/>
        <v>llll</v>
      </c>
      <c r="H1559" t="str">
        <f>[1]!SplitText(A1559,"(",1)</f>
        <v xml:space="preserve">  Y</v>
      </c>
    </row>
    <row r="1560" spans="1:8" ht="17.25" thickBot="1">
      <c r="A1560" s="4" t="s">
        <v>7450</v>
      </c>
      <c r="B1560" s="6" t="s">
        <v>6393</v>
      </c>
      <c r="C1560" s="6" t="s">
        <v>7451</v>
      </c>
      <c r="G1560" t="str">
        <f t="shared" si="41"/>
        <v>llll</v>
      </c>
      <c r="H1560" t="str">
        <f>[1]!SplitText(A1560,"(",1)</f>
        <v xml:space="preserve">  XYposition</v>
      </c>
    </row>
    <row r="1561" spans="1:8" ht="17.25" thickBot="1">
      <c r="A1561" s="4" t="s">
        <v>5198</v>
      </c>
      <c r="B1561" s="5" t="s">
        <v>5177</v>
      </c>
      <c r="C1561" s="5" t="s">
        <v>7452</v>
      </c>
      <c r="G1561" t="str">
        <f t="shared" si="41"/>
        <v>llll</v>
      </c>
      <c r="H1561" t="str">
        <f>[1]!SplitText(A1561,"(",1)</f>
        <v xml:space="preserve">  String</v>
      </c>
    </row>
    <row r="1562" spans="1:8">
      <c r="A1562" s="117" t="s">
        <v>4928</v>
      </c>
      <c r="G1562" t="str">
        <f t="shared" si="41"/>
        <v>o</v>
      </c>
      <c r="H1562" t="str">
        <f>[1]!SplitText(A1562,"(",1)</f>
        <v>Table 2: 142. XYPOSITION Object Methods</v>
      </c>
    </row>
  </sheetData>
  <autoFilter ref="A1:G1562"/>
  <dataConsolidate/>
  <phoneticPr fontId="4"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6" r:id="rId3" name="Button 2">
              <controlPr defaultSize="0" print="0" autoFill="0" autoPict="0" macro="[0]!bb">
                <anchor moveWithCells="1" sizeWithCells="1">
                  <from>
                    <xdr:col>3</xdr:col>
                    <xdr:colOff>542925</xdr:colOff>
                    <xdr:row>0</xdr:row>
                    <xdr:rowOff>0</xdr:rowOff>
                  </from>
                  <to>
                    <xdr:col>3</xdr:col>
                    <xdr:colOff>1695450</xdr:colOff>
                    <xdr:row>2</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2791"/>
  <sheetViews>
    <sheetView workbookViewId="0">
      <selection activeCell="A3" sqref="A3"/>
    </sheetView>
  </sheetViews>
  <sheetFormatPr defaultRowHeight="16.5"/>
  <cols>
    <col min="1" max="1" width="31.25" customWidth="1"/>
    <col min="2" max="2" width="24.625" customWidth="1"/>
    <col min="3" max="3" width="58.5" customWidth="1"/>
  </cols>
  <sheetData>
    <row r="1" spans="1:3" ht="20.25">
      <c r="A1" s="107">
        <v>2.5</v>
      </c>
      <c r="B1" s="107" t="s">
        <v>1643</v>
      </c>
    </row>
    <row r="2" spans="1:3">
      <c r="A2" s="115" t="s">
        <v>1644</v>
      </c>
      <c r="B2" s="115" t="s">
        <v>1645</v>
      </c>
    </row>
    <row r="3" spans="1:3" ht="17.25" thickBot="1">
      <c r="A3" s="126" t="s">
        <v>1646</v>
      </c>
    </row>
    <row r="4" spans="1:3" ht="17.25" thickBot="1">
      <c r="A4" s="102" t="s">
        <v>1591</v>
      </c>
      <c r="B4" s="103" t="s">
        <v>1592</v>
      </c>
      <c r="C4" s="103" t="s">
        <v>1593</v>
      </c>
    </row>
    <row r="5" spans="1:3" ht="27">
      <c r="A5" s="134" t="s">
        <v>1647</v>
      </c>
      <c r="B5" s="8" t="s">
        <v>1603</v>
      </c>
      <c r="C5" s="91" t="s">
        <v>1651</v>
      </c>
    </row>
    <row r="6" spans="1:3">
      <c r="A6" s="96" t="s">
        <v>1648</v>
      </c>
      <c r="B6" s="8" t="s">
        <v>1649</v>
      </c>
      <c r="C6" s="170"/>
    </row>
    <row r="7" spans="1:3" ht="17.25" thickBot="1">
      <c r="A7" s="113"/>
      <c r="B7" s="5" t="s">
        <v>1650</v>
      </c>
      <c r="C7" s="97"/>
    </row>
    <row r="8" spans="1:3" ht="25.5">
      <c r="A8" s="96" t="s">
        <v>1652</v>
      </c>
      <c r="B8" s="8" t="s">
        <v>1603</v>
      </c>
      <c r="C8" s="91" t="s">
        <v>1654</v>
      </c>
    </row>
    <row r="9" spans="1:3" ht="17.25" thickBot="1">
      <c r="A9" s="4" t="s">
        <v>1648</v>
      </c>
      <c r="B9" s="5" t="s">
        <v>1653</v>
      </c>
      <c r="C9" s="97"/>
    </row>
    <row r="10" spans="1:3" ht="27">
      <c r="A10" s="96" t="s">
        <v>1655</v>
      </c>
      <c r="B10" s="8" t="s">
        <v>1603</v>
      </c>
      <c r="C10" s="91" t="s">
        <v>1657</v>
      </c>
    </row>
    <row r="11" spans="1:3" ht="17.25" thickBot="1">
      <c r="A11" s="4" t="s">
        <v>1656</v>
      </c>
      <c r="B11" s="5" t="s">
        <v>1653</v>
      </c>
      <c r="C11" s="97"/>
    </row>
    <row r="12" spans="1:3" ht="27">
      <c r="A12" s="134" t="s">
        <v>1658</v>
      </c>
      <c r="B12" s="8" t="s">
        <v>1603</v>
      </c>
      <c r="C12" s="91" t="s">
        <v>1661</v>
      </c>
    </row>
    <row r="13" spans="1:3">
      <c r="A13" s="96" t="s">
        <v>1648</v>
      </c>
      <c r="B13" s="7" t="s">
        <v>1659</v>
      </c>
      <c r="C13" s="170"/>
    </row>
    <row r="14" spans="1:3">
      <c r="A14" s="112"/>
      <c r="B14" s="8" t="s">
        <v>72</v>
      </c>
      <c r="C14" s="170"/>
    </row>
    <row r="15" spans="1:3" ht="17.25" thickBot="1">
      <c r="A15" s="113"/>
      <c r="B15" s="5" t="s">
        <v>1660</v>
      </c>
      <c r="C15" s="97"/>
    </row>
    <row r="16" spans="1:3" ht="27">
      <c r="A16" s="96" t="s">
        <v>1662</v>
      </c>
      <c r="B16" s="8" t="s">
        <v>1603</v>
      </c>
      <c r="C16" s="91" t="s">
        <v>1663</v>
      </c>
    </row>
    <row r="17" spans="1:3" ht="17.25" thickBot="1">
      <c r="A17" s="4" t="s">
        <v>1656</v>
      </c>
      <c r="B17" s="5" t="s">
        <v>1653</v>
      </c>
      <c r="C17" s="97"/>
    </row>
    <row r="18" spans="1:3" ht="17.25" thickBot="1">
      <c r="A18" s="99" t="s">
        <v>1591</v>
      </c>
      <c r="B18" s="100" t="s">
        <v>1592</v>
      </c>
      <c r="C18" s="100" t="s">
        <v>1593</v>
      </c>
    </row>
    <row r="19" spans="1:3" ht="25.5">
      <c r="A19" s="96" t="s">
        <v>1664</v>
      </c>
      <c r="B19" s="91" t="s">
        <v>1603</v>
      </c>
      <c r="C19" s="91" t="s">
        <v>1666</v>
      </c>
    </row>
    <row r="20" spans="1:3" ht="27.75" thickBot="1">
      <c r="A20" s="4" t="s">
        <v>1665</v>
      </c>
      <c r="B20" s="97"/>
      <c r="C20" s="97"/>
    </row>
    <row r="21" spans="1:3" ht="54.75" thickBot="1">
      <c r="A21" s="135" t="s">
        <v>1667</v>
      </c>
      <c r="B21" s="5" t="s">
        <v>1603</v>
      </c>
      <c r="C21" s="6" t="s">
        <v>1668</v>
      </c>
    </row>
    <row r="22" spans="1:3">
      <c r="B22" s="114" t="s">
        <v>1669</v>
      </c>
      <c r="C22" s="114" t="s">
        <v>1670</v>
      </c>
    </row>
    <row r="23" spans="1:3">
      <c r="A23" s="115" t="s">
        <v>1671</v>
      </c>
      <c r="B23" s="115" t="s">
        <v>1672</v>
      </c>
    </row>
    <row r="24" spans="1:3" ht="17.25" thickBot="1">
      <c r="A24" s="126" t="s">
        <v>1673</v>
      </c>
    </row>
    <row r="25" spans="1:3" ht="17.25" thickBot="1">
      <c r="A25" s="102" t="s">
        <v>1591</v>
      </c>
      <c r="B25" s="103" t="s">
        <v>1635</v>
      </c>
      <c r="C25" s="103" t="s">
        <v>1593</v>
      </c>
    </row>
    <row r="26" spans="1:3">
      <c r="A26" s="92" t="s">
        <v>1674</v>
      </c>
      <c r="B26" s="8" t="s">
        <v>1675</v>
      </c>
      <c r="C26" s="91" t="s">
        <v>1676</v>
      </c>
    </row>
    <row r="27" spans="1:3">
      <c r="A27" s="171"/>
      <c r="B27" s="8" t="s">
        <v>1378</v>
      </c>
      <c r="C27" s="170"/>
    </row>
    <row r="28" spans="1:3" ht="17.25" thickBot="1">
      <c r="A28" s="98"/>
      <c r="B28" s="5" t="s">
        <v>1550</v>
      </c>
      <c r="C28" s="97"/>
    </row>
    <row r="29" spans="1:3">
      <c r="A29" s="92" t="s">
        <v>1677</v>
      </c>
      <c r="B29" s="8" t="s">
        <v>1620</v>
      </c>
      <c r="C29" s="91" t="s">
        <v>1678</v>
      </c>
    </row>
    <row r="30" spans="1:3" ht="17.25" thickBot="1">
      <c r="A30" s="98"/>
      <c r="B30" s="5" t="s">
        <v>1550</v>
      </c>
      <c r="C30" s="97"/>
    </row>
    <row r="31" spans="1:3">
      <c r="A31" s="92" t="s">
        <v>1679</v>
      </c>
      <c r="B31" s="8" t="s">
        <v>0</v>
      </c>
      <c r="C31" s="91" t="s">
        <v>1680</v>
      </c>
    </row>
    <row r="32" spans="1:3" ht="17.25" thickBot="1">
      <c r="A32" s="98"/>
      <c r="B32" s="5" t="s">
        <v>1550</v>
      </c>
      <c r="C32" s="97"/>
    </row>
    <row r="33" spans="1:3">
      <c r="A33" s="92" t="s">
        <v>1681</v>
      </c>
      <c r="B33" s="8" t="s">
        <v>0</v>
      </c>
      <c r="C33" s="91" t="s">
        <v>1682</v>
      </c>
    </row>
    <row r="34" spans="1:3" ht="17.25" thickBot="1">
      <c r="A34" s="98"/>
      <c r="B34" s="5" t="s">
        <v>1550</v>
      </c>
      <c r="C34" s="97"/>
    </row>
    <row r="35" spans="1:3">
      <c r="A35" s="92" t="s">
        <v>1683</v>
      </c>
      <c r="B35" s="8" t="s">
        <v>0</v>
      </c>
      <c r="C35" s="91" t="s">
        <v>1684</v>
      </c>
    </row>
    <row r="36" spans="1:3" ht="17.25" thickBot="1">
      <c r="A36" s="98"/>
      <c r="B36" s="5" t="s">
        <v>1550</v>
      </c>
      <c r="C36" s="97"/>
    </row>
    <row r="37" spans="1:3">
      <c r="A37" s="92" t="s">
        <v>1685</v>
      </c>
      <c r="B37" s="8" t="s">
        <v>1566</v>
      </c>
      <c r="C37" s="8" t="s">
        <v>1686</v>
      </c>
    </row>
    <row r="38" spans="1:3">
      <c r="A38" s="171"/>
      <c r="B38" s="8" t="s">
        <v>1550</v>
      </c>
      <c r="C38" s="8" t="s">
        <v>1687</v>
      </c>
    </row>
    <row r="39" spans="1:3" ht="17.25" thickBot="1">
      <c r="A39" s="98"/>
      <c r="B39" s="136"/>
      <c r="C39" s="5" t="s">
        <v>1688</v>
      </c>
    </row>
    <row r="40" spans="1:3" ht="25.5">
      <c r="A40" s="96" t="s">
        <v>1690</v>
      </c>
      <c r="B40" s="91" t="s">
        <v>1607</v>
      </c>
      <c r="C40" s="91" t="s">
        <v>1692</v>
      </c>
    </row>
    <row r="41" spans="1:3" ht="17.25" thickBot="1">
      <c r="A41" s="4" t="s">
        <v>1691</v>
      </c>
      <c r="B41" s="97"/>
      <c r="C41" s="97"/>
    </row>
    <row r="42" spans="1:3" ht="17.25" thickBot="1">
      <c r="A42" s="4" t="s">
        <v>1634</v>
      </c>
      <c r="B42" s="5" t="s">
        <v>1603</v>
      </c>
      <c r="C42" s="5" t="s">
        <v>1693</v>
      </c>
    </row>
    <row r="43" spans="1:3" ht="39" thickBot="1">
      <c r="A43" s="4" t="s">
        <v>1695</v>
      </c>
      <c r="B43" s="5" t="s">
        <v>1607</v>
      </c>
      <c r="C43" s="6" t="s">
        <v>1696</v>
      </c>
    </row>
    <row r="44" spans="1:3" ht="17.25" thickBot="1">
      <c r="A44" s="4" t="s">
        <v>1697</v>
      </c>
      <c r="B44" s="5" t="s">
        <v>1607</v>
      </c>
      <c r="C44" s="6" t="s">
        <v>1698</v>
      </c>
    </row>
    <row r="45" spans="1:3" ht="26.25" thickBot="1">
      <c r="A45" s="4" t="s">
        <v>1699</v>
      </c>
      <c r="B45" s="5" t="s">
        <v>1607</v>
      </c>
      <c r="C45" s="6" t="s">
        <v>1700</v>
      </c>
    </row>
    <row r="46" spans="1:3" ht="26.25">
      <c r="A46" s="92" t="s">
        <v>1701</v>
      </c>
      <c r="B46" s="91" t="s">
        <v>1607</v>
      </c>
      <c r="C46" s="8" t="s">
        <v>1702</v>
      </c>
    </row>
    <row r="47" spans="1:3">
      <c r="A47" s="171"/>
      <c r="B47" s="170"/>
      <c r="C47" s="7" t="s">
        <v>1703</v>
      </c>
    </row>
    <row r="48" spans="1:3" ht="17.25" thickBot="1">
      <c r="A48" s="98"/>
      <c r="B48" s="97"/>
      <c r="C48" s="6" t="s">
        <v>1704</v>
      </c>
    </row>
    <row r="49" spans="1:3">
      <c r="A49" s="92" t="s">
        <v>1705</v>
      </c>
      <c r="B49" s="91" t="s">
        <v>1607</v>
      </c>
      <c r="C49" s="7" t="s">
        <v>1706</v>
      </c>
    </row>
    <row r="50" spans="1:3">
      <c r="A50" s="171"/>
      <c r="B50" s="170"/>
      <c r="C50" s="137" t="s">
        <v>1707</v>
      </c>
    </row>
    <row r="51" spans="1:3">
      <c r="A51" s="171"/>
      <c r="B51" s="170"/>
      <c r="C51" s="138" t="s">
        <v>1708</v>
      </c>
    </row>
    <row r="52" spans="1:3" ht="17.25" thickBot="1">
      <c r="A52" s="98"/>
      <c r="B52" s="97"/>
      <c r="C52" s="6" t="s">
        <v>1709</v>
      </c>
    </row>
    <row r="53" spans="1:3" ht="17.25" thickBot="1">
      <c r="A53" s="4" t="s">
        <v>1710</v>
      </c>
      <c r="B53" s="5" t="s">
        <v>1607</v>
      </c>
      <c r="C53" s="6" t="s">
        <v>1711</v>
      </c>
    </row>
    <row r="54" spans="1:3" ht="17.25" thickBot="1">
      <c r="A54" s="4" t="s">
        <v>1712</v>
      </c>
      <c r="B54" s="5" t="s">
        <v>1607</v>
      </c>
      <c r="C54" s="6" t="s">
        <v>1713</v>
      </c>
    </row>
    <row r="55" spans="1:3" ht="17.25" thickBot="1">
      <c r="A55" s="4" t="s">
        <v>1714</v>
      </c>
      <c r="B55" s="5" t="s">
        <v>1607</v>
      </c>
      <c r="C55" s="6" t="s">
        <v>1715</v>
      </c>
    </row>
    <row r="56" spans="1:3" ht="17.25" thickBot="1">
      <c r="A56" s="4" t="s">
        <v>1717</v>
      </c>
      <c r="B56" s="6" t="s">
        <v>1620</v>
      </c>
      <c r="C56" s="6" t="s">
        <v>1718</v>
      </c>
    </row>
    <row r="57" spans="1:3" ht="26.25" thickBot="1">
      <c r="A57" s="4" t="s">
        <v>1720</v>
      </c>
      <c r="B57" s="6" t="s">
        <v>1561</v>
      </c>
      <c r="C57" s="6" t="s">
        <v>1721</v>
      </c>
    </row>
    <row r="58" spans="1:3" ht="26.25" thickBot="1">
      <c r="A58" s="4" t="s">
        <v>1722</v>
      </c>
      <c r="B58" s="6" t="s">
        <v>1561</v>
      </c>
      <c r="C58" s="6" t="s">
        <v>1723</v>
      </c>
    </row>
    <row r="59" spans="1:3" ht="26.25" thickBot="1">
      <c r="A59" s="4" t="s">
        <v>1724</v>
      </c>
      <c r="B59" s="6" t="s">
        <v>1561</v>
      </c>
      <c r="C59" s="6" t="s">
        <v>1725</v>
      </c>
    </row>
    <row r="60" spans="1:3" ht="17.25" thickBot="1">
      <c r="A60" s="4" t="s">
        <v>1726</v>
      </c>
      <c r="B60" s="6" t="s">
        <v>1561</v>
      </c>
      <c r="C60" s="6" t="s">
        <v>1727</v>
      </c>
    </row>
    <row r="61" spans="1:3" ht="26.25" thickBot="1">
      <c r="A61" s="4" t="s">
        <v>1728</v>
      </c>
      <c r="B61" s="5" t="s">
        <v>1729</v>
      </c>
      <c r="C61" s="6" t="s">
        <v>1730</v>
      </c>
    </row>
    <row r="62" spans="1:3" ht="25.5">
      <c r="A62" s="92" t="s">
        <v>1731</v>
      </c>
      <c r="B62" s="91" t="s">
        <v>0</v>
      </c>
      <c r="C62" s="7" t="s">
        <v>1732</v>
      </c>
    </row>
    <row r="63" spans="1:3" ht="17.25" thickBot="1">
      <c r="A63" s="98"/>
      <c r="B63" s="97"/>
      <c r="C63" s="5" t="s">
        <v>1681</v>
      </c>
    </row>
    <row r="64" spans="1:3" ht="17.25" thickBot="1">
      <c r="A64" s="4" t="s">
        <v>1733</v>
      </c>
      <c r="B64" s="5" t="s">
        <v>0</v>
      </c>
      <c r="C64" s="6" t="s">
        <v>1734</v>
      </c>
    </row>
    <row r="65" spans="1:3" ht="26.25" thickBot="1">
      <c r="A65" s="4" t="s">
        <v>1735</v>
      </c>
      <c r="B65" s="5" t="s">
        <v>0</v>
      </c>
      <c r="C65" s="6" t="s">
        <v>1736</v>
      </c>
    </row>
    <row r="66" spans="1:3" ht="17.25" thickBot="1">
      <c r="A66" s="4" t="s">
        <v>1737</v>
      </c>
      <c r="B66" s="5" t="s">
        <v>1738</v>
      </c>
      <c r="C66" s="6" t="s">
        <v>1739</v>
      </c>
    </row>
    <row r="67" spans="1:3" ht="17.25" thickBot="1">
      <c r="A67" s="4" t="s">
        <v>1740</v>
      </c>
      <c r="B67" s="5" t="s">
        <v>0</v>
      </c>
      <c r="C67" s="5" t="s">
        <v>1741</v>
      </c>
    </row>
    <row r="68" spans="1:3" ht="17.25" thickBot="1">
      <c r="A68" s="4" t="s">
        <v>1742</v>
      </c>
      <c r="B68" s="5" t="s">
        <v>0</v>
      </c>
      <c r="C68" s="6" t="s">
        <v>1743</v>
      </c>
    </row>
    <row r="69" spans="1:3" ht="26.25" thickBot="1">
      <c r="A69" s="4" t="s">
        <v>1744</v>
      </c>
      <c r="B69" s="5" t="s">
        <v>1745</v>
      </c>
      <c r="C69" s="6" t="s">
        <v>1746</v>
      </c>
    </row>
    <row r="70" spans="1:3" ht="26.25" thickBot="1">
      <c r="A70" s="4" t="s">
        <v>1747</v>
      </c>
      <c r="B70" s="5" t="s">
        <v>1745</v>
      </c>
      <c r="C70" s="6" t="s">
        <v>1748</v>
      </c>
    </row>
    <row r="71" spans="1:3" ht="25.5">
      <c r="A71" s="92" t="s">
        <v>1749</v>
      </c>
      <c r="B71" s="91" t="s">
        <v>1745</v>
      </c>
      <c r="C71" s="7" t="s">
        <v>1750</v>
      </c>
    </row>
    <row r="72" spans="1:3" ht="25.5">
      <c r="A72" s="171"/>
      <c r="B72" s="170"/>
      <c r="C72" s="7" t="s">
        <v>1751</v>
      </c>
    </row>
    <row r="73" spans="1:3" ht="17.25" thickBot="1">
      <c r="A73" s="98"/>
      <c r="B73" s="97"/>
      <c r="C73" s="5">
        <v>180</v>
      </c>
    </row>
    <row r="74" spans="1:3" ht="26.25" thickBot="1">
      <c r="A74" s="4" t="s">
        <v>1752</v>
      </c>
      <c r="B74" s="5" t="s">
        <v>1745</v>
      </c>
      <c r="C74" s="6" t="s">
        <v>1753</v>
      </c>
    </row>
    <row r="75" spans="1:3" ht="26.25" thickBot="1">
      <c r="A75" s="4" t="s">
        <v>1754</v>
      </c>
      <c r="B75" s="5" t="s">
        <v>1745</v>
      </c>
      <c r="C75" s="6" t="s">
        <v>1755</v>
      </c>
    </row>
    <row r="76" spans="1:3" ht="17.25" thickBot="1">
      <c r="A76" s="99" t="s">
        <v>1591</v>
      </c>
      <c r="B76" s="100" t="s">
        <v>1592</v>
      </c>
      <c r="C76" s="100" t="s">
        <v>1593</v>
      </c>
    </row>
    <row r="77" spans="1:3" ht="17.25" thickBot="1">
      <c r="A77" s="4" t="s">
        <v>1756</v>
      </c>
      <c r="B77" s="5" t="s">
        <v>1745</v>
      </c>
      <c r="C77" s="6" t="s">
        <v>1757</v>
      </c>
    </row>
    <row r="78" spans="1:3" ht="17.25" thickBot="1">
      <c r="A78" s="4" t="s">
        <v>1758</v>
      </c>
      <c r="B78" s="5" t="s">
        <v>1620</v>
      </c>
      <c r="C78" s="6" t="s">
        <v>1759</v>
      </c>
    </row>
    <row r="79" spans="1:3" ht="17.25" thickBot="1">
      <c r="A79" s="4" t="s">
        <v>1761</v>
      </c>
      <c r="B79" s="5" t="s">
        <v>1566</v>
      </c>
      <c r="C79" s="6" t="s">
        <v>1762</v>
      </c>
    </row>
    <row r="80" spans="1:3" ht="26.25" thickBot="1">
      <c r="A80" s="4" t="s">
        <v>1763</v>
      </c>
      <c r="B80" s="5" t="s">
        <v>1566</v>
      </c>
      <c r="C80" s="6" t="s">
        <v>1764</v>
      </c>
    </row>
    <row r="81" spans="1:3">
      <c r="A81" s="92" t="s">
        <v>1765</v>
      </c>
      <c r="B81" s="91" t="s">
        <v>1566</v>
      </c>
      <c r="C81" s="7" t="s">
        <v>1766</v>
      </c>
    </row>
    <row r="82" spans="1:3" ht="17.25" thickBot="1">
      <c r="A82" s="98"/>
      <c r="B82" s="97"/>
      <c r="C82" s="5" t="s">
        <v>1767</v>
      </c>
    </row>
    <row r="83" spans="1:3">
      <c r="B83" s="114" t="s">
        <v>1768</v>
      </c>
      <c r="C83" s="114" t="s">
        <v>1760</v>
      </c>
    </row>
    <row r="84" spans="1:3">
      <c r="A84" s="115"/>
    </row>
    <row r="85" spans="1:3">
      <c r="A85" s="115" t="s">
        <v>1769</v>
      </c>
      <c r="B85" s="115" t="s">
        <v>1770</v>
      </c>
    </row>
    <row r="86" spans="1:3" ht="17.25" thickBot="1">
      <c r="A86" s="139" t="s">
        <v>1646</v>
      </c>
    </row>
    <row r="87" spans="1:3" ht="17.25" thickBot="1">
      <c r="A87" s="102" t="s">
        <v>1591</v>
      </c>
      <c r="B87" s="103" t="s">
        <v>1592</v>
      </c>
      <c r="C87" s="103" t="s">
        <v>1593</v>
      </c>
    </row>
    <row r="88" spans="1:3" ht="17.25" thickBot="1">
      <c r="A88" s="4" t="s">
        <v>1771</v>
      </c>
      <c r="B88" s="6" t="s">
        <v>1632</v>
      </c>
      <c r="C88" s="6" t="s">
        <v>1772</v>
      </c>
    </row>
    <row r="89" spans="1:3" ht="17.25" thickBot="1">
      <c r="A89" s="4" t="s">
        <v>1773</v>
      </c>
      <c r="B89" s="6" t="s">
        <v>1632</v>
      </c>
      <c r="C89" s="6" t="s">
        <v>1774</v>
      </c>
    </row>
    <row r="90" spans="1:3" ht="17.25" thickBot="1">
      <c r="A90" s="4" t="s">
        <v>1775</v>
      </c>
      <c r="B90" s="6" t="s">
        <v>1632</v>
      </c>
      <c r="C90" s="5" t="s">
        <v>1776</v>
      </c>
    </row>
    <row r="91" spans="1:3" ht="17.25" thickBot="1">
      <c r="A91" s="4" t="s">
        <v>1777</v>
      </c>
      <c r="B91" s="6" t="s">
        <v>1632</v>
      </c>
      <c r="C91" s="6" t="s">
        <v>1778</v>
      </c>
    </row>
    <row r="92" spans="1:3" ht="27">
      <c r="A92" s="92" t="s">
        <v>1779</v>
      </c>
      <c r="B92" s="91" t="s">
        <v>1599</v>
      </c>
      <c r="C92" s="7" t="s">
        <v>1780</v>
      </c>
    </row>
    <row r="93" spans="1:3" ht="26.25" thickBot="1">
      <c r="A93" s="98"/>
      <c r="B93" s="97"/>
      <c r="C93" s="6" t="s">
        <v>1781</v>
      </c>
    </row>
    <row r="94" spans="1:3">
      <c r="A94" s="92" t="s">
        <v>1782</v>
      </c>
      <c r="B94" s="91" t="s">
        <v>1599</v>
      </c>
      <c r="C94" s="7" t="s">
        <v>1783</v>
      </c>
    </row>
    <row r="95" spans="1:3">
      <c r="A95" s="171"/>
      <c r="B95" s="170"/>
      <c r="C95" s="7" t="s">
        <v>1784</v>
      </c>
    </row>
    <row r="96" spans="1:3" ht="17.25" thickBot="1">
      <c r="A96" s="98"/>
      <c r="B96" s="97"/>
      <c r="C96" s="5" t="s">
        <v>1785</v>
      </c>
    </row>
    <row r="97" spans="1:3" ht="26.25" thickBot="1">
      <c r="A97" s="4" t="s">
        <v>1786</v>
      </c>
      <c r="B97" s="5" t="s">
        <v>1599</v>
      </c>
      <c r="C97" s="6" t="s">
        <v>1787</v>
      </c>
    </row>
    <row r="98" spans="1:3" ht="26.25" thickBot="1">
      <c r="A98" s="4" t="s">
        <v>1788</v>
      </c>
      <c r="B98" s="5" t="s">
        <v>1599</v>
      </c>
      <c r="C98" s="6" t="s">
        <v>1789</v>
      </c>
    </row>
    <row r="99" spans="1:3" ht="26.25" thickBot="1">
      <c r="A99" s="4" t="s">
        <v>1790</v>
      </c>
      <c r="B99" s="5" t="s">
        <v>1599</v>
      </c>
      <c r="C99" s="6" t="s">
        <v>1791</v>
      </c>
    </row>
    <row r="100" spans="1:3" ht="17.25" thickBot="1">
      <c r="A100" s="4" t="s">
        <v>1792</v>
      </c>
      <c r="B100" s="5" t="s">
        <v>1566</v>
      </c>
      <c r="C100" s="5" t="s">
        <v>1793</v>
      </c>
    </row>
    <row r="101" spans="1:3" ht="17.25" thickBot="1">
      <c r="A101" s="4" t="s">
        <v>1794</v>
      </c>
      <c r="B101" s="5" t="s">
        <v>1795</v>
      </c>
      <c r="C101" s="6" t="s">
        <v>1796</v>
      </c>
    </row>
    <row r="102" spans="1:3" ht="26.25" thickBot="1">
      <c r="A102" s="4" t="s">
        <v>1797</v>
      </c>
      <c r="B102" s="5" t="s">
        <v>1795</v>
      </c>
      <c r="C102" s="6" t="s">
        <v>1798</v>
      </c>
    </row>
    <row r="103" spans="1:3" ht="17.25" thickBot="1">
      <c r="A103" s="4" t="s">
        <v>1799</v>
      </c>
      <c r="B103" s="5" t="s">
        <v>0</v>
      </c>
      <c r="C103" s="6" t="s">
        <v>1800</v>
      </c>
    </row>
    <row r="104" spans="1:3" ht="17.25" thickBot="1">
      <c r="A104" s="4" t="s">
        <v>1801</v>
      </c>
      <c r="B104" s="5" t="s">
        <v>1628</v>
      </c>
      <c r="C104" s="5" t="s">
        <v>1802</v>
      </c>
    </row>
    <row r="105" spans="1:3" ht="17.25" thickBot="1">
      <c r="A105" s="4" t="s">
        <v>1803</v>
      </c>
      <c r="B105" s="5" t="s">
        <v>1599</v>
      </c>
      <c r="C105" s="6" t="s">
        <v>1804</v>
      </c>
    </row>
    <row r="106" spans="1:3" ht="17.25" thickBot="1">
      <c r="A106" s="4" t="s">
        <v>1805</v>
      </c>
      <c r="B106" s="5" t="s">
        <v>1599</v>
      </c>
      <c r="C106" s="6" t="s">
        <v>1806</v>
      </c>
    </row>
    <row r="107" spans="1:3">
      <c r="A107" s="92" t="s">
        <v>1807</v>
      </c>
      <c r="B107" s="91" t="s">
        <v>1628</v>
      </c>
      <c r="C107" s="8" t="s">
        <v>1808</v>
      </c>
    </row>
    <row r="108" spans="1:3" ht="17.25" thickBot="1">
      <c r="A108" s="98"/>
      <c r="B108" s="97"/>
      <c r="C108" s="5" t="s">
        <v>1809</v>
      </c>
    </row>
    <row r="109" spans="1:3" ht="17.25" thickBot="1">
      <c r="A109" s="4" t="s">
        <v>1810</v>
      </c>
      <c r="B109" s="5" t="s">
        <v>1795</v>
      </c>
      <c r="C109" s="6" t="s">
        <v>1811</v>
      </c>
    </row>
    <row r="110" spans="1:3">
      <c r="A110" s="92" t="s">
        <v>1812</v>
      </c>
      <c r="B110" s="91" t="s">
        <v>1632</v>
      </c>
      <c r="C110" s="8" t="s">
        <v>1813</v>
      </c>
    </row>
    <row r="111" spans="1:3" ht="17.25" thickBot="1">
      <c r="A111" s="98"/>
      <c r="B111" s="97"/>
      <c r="C111" s="5" t="s">
        <v>1814</v>
      </c>
    </row>
    <row r="112" spans="1:3">
      <c r="A112" s="96" t="s">
        <v>1815</v>
      </c>
      <c r="B112" s="91" t="s">
        <v>1632</v>
      </c>
      <c r="C112" s="7" t="s">
        <v>1817</v>
      </c>
    </row>
    <row r="113" spans="1:3" ht="17.25" thickBot="1">
      <c r="A113" s="4" t="s">
        <v>1816</v>
      </c>
      <c r="B113" s="97"/>
      <c r="C113" s="5" t="s">
        <v>1814</v>
      </c>
    </row>
    <row r="114" spans="1:3" ht="26.25" thickBot="1">
      <c r="A114" s="4" t="s">
        <v>1818</v>
      </c>
      <c r="B114" s="5" t="s">
        <v>1795</v>
      </c>
      <c r="C114" s="6" t="s">
        <v>1819</v>
      </c>
    </row>
    <row r="115" spans="1:3" ht="17.25" thickBot="1">
      <c r="A115" s="4" t="s">
        <v>1820</v>
      </c>
      <c r="B115" s="5" t="s">
        <v>1795</v>
      </c>
      <c r="C115" s="6" t="s">
        <v>1821</v>
      </c>
    </row>
    <row r="116" spans="1:3" ht="17.25" thickBot="1">
      <c r="A116" s="4" t="s">
        <v>1822</v>
      </c>
      <c r="B116" s="5" t="s">
        <v>1628</v>
      </c>
      <c r="C116" s="5" t="s">
        <v>1823</v>
      </c>
    </row>
    <row r="117" spans="1:3" ht="17.25" thickBot="1">
      <c r="A117" s="4" t="s">
        <v>1824</v>
      </c>
      <c r="B117" s="5" t="s">
        <v>0</v>
      </c>
      <c r="C117" s="5" t="s">
        <v>1825</v>
      </c>
    </row>
    <row r="118" spans="1:3" ht="17.25" thickBot="1">
      <c r="A118" s="4" t="s">
        <v>1826</v>
      </c>
      <c r="B118" s="5" t="s">
        <v>0</v>
      </c>
      <c r="C118" s="5" t="s">
        <v>1827</v>
      </c>
    </row>
    <row r="119" spans="1:3" ht="39" thickBot="1">
      <c r="A119" s="4" t="s">
        <v>1828</v>
      </c>
      <c r="B119" s="5" t="s">
        <v>1795</v>
      </c>
      <c r="C119" s="6" t="s">
        <v>1829</v>
      </c>
    </row>
    <row r="120" spans="1:3">
      <c r="A120" s="92" t="s">
        <v>1830</v>
      </c>
      <c r="B120" s="91" t="s">
        <v>1632</v>
      </c>
      <c r="C120" s="8" t="s">
        <v>1831</v>
      </c>
    </row>
    <row r="121" spans="1:3" ht="17.25" thickBot="1">
      <c r="A121" s="98"/>
      <c r="B121" s="97"/>
      <c r="C121" s="6" t="s">
        <v>1832</v>
      </c>
    </row>
    <row r="122" spans="1:3">
      <c r="A122" s="92" t="s">
        <v>1833</v>
      </c>
      <c r="B122" s="91" t="s">
        <v>1628</v>
      </c>
      <c r="C122" s="7" t="s">
        <v>1834</v>
      </c>
    </row>
    <row r="123" spans="1:3" ht="17.25" thickBot="1">
      <c r="A123" s="98"/>
      <c r="B123" s="97"/>
      <c r="C123" s="5" t="s">
        <v>1835</v>
      </c>
    </row>
    <row r="124" spans="1:3">
      <c r="A124" s="92" t="s">
        <v>1836</v>
      </c>
      <c r="B124" s="91" t="s">
        <v>1628</v>
      </c>
      <c r="C124" s="7" t="s">
        <v>1837</v>
      </c>
    </row>
    <row r="125" spans="1:3" ht="17.25" thickBot="1">
      <c r="A125" s="98"/>
      <c r="B125" s="97"/>
      <c r="C125" s="5" t="s">
        <v>1835</v>
      </c>
    </row>
    <row r="126" spans="1:3" ht="25.5">
      <c r="A126" s="92" t="s">
        <v>1838</v>
      </c>
      <c r="B126" s="91" t="s">
        <v>1795</v>
      </c>
      <c r="C126" s="7" t="s">
        <v>1839</v>
      </c>
    </row>
    <row r="127" spans="1:3" ht="17.25" thickBot="1">
      <c r="A127" s="98"/>
      <c r="B127" s="97"/>
      <c r="C127" s="5" t="s">
        <v>1835</v>
      </c>
    </row>
    <row r="128" spans="1:3" ht="25.5">
      <c r="A128" s="92" t="s">
        <v>1840</v>
      </c>
      <c r="B128" s="91" t="s">
        <v>1795</v>
      </c>
      <c r="C128" s="7" t="s">
        <v>1841</v>
      </c>
    </row>
    <row r="129" spans="1:3" ht="17.25" thickBot="1">
      <c r="A129" s="98"/>
      <c r="B129" s="97"/>
      <c r="C129" s="5" t="s">
        <v>1835</v>
      </c>
    </row>
    <row r="130" spans="1:3">
      <c r="A130" s="92" t="s">
        <v>1842</v>
      </c>
      <c r="B130" s="91" t="s">
        <v>1628</v>
      </c>
      <c r="C130" s="7" t="s">
        <v>1843</v>
      </c>
    </row>
    <row r="131" spans="1:3" ht="17.25" thickBot="1">
      <c r="A131" s="98"/>
      <c r="B131" s="97"/>
      <c r="C131" s="5" t="s">
        <v>1835</v>
      </c>
    </row>
    <row r="132" spans="1:3" ht="25.5">
      <c r="A132" s="92" t="s">
        <v>1844</v>
      </c>
      <c r="B132" s="91" t="s">
        <v>1795</v>
      </c>
      <c r="C132" s="7" t="s">
        <v>1845</v>
      </c>
    </row>
    <row r="133" spans="1:3" ht="17.25" thickBot="1">
      <c r="A133" s="98"/>
      <c r="B133" s="97"/>
      <c r="C133" s="5" t="s">
        <v>1835</v>
      </c>
    </row>
    <row r="134" spans="1:3" ht="25.5">
      <c r="A134" s="92" t="s">
        <v>1846</v>
      </c>
      <c r="B134" s="91" t="s">
        <v>1795</v>
      </c>
      <c r="C134" s="7" t="s">
        <v>1847</v>
      </c>
    </row>
    <row r="135" spans="1:3" ht="17.25" thickBot="1">
      <c r="A135" s="98"/>
      <c r="B135" s="97"/>
      <c r="C135" s="5" t="s">
        <v>1835</v>
      </c>
    </row>
    <row r="136" spans="1:3" ht="17.25" thickBot="1">
      <c r="A136" s="4" t="s">
        <v>1848</v>
      </c>
      <c r="B136" s="5" t="s">
        <v>0</v>
      </c>
      <c r="C136" s="6" t="s">
        <v>1849</v>
      </c>
    </row>
    <row r="137" spans="1:3" ht="17.25" thickBot="1">
      <c r="A137" s="4" t="s">
        <v>1850</v>
      </c>
      <c r="B137" s="6" t="s">
        <v>1632</v>
      </c>
      <c r="C137" s="5" t="s">
        <v>1851</v>
      </c>
    </row>
    <row r="138" spans="1:3">
      <c r="A138" s="92" t="s">
        <v>1852</v>
      </c>
      <c r="B138" s="8" t="s">
        <v>1853</v>
      </c>
      <c r="C138" s="91" t="s">
        <v>1855</v>
      </c>
    </row>
    <row r="139" spans="1:3" ht="17.25" thickBot="1">
      <c r="A139" s="98"/>
      <c r="B139" s="5" t="s">
        <v>1854</v>
      </c>
      <c r="C139" s="97"/>
    </row>
    <row r="140" spans="1:3">
      <c r="A140" s="92" t="s">
        <v>1856</v>
      </c>
      <c r="B140" s="91" t="s">
        <v>1857</v>
      </c>
      <c r="C140" s="7" t="s">
        <v>1858</v>
      </c>
    </row>
    <row r="141" spans="1:3" ht="17.25" thickBot="1">
      <c r="A141" s="98"/>
      <c r="B141" s="97"/>
      <c r="C141" s="5" t="s">
        <v>1859</v>
      </c>
    </row>
    <row r="142" spans="1:3" ht="17.25" thickBot="1">
      <c r="A142" s="4" t="s">
        <v>1860</v>
      </c>
      <c r="B142" s="5" t="s">
        <v>1599</v>
      </c>
      <c r="C142" s="6" t="s">
        <v>1861</v>
      </c>
    </row>
    <row r="143" spans="1:3" ht="17.25" thickBot="1">
      <c r="A143" s="4" t="s">
        <v>1862</v>
      </c>
      <c r="B143" s="5" t="s">
        <v>1599</v>
      </c>
      <c r="C143" s="6" t="s">
        <v>1863</v>
      </c>
    </row>
    <row r="144" spans="1:3" ht="26.25" thickBot="1">
      <c r="A144" s="4" t="s">
        <v>1864</v>
      </c>
      <c r="B144" s="5" t="s">
        <v>1795</v>
      </c>
      <c r="C144" s="6" t="s">
        <v>1865</v>
      </c>
    </row>
    <row r="145" spans="1:3" ht="17.25" thickBot="1">
      <c r="A145" s="99" t="s">
        <v>1591</v>
      </c>
      <c r="B145" s="100" t="s">
        <v>1592</v>
      </c>
      <c r="C145" s="100" t="s">
        <v>1593</v>
      </c>
    </row>
    <row r="146" spans="1:3" ht="17.25" thickBot="1">
      <c r="A146" s="4" t="s">
        <v>1866</v>
      </c>
      <c r="B146" s="6" t="s">
        <v>1632</v>
      </c>
      <c r="C146" s="6" t="s">
        <v>1867</v>
      </c>
    </row>
    <row r="147" spans="1:3" ht="17.25" thickBot="1">
      <c r="A147" s="4" t="s">
        <v>1868</v>
      </c>
      <c r="B147" s="5" t="s">
        <v>0</v>
      </c>
      <c r="C147" s="6" t="s">
        <v>1869</v>
      </c>
    </row>
    <row r="148" spans="1:3">
      <c r="B148" s="114" t="s">
        <v>1870</v>
      </c>
      <c r="C148" s="114" t="s">
        <v>1871</v>
      </c>
    </row>
    <row r="149" spans="1:3">
      <c r="A149" s="115" t="s">
        <v>1872</v>
      </c>
      <c r="B149" s="115" t="s">
        <v>1873</v>
      </c>
    </row>
    <row r="150" spans="1:3" ht="17.25" thickBot="1">
      <c r="A150" s="126" t="s">
        <v>1874</v>
      </c>
    </row>
    <row r="151" spans="1:3" ht="17.25" thickBot="1">
      <c r="A151" s="102" t="s">
        <v>1591</v>
      </c>
      <c r="B151" s="103" t="s">
        <v>1635</v>
      </c>
      <c r="C151" s="103" t="s">
        <v>1593</v>
      </c>
    </row>
    <row r="152" spans="1:3" ht="17.25" thickBot="1">
      <c r="A152" s="4" t="s">
        <v>1875</v>
      </c>
      <c r="B152" s="5" t="s">
        <v>1603</v>
      </c>
      <c r="C152" s="5" t="s">
        <v>1876</v>
      </c>
    </row>
    <row r="153" spans="1:3" ht="17.25" thickBot="1">
      <c r="A153" s="4" t="s">
        <v>1877</v>
      </c>
      <c r="B153" s="5" t="s">
        <v>1603</v>
      </c>
      <c r="C153" s="5" t="s">
        <v>1878</v>
      </c>
    </row>
    <row r="154" spans="1:3" ht="17.25" thickBot="1">
      <c r="A154" s="4" t="s">
        <v>1879</v>
      </c>
      <c r="B154" s="5" t="s">
        <v>1630</v>
      </c>
      <c r="C154" s="5" t="s">
        <v>1880</v>
      </c>
    </row>
    <row r="155" spans="1:3" ht="17.25" thickBot="1">
      <c r="A155" s="4" t="s">
        <v>1591</v>
      </c>
      <c r="B155" s="5" t="s">
        <v>1603</v>
      </c>
      <c r="C155" s="6" t="s">
        <v>1881</v>
      </c>
    </row>
    <row r="156" spans="1:3" ht="17.25" thickBot="1">
      <c r="A156" s="4" t="s">
        <v>1882</v>
      </c>
      <c r="B156" s="5" t="s">
        <v>1603</v>
      </c>
      <c r="C156" s="6" t="s">
        <v>1883</v>
      </c>
    </row>
    <row r="157" spans="1:3" ht="17.25" thickBot="1">
      <c r="A157" s="4" t="s">
        <v>1884</v>
      </c>
      <c r="B157" s="5" t="s">
        <v>1603</v>
      </c>
      <c r="C157" s="5" t="s">
        <v>1885</v>
      </c>
    </row>
    <row r="158" spans="1:3">
      <c r="B158" s="114" t="s">
        <v>1886</v>
      </c>
      <c r="C158" s="114" t="s">
        <v>1887</v>
      </c>
    </row>
    <row r="159" spans="1:3">
      <c r="A159" s="126" t="s">
        <v>1888</v>
      </c>
    </row>
    <row r="160" spans="1:3" ht="27.75">
      <c r="A160" s="140" t="s">
        <v>1889</v>
      </c>
    </row>
    <row r="161" spans="1:3">
      <c r="A161" s="115" t="s">
        <v>1890</v>
      </c>
      <c r="B161" s="115" t="s">
        <v>1891</v>
      </c>
    </row>
    <row r="162" spans="1:3" ht="17.25" thickBot="1">
      <c r="A162" s="139" t="s">
        <v>1646</v>
      </c>
    </row>
    <row r="163" spans="1:3" ht="17.25" thickBot="1">
      <c r="A163" s="102" t="s">
        <v>1591</v>
      </c>
      <c r="B163" s="103" t="s">
        <v>1592</v>
      </c>
      <c r="C163" s="103" t="s">
        <v>1593</v>
      </c>
    </row>
    <row r="164" spans="1:3" ht="25.5">
      <c r="A164" s="92" t="s">
        <v>1892</v>
      </c>
      <c r="B164" s="91" t="s">
        <v>1632</v>
      </c>
      <c r="C164" s="7" t="s">
        <v>1893</v>
      </c>
    </row>
    <row r="165" spans="1:3" ht="27.75" thickBot="1">
      <c r="A165" s="98"/>
      <c r="B165" s="97"/>
      <c r="C165" s="6" t="s">
        <v>1894</v>
      </c>
    </row>
    <row r="166" spans="1:3" ht="17.25" thickBot="1">
      <c r="A166" s="4" t="s">
        <v>1775</v>
      </c>
      <c r="B166" s="6" t="s">
        <v>1632</v>
      </c>
      <c r="C166" s="6" t="s">
        <v>1895</v>
      </c>
    </row>
    <row r="167" spans="1:3">
      <c r="A167" s="92" t="s">
        <v>1896</v>
      </c>
      <c r="B167" s="91" t="s">
        <v>1632</v>
      </c>
      <c r="C167" s="7" t="s">
        <v>1897</v>
      </c>
    </row>
    <row r="168" spans="1:3" ht="17.25" thickBot="1">
      <c r="A168" s="98"/>
      <c r="B168" s="97"/>
      <c r="C168" s="100" t="s">
        <v>1898</v>
      </c>
    </row>
    <row r="169" spans="1:3" ht="27">
      <c r="A169" s="96" t="s">
        <v>1899</v>
      </c>
      <c r="B169" s="91" t="s">
        <v>1566</v>
      </c>
      <c r="C169" s="7" t="s">
        <v>1901</v>
      </c>
    </row>
    <row r="170" spans="1:3" ht="17.25" thickBot="1">
      <c r="A170" s="4" t="s">
        <v>1900</v>
      </c>
      <c r="B170" s="97"/>
      <c r="C170" s="6" t="s">
        <v>1902</v>
      </c>
    </row>
    <row r="171" spans="1:3" ht="17.25" thickBot="1">
      <c r="A171" s="4" t="s">
        <v>1903</v>
      </c>
      <c r="B171" s="5" t="s">
        <v>1603</v>
      </c>
      <c r="C171" s="6" t="s">
        <v>1904</v>
      </c>
    </row>
    <row r="172" spans="1:3" ht="27">
      <c r="A172" s="92" t="s">
        <v>1905</v>
      </c>
      <c r="B172" s="91" t="s">
        <v>1632</v>
      </c>
      <c r="C172" s="7" t="s">
        <v>1906</v>
      </c>
    </row>
    <row r="173" spans="1:3" ht="27.75" thickBot="1">
      <c r="A173" s="98"/>
      <c r="B173" s="97"/>
      <c r="C173" s="6" t="s">
        <v>1907</v>
      </c>
    </row>
    <row r="174" spans="1:3">
      <c r="A174" s="96" t="s">
        <v>1908</v>
      </c>
      <c r="B174" s="91" t="s">
        <v>1632</v>
      </c>
      <c r="C174" s="7" t="s">
        <v>1910</v>
      </c>
    </row>
    <row r="175" spans="1:3" ht="27.75" thickBot="1">
      <c r="A175" s="4" t="s">
        <v>1909</v>
      </c>
      <c r="B175" s="97"/>
      <c r="C175" s="6" t="s">
        <v>1911</v>
      </c>
    </row>
    <row r="176" spans="1:3">
      <c r="A176" s="92" t="s">
        <v>1912</v>
      </c>
      <c r="B176" s="91" t="s">
        <v>1603</v>
      </c>
      <c r="C176" s="7" t="s">
        <v>1913</v>
      </c>
    </row>
    <row r="177" spans="1:3" ht="17.25" thickBot="1">
      <c r="A177" s="98"/>
      <c r="B177" s="97"/>
      <c r="C177" s="5" t="s">
        <v>1914</v>
      </c>
    </row>
    <row r="178" spans="1:3" ht="17.25" thickBot="1">
      <c r="A178" s="4" t="s">
        <v>1915</v>
      </c>
      <c r="B178" s="5" t="s">
        <v>1624</v>
      </c>
      <c r="C178" s="5" t="s">
        <v>1916</v>
      </c>
    </row>
    <row r="179" spans="1:3" ht="27">
      <c r="A179" s="92" t="s">
        <v>1917</v>
      </c>
      <c r="B179" s="91" t="s">
        <v>1632</v>
      </c>
      <c r="C179" s="8" t="s">
        <v>1918</v>
      </c>
    </row>
    <row r="180" spans="1:3" ht="17.25" thickBot="1">
      <c r="A180" s="98"/>
      <c r="B180" s="97"/>
      <c r="C180" s="100" t="s">
        <v>1898</v>
      </c>
    </row>
    <row r="181" spans="1:3" ht="27">
      <c r="A181" s="96" t="s">
        <v>1919</v>
      </c>
      <c r="B181" s="91" t="s">
        <v>1632</v>
      </c>
      <c r="C181" s="7" t="s">
        <v>1921</v>
      </c>
    </row>
    <row r="182" spans="1:3" ht="27.75" thickBot="1">
      <c r="A182" s="4" t="s">
        <v>1920</v>
      </c>
      <c r="B182" s="97"/>
      <c r="C182" s="6" t="s">
        <v>1902</v>
      </c>
    </row>
    <row r="183" spans="1:3" ht="17.25" thickBot="1">
      <c r="A183" s="4" t="s">
        <v>1922</v>
      </c>
      <c r="B183" s="5" t="s">
        <v>1566</v>
      </c>
      <c r="C183" s="5" t="s">
        <v>1923</v>
      </c>
    </row>
    <row r="184" spans="1:3" ht="17.25" thickBot="1">
      <c r="A184" s="4" t="s">
        <v>1924</v>
      </c>
      <c r="B184" s="5" t="s">
        <v>1603</v>
      </c>
      <c r="C184" s="5" t="s">
        <v>1925</v>
      </c>
    </row>
    <row r="185" spans="1:3">
      <c r="B185" s="114" t="s">
        <v>1926</v>
      </c>
      <c r="C185" s="114" t="s">
        <v>1927</v>
      </c>
    </row>
    <row r="186" spans="1:3">
      <c r="A186" s="115" t="s">
        <v>1928</v>
      </c>
      <c r="B186" s="115" t="s">
        <v>1929</v>
      </c>
    </row>
    <row r="187" spans="1:3" ht="17.25" thickBot="1">
      <c r="A187" s="126" t="s">
        <v>1646</v>
      </c>
    </row>
    <row r="188" spans="1:3" ht="17.25" thickBot="1">
      <c r="A188" s="102" t="s">
        <v>1591</v>
      </c>
      <c r="B188" s="103" t="s">
        <v>1592</v>
      </c>
      <c r="C188" s="103" t="s">
        <v>1593</v>
      </c>
    </row>
    <row r="189" spans="1:3" ht="17.25" thickBot="1">
      <c r="A189" s="4" t="s">
        <v>1930</v>
      </c>
      <c r="B189" s="5" t="s">
        <v>1600</v>
      </c>
      <c r="C189" s="5" t="s">
        <v>1931</v>
      </c>
    </row>
    <row r="190" spans="1:3" ht="17.25" thickBot="1">
      <c r="A190" s="4" t="s">
        <v>1932</v>
      </c>
      <c r="B190" s="5" t="s">
        <v>1628</v>
      </c>
      <c r="C190" s="6" t="s">
        <v>1933</v>
      </c>
    </row>
    <row r="191" spans="1:3" ht="17.25" thickBot="1">
      <c r="A191" s="4" t="s">
        <v>1932</v>
      </c>
      <c r="B191" s="5" t="s">
        <v>1628</v>
      </c>
      <c r="C191" s="6" t="s">
        <v>1934</v>
      </c>
    </row>
    <row r="192" spans="1:3" ht="26.25" thickBot="1">
      <c r="A192" s="4" t="s">
        <v>1935</v>
      </c>
      <c r="B192" s="5" t="s">
        <v>1628</v>
      </c>
      <c r="C192" s="6" t="s">
        <v>1936</v>
      </c>
    </row>
    <row r="193" spans="1:3">
      <c r="B193" s="114" t="s">
        <v>1937</v>
      </c>
      <c r="C193" s="114" t="s">
        <v>1938</v>
      </c>
    </row>
    <row r="194" spans="1:3">
      <c r="A194" s="115" t="s">
        <v>1939</v>
      </c>
      <c r="B194" s="115" t="s">
        <v>1940</v>
      </c>
    </row>
    <row r="195" spans="1:3" ht="17.25" thickBot="1">
      <c r="A195" s="126" t="s">
        <v>1646</v>
      </c>
    </row>
    <row r="196" spans="1:3" ht="17.25" thickBot="1">
      <c r="A196" s="102" t="s">
        <v>1591</v>
      </c>
      <c r="B196" s="103" t="s">
        <v>1592</v>
      </c>
      <c r="C196" s="103" t="s">
        <v>1593</v>
      </c>
    </row>
    <row r="197" spans="1:3" ht="26.25" thickBot="1">
      <c r="A197" s="4" t="s">
        <v>1941</v>
      </c>
      <c r="B197" s="5" t="s">
        <v>1566</v>
      </c>
      <c r="C197" s="6" t="s">
        <v>1942</v>
      </c>
    </row>
    <row r="198" spans="1:3">
      <c r="A198" s="92" t="s">
        <v>1943</v>
      </c>
      <c r="B198" s="91" t="s">
        <v>1566</v>
      </c>
      <c r="C198" s="7" t="s">
        <v>1944</v>
      </c>
    </row>
    <row r="199" spans="1:3">
      <c r="A199" s="171"/>
      <c r="B199" s="170"/>
      <c r="C199" s="7" t="s">
        <v>1945</v>
      </c>
    </row>
    <row r="200" spans="1:3" ht="17.25" thickBot="1">
      <c r="A200" s="98"/>
      <c r="B200" s="97"/>
      <c r="C200" s="6" t="s">
        <v>1946</v>
      </c>
    </row>
    <row r="201" spans="1:3" ht="27.75" thickBot="1">
      <c r="A201" s="4" t="s">
        <v>1947</v>
      </c>
      <c r="B201" s="5" t="s">
        <v>1566</v>
      </c>
      <c r="C201" s="6" t="s">
        <v>1948</v>
      </c>
    </row>
    <row r="202" spans="1:3" ht="17.25" thickBot="1">
      <c r="A202" s="4" t="s">
        <v>1949</v>
      </c>
      <c r="B202" s="5" t="s">
        <v>1566</v>
      </c>
      <c r="C202" s="5" t="s">
        <v>1950</v>
      </c>
    </row>
    <row r="203" spans="1:3" ht="17.25" thickBot="1">
      <c r="A203" s="4" t="s">
        <v>1951</v>
      </c>
      <c r="B203" s="5" t="s">
        <v>1566</v>
      </c>
      <c r="C203" s="5" t="s">
        <v>1952</v>
      </c>
    </row>
    <row r="204" spans="1:3" ht="17.25" thickBot="1">
      <c r="A204" s="4" t="s">
        <v>1953</v>
      </c>
      <c r="B204" s="5" t="s">
        <v>1566</v>
      </c>
      <c r="C204" s="6" t="s">
        <v>1954</v>
      </c>
    </row>
    <row r="205" spans="1:3" ht="17.25" thickBot="1">
      <c r="A205" s="99" t="s">
        <v>1591</v>
      </c>
      <c r="B205" s="100" t="s">
        <v>1592</v>
      </c>
      <c r="C205" s="100" t="s">
        <v>1593</v>
      </c>
    </row>
    <row r="206" spans="1:3" ht="17.25" thickBot="1">
      <c r="A206" s="4" t="s">
        <v>1955</v>
      </c>
      <c r="B206" s="5" t="s">
        <v>0</v>
      </c>
      <c r="C206" s="6" t="s">
        <v>1956</v>
      </c>
    </row>
    <row r="207" spans="1:3">
      <c r="A207" s="92" t="s">
        <v>1634</v>
      </c>
      <c r="B207" s="91" t="s">
        <v>1603</v>
      </c>
      <c r="C207" s="8" t="s">
        <v>1957</v>
      </c>
    </row>
    <row r="208" spans="1:3" ht="17.25" thickBot="1">
      <c r="A208" s="98"/>
      <c r="B208" s="97"/>
      <c r="C208" s="5" t="s">
        <v>1958</v>
      </c>
    </row>
    <row r="209" spans="1:3">
      <c r="B209" s="114" t="s">
        <v>1959</v>
      </c>
      <c r="C209" s="114" t="s">
        <v>1960</v>
      </c>
    </row>
    <row r="210" spans="1:3">
      <c r="A210" s="115" t="s">
        <v>1961</v>
      </c>
      <c r="B210" s="115" t="s">
        <v>1962</v>
      </c>
    </row>
    <row r="211" spans="1:3" ht="17.25" thickBot="1">
      <c r="A211" s="126" t="s">
        <v>1963</v>
      </c>
    </row>
    <row r="212" spans="1:3" ht="17.25" thickBot="1">
      <c r="A212" s="102" t="s">
        <v>1591</v>
      </c>
      <c r="B212" s="103" t="s">
        <v>1635</v>
      </c>
      <c r="C212" s="103" t="s">
        <v>1593</v>
      </c>
    </row>
    <row r="213" spans="1:3">
      <c r="A213" s="92" t="s">
        <v>1964</v>
      </c>
      <c r="B213" s="8" t="s">
        <v>1738</v>
      </c>
      <c r="C213" s="91" t="s">
        <v>1965</v>
      </c>
    </row>
    <row r="214" spans="1:3" ht="17.25" thickBot="1">
      <c r="A214" s="98"/>
      <c r="B214" s="5" t="s">
        <v>1550</v>
      </c>
      <c r="C214" s="97"/>
    </row>
    <row r="215" spans="1:3" ht="17.25" thickBot="1">
      <c r="B215" s="114" t="s">
        <v>1966</v>
      </c>
      <c r="C215" s="114" t="s">
        <v>1967</v>
      </c>
    </row>
    <row r="216" spans="1:3" ht="17.25" thickBot="1">
      <c r="A216" s="102" t="s">
        <v>1591</v>
      </c>
      <c r="B216" s="103" t="s">
        <v>1592</v>
      </c>
      <c r="C216" s="103" t="s">
        <v>1593</v>
      </c>
    </row>
    <row r="217" spans="1:3" ht="17.25" thickBot="1">
      <c r="A217" s="4" t="s">
        <v>1968</v>
      </c>
      <c r="B217" s="5" t="s">
        <v>1566</v>
      </c>
      <c r="C217" s="6" t="s">
        <v>1969</v>
      </c>
    </row>
    <row r="218" spans="1:3" ht="17.25" thickBot="1">
      <c r="A218" s="4" t="s">
        <v>1970</v>
      </c>
      <c r="B218" s="5" t="s">
        <v>1566</v>
      </c>
      <c r="C218" s="6" t="s">
        <v>1971</v>
      </c>
    </row>
    <row r="219" spans="1:3" ht="27.75" thickBot="1">
      <c r="A219" s="4" t="s">
        <v>1972</v>
      </c>
      <c r="B219" s="5" t="s">
        <v>1566</v>
      </c>
      <c r="C219" s="6" t="s">
        <v>1973</v>
      </c>
    </row>
    <row r="220" spans="1:3" ht="17.25" thickBot="1">
      <c r="A220" s="4" t="s">
        <v>1974</v>
      </c>
      <c r="B220" s="5" t="s">
        <v>1566</v>
      </c>
      <c r="C220" s="6" t="s">
        <v>1975</v>
      </c>
    </row>
    <row r="221" spans="1:3" ht="17.25" thickBot="1">
      <c r="A221" s="4" t="s">
        <v>1976</v>
      </c>
      <c r="B221" s="5" t="s">
        <v>1566</v>
      </c>
      <c r="C221" s="6" t="s">
        <v>1977</v>
      </c>
    </row>
    <row r="222" spans="1:3" ht="17.25" thickBot="1">
      <c r="A222" s="4" t="s">
        <v>1978</v>
      </c>
      <c r="B222" s="5" t="s">
        <v>1566</v>
      </c>
      <c r="C222" s="6" t="s">
        <v>1975</v>
      </c>
    </row>
    <row r="223" spans="1:3">
      <c r="A223" s="92" t="s">
        <v>1979</v>
      </c>
      <c r="B223" s="91" t="s">
        <v>1566</v>
      </c>
      <c r="C223" s="7" t="s">
        <v>1980</v>
      </c>
    </row>
    <row r="224" spans="1:3" ht="17.25" thickBot="1">
      <c r="A224" s="98"/>
      <c r="B224" s="97"/>
      <c r="C224" s="5" t="s">
        <v>1616</v>
      </c>
    </row>
    <row r="225" spans="1:3" ht="17.25" thickBot="1">
      <c r="A225" s="4" t="s">
        <v>1981</v>
      </c>
      <c r="B225" s="5" t="s">
        <v>1566</v>
      </c>
      <c r="C225" s="6" t="s">
        <v>1982</v>
      </c>
    </row>
    <row r="226" spans="1:3" ht="17.25" thickBot="1">
      <c r="A226" s="4" t="s">
        <v>1983</v>
      </c>
      <c r="B226" s="5" t="s">
        <v>1566</v>
      </c>
      <c r="C226" s="6" t="s">
        <v>1984</v>
      </c>
    </row>
    <row r="227" spans="1:3" ht="17.25" thickBot="1">
      <c r="A227" s="4" t="s">
        <v>1985</v>
      </c>
      <c r="B227" s="5" t="s">
        <v>1566</v>
      </c>
      <c r="C227" s="6" t="s">
        <v>1982</v>
      </c>
    </row>
    <row r="228" spans="1:3" ht="17.25" thickBot="1">
      <c r="A228" s="4" t="s">
        <v>1986</v>
      </c>
      <c r="B228" s="5" t="s">
        <v>1566</v>
      </c>
      <c r="C228" s="6" t="s">
        <v>1987</v>
      </c>
    </row>
    <row r="229" spans="1:3" ht="17.25" thickBot="1">
      <c r="A229" s="4" t="s">
        <v>1988</v>
      </c>
      <c r="B229" s="5" t="s">
        <v>1566</v>
      </c>
      <c r="C229" s="6" t="s">
        <v>1982</v>
      </c>
    </row>
    <row r="230" spans="1:3" ht="17.25" thickBot="1">
      <c r="A230" s="4" t="s">
        <v>1955</v>
      </c>
      <c r="B230" s="5" t="s">
        <v>0</v>
      </c>
      <c r="C230" s="5" t="s">
        <v>1989</v>
      </c>
    </row>
    <row r="231" spans="1:3" ht="17.25" thickBot="1">
      <c r="A231" s="4" t="s">
        <v>1990</v>
      </c>
      <c r="B231" s="5" t="s">
        <v>1603</v>
      </c>
      <c r="C231" s="6" t="s">
        <v>1991</v>
      </c>
    </row>
    <row r="232" spans="1:3">
      <c r="B232" s="114" t="s">
        <v>1992</v>
      </c>
      <c r="C232" s="114" t="s">
        <v>1993</v>
      </c>
    </row>
    <row r="233" spans="1:3">
      <c r="A233" s="115" t="s">
        <v>1994</v>
      </c>
      <c r="B233" s="115" t="s">
        <v>1995</v>
      </c>
    </row>
    <row r="234" spans="1:3" ht="17.25" thickBot="1">
      <c r="A234" s="126" t="s">
        <v>1874</v>
      </c>
    </row>
    <row r="235" spans="1:3" ht="17.25" thickBot="1">
      <c r="A235" s="102" t="s">
        <v>1591</v>
      </c>
      <c r="B235" s="103" t="s">
        <v>1635</v>
      </c>
      <c r="C235" s="103" t="s">
        <v>1593</v>
      </c>
    </row>
    <row r="236" spans="1:3">
      <c r="A236" s="92" t="s">
        <v>1996</v>
      </c>
      <c r="B236" s="8" t="s">
        <v>0</v>
      </c>
      <c r="C236" s="8" t="s">
        <v>1998</v>
      </c>
    </row>
    <row r="237" spans="1:3" ht="17.25" thickBot="1">
      <c r="A237" s="98"/>
      <c r="B237" s="5" t="s">
        <v>1997</v>
      </c>
      <c r="C237" s="5" t="s">
        <v>1999</v>
      </c>
    </row>
    <row r="238" spans="1:3">
      <c r="A238" s="92" t="s">
        <v>1996</v>
      </c>
      <c r="B238" s="8" t="s">
        <v>1603</v>
      </c>
      <c r="C238" s="91" t="s">
        <v>2001</v>
      </c>
    </row>
    <row r="239" spans="1:3" ht="17.25" thickBot="1">
      <c r="A239" s="98"/>
      <c r="B239" s="5" t="s">
        <v>2000</v>
      </c>
      <c r="C239" s="97"/>
    </row>
    <row r="240" spans="1:3">
      <c r="A240" s="92" t="s">
        <v>2002</v>
      </c>
      <c r="B240" s="91" t="s">
        <v>1566</v>
      </c>
      <c r="C240" s="7" t="s">
        <v>2003</v>
      </c>
    </row>
    <row r="241" spans="1:3">
      <c r="A241" s="171"/>
      <c r="B241" s="170"/>
      <c r="C241" s="8" t="s">
        <v>2004</v>
      </c>
    </row>
    <row r="242" spans="1:3" ht="17.25" thickBot="1">
      <c r="A242" s="98"/>
      <c r="B242" s="97"/>
      <c r="C242" s="5" t="s">
        <v>2005</v>
      </c>
    </row>
    <row r="243" spans="1:3">
      <c r="B243" s="114" t="s">
        <v>2006</v>
      </c>
      <c r="C243" s="114" t="s">
        <v>2007</v>
      </c>
    </row>
    <row r="244" spans="1:3" ht="17.25" thickBot="1">
      <c r="A244" s="126" t="s">
        <v>1646</v>
      </c>
    </row>
    <row r="245" spans="1:3" ht="17.25" thickBot="1">
      <c r="A245" s="102" t="s">
        <v>1591</v>
      </c>
      <c r="B245" s="103" t="s">
        <v>1592</v>
      </c>
      <c r="C245" s="103" t="s">
        <v>1593</v>
      </c>
    </row>
    <row r="246" spans="1:3" ht="27">
      <c r="A246" s="96" t="s">
        <v>2008</v>
      </c>
      <c r="B246" s="91" t="s">
        <v>1632</v>
      </c>
      <c r="C246" s="91" t="s">
        <v>2011</v>
      </c>
    </row>
    <row r="247" spans="1:3" ht="27">
      <c r="A247" s="96" t="s">
        <v>2009</v>
      </c>
      <c r="B247" s="170"/>
      <c r="C247" s="170"/>
    </row>
    <row r="248" spans="1:3" ht="17.25" thickBot="1">
      <c r="A248" s="4" t="s">
        <v>2010</v>
      </c>
      <c r="B248" s="97"/>
      <c r="C248" s="97"/>
    </row>
    <row r="249" spans="1:3" ht="17.25" thickBot="1">
      <c r="A249" s="4" t="s">
        <v>1903</v>
      </c>
      <c r="B249" s="5" t="s">
        <v>1603</v>
      </c>
      <c r="C249" s="5" t="s">
        <v>2012</v>
      </c>
    </row>
    <row r="250" spans="1:3" ht="17.25" thickBot="1">
      <c r="A250" s="4" t="s">
        <v>1912</v>
      </c>
      <c r="B250" s="5" t="s">
        <v>1603</v>
      </c>
      <c r="C250" s="5" t="s">
        <v>2013</v>
      </c>
    </row>
    <row r="251" spans="1:3" ht="17.25" thickBot="1">
      <c r="A251" s="4" t="s">
        <v>1915</v>
      </c>
      <c r="B251" s="5" t="s">
        <v>1624</v>
      </c>
      <c r="C251" s="5" t="s">
        <v>2014</v>
      </c>
    </row>
    <row r="252" spans="1:3" ht="17.25" thickBot="1">
      <c r="A252" s="4" t="s">
        <v>2015</v>
      </c>
      <c r="B252" s="6" t="s">
        <v>1632</v>
      </c>
      <c r="C252" s="6" t="s">
        <v>2016</v>
      </c>
    </row>
    <row r="253" spans="1:3" ht="17.25" thickBot="1">
      <c r="A253" s="4" t="s">
        <v>2017</v>
      </c>
      <c r="B253" s="6" t="s">
        <v>1632</v>
      </c>
      <c r="C253" s="6" t="s">
        <v>2018</v>
      </c>
    </row>
    <row r="254" spans="1:3" ht="17.25" thickBot="1">
      <c r="A254" s="4" t="s">
        <v>2019</v>
      </c>
      <c r="B254" s="5" t="s">
        <v>1625</v>
      </c>
      <c r="C254" s="6" t="s">
        <v>2020</v>
      </c>
    </row>
    <row r="255" spans="1:3" ht="17.25" thickBot="1">
      <c r="A255" s="4" t="s">
        <v>1922</v>
      </c>
      <c r="B255" s="5" t="s">
        <v>1566</v>
      </c>
      <c r="C255" s="5" t="s">
        <v>1923</v>
      </c>
    </row>
    <row r="256" spans="1:3" ht="17.25" thickBot="1">
      <c r="A256" s="4" t="s">
        <v>2021</v>
      </c>
      <c r="B256" s="6" t="s">
        <v>1632</v>
      </c>
      <c r="C256" s="5" t="s">
        <v>2022</v>
      </c>
    </row>
    <row r="257" spans="1:3" ht="17.25" thickBot="1">
      <c r="A257" s="4" t="s">
        <v>2023</v>
      </c>
      <c r="B257" s="6" t="s">
        <v>1632</v>
      </c>
      <c r="C257" s="5" t="s">
        <v>2024</v>
      </c>
    </row>
    <row r="258" spans="1:3">
      <c r="A258" s="92" t="s">
        <v>2025</v>
      </c>
      <c r="B258" s="91" t="s">
        <v>1603</v>
      </c>
      <c r="C258" s="8" t="s">
        <v>2026</v>
      </c>
    </row>
    <row r="259" spans="1:3" ht="39" thickBot="1">
      <c r="A259" s="98"/>
      <c r="B259" s="97"/>
      <c r="C259" s="6" t="s">
        <v>2027</v>
      </c>
    </row>
    <row r="260" spans="1:3" ht="17.25" thickBot="1">
      <c r="A260" s="4" t="s">
        <v>2028</v>
      </c>
      <c r="B260" s="6" t="s">
        <v>1632</v>
      </c>
      <c r="C260" s="5" t="s">
        <v>2029</v>
      </c>
    </row>
    <row r="261" spans="1:3" ht="17.25" thickBot="1">
      <c r="A261" s="4" t="s">
        <v>1924</v>
      </c>
      <c r="B261" s="5" t="s">
        <v>1603</v>
      </c>
      <c r="C261" s="5" t="s">
        <v>2030</v>
      </c>
    </row>
    <row r="262" spans="1:3">
      <c r="B262" s="114" t="s">
        <v>2031</v>
      </c>
      <c r="C262" s="114" t="s">
        <v>2032</v>
      </c>
    </row>
    <row r="263" spans="1:3">
      <c r="A263" s="115" t="s">
        <v>2036</v>
      </c>
      <c r="B263" s="115" t="s">
        <v>2037</v>
      </c>
    </row>
    <row r="264" spans="1:3" ht="17.25" thickBot="1">
      <c r="A264" s="126" t="s">
        <v>1646</v>
      </c>
    </row>
    <row r="265" spans="1:3" ht="17.25" thickBot="1">
      <c r="A265" s="102" t="s">
        <v>1591</v>
      </c>
      <c r="B265" s="103" t="s">
        <v>1592</v>
      </c>
      <c r="C265" s="103" t="s">
        <v>1593</v>
      </c>
    </row>
    <row r="266" spans="1:3" ht="17.25" thickBot="1">
      <c r="A266" s="4" t="s">
        <v>1509</v>
      </c>
      <c r="B266" s="5"/>
      <c r="C266" s="6" t="s">
        <v>1510</v>
      </c>
    </row>
    <row r="267" spans="1:3" ht="26.25" thickBot="1">
      <c r="A267" s="4" t="s">
        <v>1511</v>
      </c>
      <c r="B267" s="5"/>
      <c r="C267" s="6" t="s">
        <v>1512</v>
      </c>
    </row>
    <row r="268" spans="1:3" ht="26.25" thickBot="1">
      <c r="A268" s="4" t="s">
        <v>1513</v>
      </c>
      <c r="B268" s="5"/>
      <c r="C268" s="6" t="s">
        <v>1514</v>
      </c>
    </row>
    <row r="269" spans="1:3" ht="17.25" thickBot="1">
      <c r="A269" s="4" t="s">
        <v>2038</v>
      </c>
      <c r="B269" s="5"/>
      <c r="C269" s="6" t="s">
        <v>1515</v>
      </c>
    </row>
    <row r="270" spans="1:3" ht="17.25" thickBot="1">
      <c r="A270" s="4" t="s">
        <v>2039</v>
      </c>
      <c r="B270" s="5"/>
      <c r="C270" s="6" t="s">
        <v>1516</v>
      </c>
    </row>
    <row r="271" spans="1:3" ht="17.25" thickBot="1">
      <c r="A271" s="4" t="s">
        <v>2040</v>
      </c>
      <c r="B271" s="5"/>
      <c r="C271" s="6" t="s">
        <v>1517</v>
      </c>
    </row>
    <row r="272" spans="1:3" ht="17.25" thickBot="1">
      <c r="A272" s="4" t="s">
        <v>1518</v>
      </c>
      <c r="B272" s="5"/>
      <c r="C272" s="5" t="s">
        <v>1519</v>
      </c>
    </row>
    <row r="273" spans="1:3" ht="17.25" thickBot="1">
      <c r="A273" s="4" t="s">
        <v>1520</v>
      </c>
      <c r="B273" s="5"/>
      <c r="C273" s="5" t="s">
        <v>1521</v>
      </c>
    </row>
    <row r="274" spans="1:3" ht="17.25" thickBot="1">
      <c r="A274" s="4" t="s">
        <v>1522</v>
      </c>
      <c r="B274" s="5"/>
      <c r="C274" s="6" t="s">
        <v>1523</v>
      </c>
    </row>
    <row r="275" spans="1:3" ht="17.25" thickBot="1">
      <c r="A275" s="4" t="s">
        <v>1524</v>
      </c>
      <c r="B275" s="5"/>
      <c r="C275" s="6" t="s">
        <v>1525</v>
      </c>
    </row>
    <row r="276" spans="1:3" ht="17.25" thickBot="1">
      <c r="A276" s="4" t="s">
        <v>1526</v>
      </c>
      <c r="B276" s="5"/>
      <c r="C276" s="6" t="s">
        <v>1527</v>
      </c>
    </row>
    <row r="277" spans="1:3" ht="17.25" thickBot="1">
      <c r="A277" s="4" t="s">
        <v>1528</v>
      </c>
      <c r="B277" s="5"/>
      <c r="C277" s="6" t="s">
        <v>1529</v>
      </c>
    </row>
    <row r="278" spans="1:3" ht="17.25" thickBot="1">
      <c r="A278" s="4" t="s">
        <v>1530</v>
      </c>
      <c r="B278" s="5"/>
      <c r="C278" s="5" t="s">
        <v>1531</v>
      </c>
    </row>
    <row r="279" spans="1:3" ht="17.25" thickBot="1">
      <c r="A279" s="4" t="s">
        <v>1532</v>
      </c>
      <c r="B279" s="5"/>
      <c r="C279" s="6" t="s">
        <v>1533</v>
      </c>
    </row>
    <row r="280" spans="1:3" ht="26.25" thickBot="1">
      <c r="A280" s="4" t="s">
        <v>1534</v>
      </c>
      <c r="B280" s="5"/>
      <c r="C280" s="6" t="s">
        <v>1535</v>
      </c>
    </row>
    <row r="281" spans="1:3">
      <c r="A281" s="92" t="s">
        <v>1536</v>
      </c>
      <c r="B281" s="8" t="s">
        <v>2041</v>
      </c>
      <c r="C281" s="91" t="s">
        <v>2042</v>
      </c>
    </row>
    <row r="282" spans="1:3" ht="17.25" thickBot="1">
      <c r="A282" s="98"/>
      <c r="B282" s="5" t="s">
        <v>1378</v>
      </c>
      <c r="C282" s="97"/>
    </row>
    <row r="283" spans="1:3">
      <c r="A283" s="92" t="s">
        <v>1537</v>
      </c>
      <c r="B283" s="8" t="s">
        <v>1557</v>
      </c>
      <c r="C283" s="91" t="s">
        <v>1538</v>
      </c>
    </row>
    <row r="284" spans="1:3" ht="17.25" thickBot="1">
      <c r="A284" s="98"/>
      <c r="B284" s="5" t="s">
        <v>1599</v>
      </c>
      <c r="C284" s="97"/>
    </row>
    <row r="285" spans="1:3" ht="17.25" thickBot="1">
      <c r="A285" s="4" t="s">
        <v>1539</v>
      </c>
      <c r="B285" s="5" t="s">
        <v>1540</v>
      </c>
      <c r="C285" s="6" t="s">
        <v>1541</v>
      </c>
    </row>
    <row r="286" spans="1:3">
      <c r="A286" s="92" t="s">
        <v>1542</v>
      </c>
      <c r="B286" s="8" t="s">
        <v>1557</v>
      </c>
      <c r="C286" s="91" t="s">
        <v>1543</v>
      </c>
    </row>
    <row r="287" spans="1:3" ht="17.25" thickBot="1">
      <c r="A287" s="98"/>
      <c r="B287" s="5" t="s">
        <v>1599</v>
      </c>
      <c r="C287" s="97"/>
    </row>
    <row r="288" spans="1:3" ht="25.5">
      <c r="A288" s="92" t="s">
        <v>1544</v>
      </c>
      <c r="B288" s="8" t="s">
        <v>1557</v>
      </c>
      <c r="C288" s="91" t="s">
        <v>1545</v>
      </c>
    </row>
    <row r="289" spans="1:3" ht="17.25" thickBot="1">
      <c r="A289" s="98"/>
      <c r="B289" s="5" t="s">
        <v>1599</v>
      </c>
      <c r="C289" s="97"/>
    </row>
    <row r="290" spans="1:3">
      <c r="A290" s="92" t="s">
        <v>1546</v>
      </c>
      <c r="B290" s="91" t="s">
        <v>0</v>
      </c>
      <c r="C290" s="7" t="s">
        <v>2043</v>
      </c>
    </row>
    <row r="291" spans="1:3" ht="17.25" thickBot="1">
      <c r="A291" s="98"/>
      <c r="B291" s="97"/>
      <c r="C291" s="143" t="s">
        <v>2044</v>
      </c>
    </row>
    <row r="292" spans="1:3" ht="17.25" thickBot="1">
      <c r="A292" s="4" t="s">
        <v>1547</v>
      </c>
      <c r="B292" s="5" t="s">
        <v>0</v>
      </c>
      <c r="C292" s="6" t="s">
        <v>1548</v>
      </c>
    </row>
    <row r="293" spans="1:3">
      <c r="B293" s="114" t="s">
        <v>2045</v>
      </c>
      <c r="C293" s="114" t="s">
        <v>2046</v>
      </c>
    </row>
    <row r="294" spans="1:3">
      <c r="A294" s="115" t="s">
        <v>2047</v>
      </c>
      <c r="B294" s="115" t="s">
        <v>2048</v>
      </c>
    </row>
    <row r="295" spans="1:3" ht="17.25" thickBot="1">
      <c r="A295" s="126" t="s">
        <v>1646</v>
      </c>
    </row>
    <row r="296" spans="1:3" ht="17.25" thickBot="1">
      <c r="A296" s="102" t="s">
        <v>1591</v>
      </c>
      <c r="B296" s="103" t="s">
        <v>1592</v>
      </c>
      <c r="C296" s="103" t="s">
        <v>1593</v>
      </c>
    </row>
    <row r="297" spans="1:3" ht="17.25" thickBot="1">
      <c r="A297" s="4" t="s">
        <v>2049</v>
      </c>
      <c r="B297" s="5"/>
      <c r="C297" s="6" t="s">
        <v>2050</v>
      </c>
    </row>
    <row r="298" spans="1:3">
      <c r="A298" s="96" t="s">
        <v>2051</v>
      </c>
      <c r="B298" s="91"/>
      <c r="C298" s="8" t="s">
        <v>2053</v>
      </c>
    </row>
    <row r="299" spans="1:3">
      <c r="A299" s="96" t="s">
        <v>2052</v>
      </c>
      <c r="B299" s="170"/>
      <c r="C299" s="7" t="s">
        <v>2054</v>
      </c>
    </row>
    <row r="300" spans="1:3" ht="17.25" thickBot="1">
      <c r="A300" s="113"/>
      <c r="B300" s="97"/>
      <c r="C300" s="5" t="s">
        <v>2055</v>
      </c>
    </row>
    <row r="301" spans="1:3" ht="17.25" thickBot="1">
      <c r="A301" s="4" t="s">
        <v>2056</v>
      </c>
      <c r="B301" s="5"/>
      <c r="C301" s="5" t="s">
        <v>2057</v>
      </c>
    </row>
    <row r="302" spans="1:3" ht="17.25" thickBot="1">
      <c r="A302" s="4" t="s">
        <v>2058</v>
      </c>
      <c r="B302" s="5"/>
      <c r="C302" s="6" t="s">
        <v>2059</v>
      </c>
    </row>
    <row r="303" spans="1:3" ht="17.25" thickBot="1">
      <c r="A303" s="4" t="s">
        <v>1850</v>
      </c>
      <c r="B303" s="5"/>
      <c r="C303" s="5" t="s">
        <v>2060</v>
      </c>
    </row>
    <row r="304" spans="1:3" ht="17.25" thickBot="1">
      <c r="A304" s="4" t="s">
        <v>2061</v>
      </c>
      <c r="B304" s="5"/>
      <c r="C304" s="5" t="s">
        <v>2062</v>
      </c>
    </row>
    <row r="305" spans="1:3">
      <c r="A305" s="92" t="s">
        <v>2063</v>
      </c>
      <c r="B305" s="91"/>
      <c r="C305" s="8" t="s">
        <v>2064</v>
      </c>
    </row>
    <row r="306" spans="1:3" ht="17.25" thickBot="1">
      <c r="A306" s="98"/>
      <c r="B306" s="97"/>
      <c r="C306" s="5" t="s">
        <v>2065</v>
      </c>
    </row>
    <row r="307" spans="1:3">
      <c r="A307" s="92" t="s">
        <v>2066</v>
      </c>
      <c r="B307" s="91"/>
      <c r="C307" s="8" t="s">
        <v>2064</v>
      </c>
    </row>
    <row r="308" spans="1:3" ht="17.25" thickBot="1">
      <c r="A308" s="98"/>
      <c r="B308" s="97"/>
      <c r="C308" s="5" t="s">
        <v>2067</v>
      </c>
    </row>
    <row r="309" spans="1:3" ht="17.25" thickBot="1">
      <c r="A309" s="4" t="s">
        <v>2068</v>
      </c>
      <c r="B309" s="5" t="s">
        <v>1603</v>
      </c>
      <c r="C309" s="6" t="s">
        <v>2069</v>
      </c>
    </row>
    <row r="310" spans="1:3">
      <c r="A310" s="92" t="s">
        <v>2070</v>
      </c>
      <c r="B310" s="8" t="s">
        <v>2041</v>
      </c>
      <c r="C310" s="91" t="s">
        <v>2071</v>
      </c>
    </row>
    <row r="311" spans="1:3" ht="17.25" thickBot="1">
      <c r="A311" s="98"/>
      <c r="B311" s="5" t="s">
        <v>1378</v>
      </c>
      <c r="C311" s="97"/>
    </row>
    <row r="312" spans="1:3" ht="17.25" thickBot="1">
      <c r="A312" s="4" t="s">
        <v>2072</v>
      </c>
      <c r="B312" s="5" t="s">
        <v>1566</v>
      </c>
      <c r="C312" s="6" t="s">
        <v>2073</v>
      </c>
    </row>
    <row r="313" spans="1:3">
      <c r="A313" s="92" t="s">
        <v>2074</v>
      </c>
      <c r="B313" s="91" t="s">
        <v>1603</v>
      </c>
      <c r="C313" s="7" t="s">
        <v>2075</v>
      </c>
    </row>
    <row r="314" spans="1:3" ht="17.25" thickBot="1">
      <c r="A314" s="98"/>
      <c r="B314" s="97"/>
      <c r="C314" s="5" t="s">
        <v>2076</v>
      </c>
    </row>
    <row r="315" spans="1:3">
      <c r="B315" s="114" t="s">
        <v>2077</v>
      </c>
      <c r="C315" s="114" t="s">
        <v>2078</v>
      </c>
    </row>
    <row r="316" spans="1:3">
      <c r="A316" s="115" t="s">
        <v>2079</v>
      </c>
      <c r="B316" s="115" t="s">
        <v>2080</v>
      </c>
    </row>
    <row r="317" spans="1:3" ht="17.25" thickBot="1">
      <c r="A317" s="126" t="s">
        <v>1646</v>
      </c>
    </row>
    <row r="318" spans="1:3" ht="17.25" thickBot="1">
      <c r="A318" s="102" t="s">
        <v>1591</v>
      </c>
      <c r="B318" s="103" t="s">
        <v>1592</v>
      </c>
      <c r="C318" s="103" t="s">
        <v>1593</v>
      </c>
    </row>
    <row r="319" spans="1:3" ht="17.25" thickBot="1">
      <c r="A319" s="4" t="s">
        <v>2081</v>
      </c>
      <c r="B319" s="5"/>
      <c r="C319" s="6" t="s">
        <v>2050</v>
      </c>
    </row>
    <row r="320" spans="1:3" ht="17.25" thickBot="1">
      <c r="A320" s="4" t="s">
        <v>2082</v>
      </c>
      <c r="B320" s="5"/>
      <c r="C320" s="6" t="s">
        <v>2083</v>
      </c>
    </row>
    <row r="321" spans="1:3" ht="17.25" thickBot="1">
      <c r="A321" s="4" t="s">
        <v>2084</v>
      </c>
      <c r="B321" s="5"/>
      <c r="C321" s="6" t="s">
        <v>2085</v>
      </c>
    </row>
    <row r="322" spans="1:3" ht="17.25" thickBot="1">
      <c r="A322" s="4" t="s">
        <v>2086</v>
      </c>
      <c r="B322" s="5"/>
      <c r="C322" s="6" t="s">
        <v>2087</v>
      </c>
    </row>
    <row r="323" spans="1:3" ht="17.25" thickBot="1">
      <c r="A323" s="4" t="s">
        <v>2088</v>
      </c>
      <c r="B323" s="5"/>
      <c r="C323" s="5" t="s">
        <v>2089</v>
      </c>
    </row>
    <row r="324" spans="1:3" ht="51.75" thickBot="1">
      <c r="A324" s="4" t="s">
        <v>2090</v>
      </c>
      <c r="B324" s="5"/>
      <c r="C324" s="6" t="s">
        <v>2091</v>
      </c>
    </row>
    <row r="325" spans="1:3" ht="17.25" thickBot="1">
      <c r="A325" s="4" t="s">
        <v>2092</v>
      </c>
      <c r="B325" s="5"/>
      <c r="C325" s="6" t="s">
        <v>2093</v>
      </c>
    </row>
    <row r="326" spans="1:3" ht="17.25" thickBot="1">
      <c r="A326" s="4" t="s">
        <v>2094</v>
      </c>
      <c r="B326" s="5" t="s">
        <v>1627</v>
      </c>
      <c r="C326" s="6" t="s">
        <v>2095</v>
      </c>
    </row>
    <row r="327" spans="1:3" ht="39" thickBot="1">
      <c r="A327" s="4" t="s">
        <v>1868</v>
      </c>
      <c r="B327" s="5" t="s">
        <v>0</v>
      </c>
      <c r="C327" s="6" t="s">
        <v>2096</v>
      </c>
    </row>
    <row r="328" spans="1:3" ht="17.25" thickBot="1">
      <c r="A328" s="4" t="s">
        <v>2097</v>
      </c>
      <c r="B328" s="5" t="s">
        <v>1566</v>
      </c>
      <c r="C328" s="5" t="s">
        <v>2098</v>
      </c>
    </row>
    <row r="329" spans="1:3">
      <c r="A329" s="92" t="s">
        <v>2099</v>
      </c>
      <c r="B329" s="91" t="s">
        <v>1603</v>
      </c>
      <c r="C329" s="8" t="s">
        <v>2100</v>
      </c>
    </row>
    <row r="330" spans="1:3" ht="17.25" thickBot="1">
      <c r="A330" s="98"/>
      <c r="B330" s="97"/>
      <c r="C330" s="5" t="s">
        <v>2101</v>
      </c>
    </row>
    <row r="331" spans="1:3" ht="17.25" thickBot="1">
      <c r="A331" s="4" t="s">
        <v>2102</v>
      </c>
      <c r="B331" s="5" t="s">
        <v>0</v>
      </c>
      <c r="C331" s="6" t="s">
        <v>2103</v>
      </c>
    </row>
    <row r="332" spans="1:3">
      <c r="A332" s="92" t="s">
        <v>2104</v>
      </c>
      <c r="B332" s="91" t="s">
        <v>0</v>
      </c>
      <c r="C332" s="8" t="s">
        <v>2105</v>
      </c>
    </row>
    <row r="333" spans="1:3" ht="17.25" thickBot="1">
      <c r="A333" s="98"/>
      <c r="B333" s="97"/>
      <c r="C333" s="5" t="s">
        <v>2106</v>
      </c>
    </row>
    <row r="334" spans="1:3">
      <c r="B334" s="114" t="s">
        <v>2107</v>
      </c>
      <c r="C334" s="114" t="s">
        <v>2108</v>
      </c>
    </row>
    <row r="335" spans="1:3" ht="17.25" thickBot="1">
      <c r="A335" s="115" t="s">
        <v>2109</v>
      </c>
      <c r="B335" s="115" t="s">
        <v>2110</v>
      </c>
    </row>
    <row r="336" spans="1:3" ht="17.25" thickBot="1">
      <c r="A336" s="102" t="s">
        <v>1591</v>
      </c>
      <c r="B336" s="103" t="s">
        <v>1635</v>
      </c>
      <c r="C336" s="103" t="s">
        <v>1593</v>
      </c>
    </row>
    <row r="337" spans="1:3">
      <c r="A337" s="92" t="s">
        <v>2111</v>
      </c>
      <c r="B337" s="8" t="s">
        <v>2112</v>
      </c>
      <c r="C337" s="91" t="s">
        <v>2114</v>
      </c>
    </row>
    <row r="338" spans="1:3" ht="17.25" thickBot="1">
      <c r="A338" s="98"/>
      <c r="B338" s="5" t="s">
        <v>2113</v>
      </c>
      <c r="C338" s="97"/>
    </row>
    <row r="339" spans="1:3">
      <c r="A339" s="92" t="s">
        <v>2115</v>
      </c>
      <c r="B339" s="7" t="s">
        <v>2116</v>
      </c>
      <c r="C339" s="91" t="s">
        <v>2117</v>
      </c>
    </row>
    <row r="340" spans="1:3">
      <c r="A340" s="171"/>
      <c r="B340" s="8" t="s">
        <v>1603</v>
      </c>
      <c r="C340" s="170"/>
    </row>
    <row r="341" spans="1:3" ht="17.25" thickBot="1">
      <c r="A341" s="98"/>
      <c r="B341" s="5" t="s">
        <v>1550</v>
      </c>
      <c r="C341" s="97"/>
    </row>
    <row r="342" spans="1:3" ht="17.25" thickBot="1">
      <c r="A342" s="4" t="s">
        <v>2118</v>
      </c>
      <c r="B342" s="5" t="s">
        <v>2119</v>
      </c>
      <c r="C342" s="6" t="s">
        <v>2120</v>
      </c>
    </row>
    <row r="343" spans="1:3">
      <c r="A343" s="92" t="s">
        <v>2121</v>
      </c>
      <c r="B343" s="7" t="s">
        <v>2116</v>
      </c>
      <c r="C343" s="91" t="s">
        <v>2122</v>
      </c>
    </row>
    <row r="344" spans="1:3">
      <c r="A344" s="171"/>
      <c r="B344" s="8" t="s">
        <v>1603</v>
      </c>
      <c r="C344" s="170"/>
    </row>
    <row r="345" spans="1:3" ht="17.25" thickBot="1">
      <c r="A345" s="98"/>
      <c r="B345" s="5" t="s">
        <v>1550</v>
      </c>
      <c r="C345" s="97"/>
    </row>
    <row r="346" spans="1:3">
      <c r="A346" s="92" t="s">
        <v>2123</v>
      </c>
      <c r="B346" s="7" t="s">
        <v>2124</v>
      </c>
      <c r="C346" s="91" t="s">
        <v>2126</v>
      </c>
    </row>
    <row r="347" spans="1:3" ht="17.25" thickBot="1">
      <c r="A347" s="98"/>
      <c r="B347" s="5" t="s">
        <v>2125</v>
      </c>
      <c r="C347" s="97"/>
    </row>
    <row r="348" spans="1:3">
      <c r="A348" s="176" t="s">
        <v>2127</v>
      </c>
      <c r="B348" s="8" t="s">
        <v>1566</v>
      </c>
      <c r="C348" s="91" t="s">
        <v>2128</v>
      </c>
    </row>
    <row r="349" spans="1:3" ht="17.25" thickBot="1">
      <c r="A349" s="177"/>
      <c r="B349" s="5" t="s">
        <v>1550</v>
      </c>
      <c r="C349" s="97"/>
    </row>
    <row r="350" spans="1:3" ht="25.5">
      <c r="A350" s="176" t="s">
        <v>2129</v>
      </c>
      <c r="B350" s="8" t="s">
        <v>2130</v>
      </c>
      <c r="C350" s="91" t="s">
        <v>2131</v>
      </c>
    </row>
    <row r="351" spans="1:3" ht="17.25" thickBot="1">
      <c r="A351" s="177"/>
      <c r="B351" s="5" t="s">
        <v>1550</v>
      </c>
      <c r="C351" s="97"/>
    </row>
    <row r="352" spans="1:3">
      <c r="A352" s="176" t="s">
        <v>2132</v>
      </c>
      <c r="B352" s="8" t="s">
        <v>0</v>
      </c>
      <c r="C352" s="91" t="s">
        <v>2134</v>
      </c>
    </row>
    <row r="353" spans="1:3" ht="17.25" thickBot="1">
      <c r="A353" s="177"/>
      <c r="B353" s="5" t="s">
        <v>2133</v>
      </c>
      <c r="C353" s="97"/>
    </row>
    <row r="354" spans="1:3" ht="25.5">
      <c r="A354" s="176" t="s">
        <v>2002</v>
      </c>
      <c r="B354" s="8" t="s">
        <v>0</v>
      </c>
      <c r="C354" s="91" t="s">
        <v>2135</v>
      </c>
    </row>
    <row r="355" spans="1:3" ht="17.25" thickBot="1">
      <c r="A355" s="177"/>
      <c r="B355" s="5" t="s">
        <v>1550</v>
      </c>
      <c r="C355" s="97"/>
    </row>
    <row r="356" spans="1:3">
      <c r="B356" s="114" t="s">
        <v>2136</v>
      </c>
      <c r="C356" s="114" t="s">
        <v>2137</v>
      </c>
    </row>
    <row r="357" spans="1:3" ht="17.25" thickBot="1">
      <c r="A357" s="126" t="s">
        <v>1646</v>
      </c>
    </row>
    <row r="358" spans="1:3" ht="17.25" thickBot="1">
      <c r="A358" s="102" t="s">
        <v>1591</v>
      </c>
      <c r="B358" s="103" t="s">
        <v>1592</v>
      </c>
      <c r="C358" s="103" t="s">
        <v>1593</v>
      </c>
    </row>
    <row r="359" spans="1:3" ht="26.25" thickBot="1">
      <c r="A359" s="4" t="s">
        <v>2138</v>
      </c>
      <c r="B359" s="6" t="s">
        <v>1632</v>
      </c>
      <c r="C359" s="6" t="s">
        <v>2139</v>
      </c>
    </row>
    <row r="360" spans="1:3" ht="39" thickBot="1">
      <c r="A360" s="4" t="s">
        <v>2140</v>
      </c>
      <c r="B360" s="6" t="s">
        <v>1632</v>
      </c>
      <c r="C360" s="6" t="s">
        <v>2141</v>
      </c>
    </row>
    <row r="361" spans="1:3" ht="17.25" thickBot="1">
      <c r="A361" s="4" t="s">
        <v>1775</v>
      </c>
      <c r="B361" s="6" t="s">
        <v>1632</v>
      </c>
      <c r="C361" s="5" t="s">
        <v>2142</v>
      </c>
    </row>
    <row r="362" spans="1:3" ht="17.25" thickBot="1">
      <c r="A362" s="4" t="s">
        <v>2143</v>
      </c>
      <c r="B362" s="6" t="s">
        <v>1632</v>
      </c>
      <c r="C362" s="6" t="s">
        <v>2144</v>
      </c>
    </row>
    <row r="363" spans="1:3" ht="17.25" thickBot="1">
      <c r="A363" s="4" t="s">
        <v>1903</v>
      </c>
      <c r="B363" s="5" t="s">
        <v>1603</v>
      </c>
      <c r="C363" s="5" t="s">
        <v>2145</v>
      </c>
    </row>
    <row r="364" spans="1:3" ht="17.25" thickBot="1">
      <c r="A364" s="4" t="s">
        <v>1912</v>
      </c>
      <c r="B364" s="5" t="s">
        <v>1603</v>
      </c>
      <c r="C364" s="5" t="s">
        <v>2146</v>
      </c>
    </row>
    <row r="365" spans="1:3" ht="17.25" thickBot="1">
      <c r="A365" s="4" t="s">
        <v>1915</v>
      </c>
      <c r="B365" s="5" t="s">
        <v>1624</v>
      </c>
      <c r="C365" s="5" t="s">
        <v>2014</v>
      </c>
    </row>
    <row r="366" spans="1:3" ht="27">
      <c r="A366" s="134" t="s">
        <v>2147</v>
      </c>
      <c r="B366" s="91" t="s">
        <v>1632</v>
      </c>
      <c r="C366" s="91" t="s">
        <v>2149</v>
      </c>
    </row>
    <row r="367" spans="1:3" ht="17.25" thickBot="1">
      <c r="A367" s="4" t="s">
        <v>2148</v>
      </c>
      <c r="B367" s="97"/>
      <c r="C367" s="97"/>
    </row>
    <row r="368" spans="1:3" ht="17.25" thickBot="1">
      <c r="A368" s="4" t="s">
        <v>2150</v>
      </c>
      <c r="B368" s="5" t="s">
        <v>1603</v>
      </c>
      <c r="C368" s="5" t="s">
        <v>2151</v>
      </c>
    </row>
    <row r="369" spans="1:3" ht="17.25" thickBot="1">
      <c r="A369" s="4" t="s">
        <v>2152</v>
      </c>
      <c r="B369" s="5" t="s">
        <v>1603</v>
      </c>
      <c r="C369" s="6" t="s">
        <v>2153</v>
      </c>
    </row>
    <row r="370" spans="1:3" ht="30.75" thickBot="1">
      <c r="A370" s="145" t="s">
        <v>2154</v>
      </c>
      <c r="B370" s="6" t="s">
        <v>1632</v>
      </c>
      <c r="C370" s="6" t="s">
        <v>2155</v>
      </c>
    </row>
    <row r="371" spans="1:3" ht="17.25" thickBot="1">
      <c r="A371" s="4" t="s">
        <v>2015</v>
      </c>
      <c r="B371" s="6" t="s">
        <v>1632</v>
      </c>
      <c r="C371" s="6" t="s">
        <v>2156</v>
      </c>
    </row>
    <row r="372" spans="1:3">
      <c r="A372" s="92" t="s">
        <v>2023</v>
      </c>
      <c r="B372" s="8" t="s">
        <v>66</v>
      </c>
      <c r="C372" s="91" t="s">
        <v>2158</v>
      </c>
    </row>
    <row r="373" spans="1:3" ht="17.25" thickBot="1">
      <c r="A373" s="98"/>
      <c r="B373" s="5" t="s">
        <v>2157</v>
      </c>
      <c r="C373" s="97"/>
    </row>
    <row r="374" spans="1:3" ht="17.25" thickBot="1">
      <c r="A374" s="4" t="s">
        <v>2021</v>
      </c>
      <c r="B374" s="6" t="s">
        <v>1632</v>
      </c>
      <c r="C374" s="5" t="s">
        <v>2022</v>
      </c>
    </row>
    <row r="375" spans="1:3" ht="17.25" thickBot="1">
      <c r="A375" s="4" t="s">
        <v>2017</v>
      </c>
      <c r="B375" s="6" t="s">
        <v>1632</v>
      </c>
      <c r="C375" s="6" t="s">
        <v>2159</v>
      </c>
    </row>
    <row r="376" spans="1:3" ht="17.25" thickBot="1">
      <c r="A376" s="4" t="s">
        <v>2019</v>
      </c>
      <c r="B376" s="5" t="s">
        <v>1625</v>
      </c>
      <c r="C376" s="6" t="s">
        <v>2160</v>
      </c>
    </row>
    <row r="377" spans="1:3" ht="17.25" thickBot="1">
      <c r="A377" s="4" t="s">
        <v>1922</v>
      </c>
      <c r="B377" s="5" t="s">
        <v>1566</v>
      </c>
      <c r="C377" s="5" t="s">
        <v>2161</v>
      </c>
    </row>
    <row r="378" spans="1:3" ht="17.25" thickBot="1">
      <c r="A378" s="4" t="s">
        <v>1924</v>
      </c>
      <c r="B378" s="5" t="s">
        <v>1603</v>
      </c>
      <c r="C378" s="5" t="s">
        <v>2162</v>
      </c>
    </row>
    <row r="379" spans="1:3">
      <c r="A379" s="92" t="s">
        <v>2025</v>
      </c>
      <c r="B379" s="91" t="s">
        <v>1603</v>
      </c>
      <c r="C379" s="8" t="s">
        <v>2026</v>
      </c>
    </row>
    <row r="380" spans="1:3" ht="39" thickBot="1">
      <c r="A380" s="98"/>
      <c r="B380" s="97"/>
      <c r="C380" s="6" t="s">
        <v>2027</v>
      </c>
    </row>
    <row r="381" spans="1:3" ht="17.25" thickBot="1">
      <c r="A381" s="4" t="s">
        <v>2163</v>
      </c>
      <c r="B381" s="5" t="s">
        <v>1603</v>
      </c>
      <c r="C381" s="6" t="s">
        <v>2164</v>
      </c>
    </row>
    <row r="382" spans="1:3" ht="17.25" thickBot="1">
      <c r="A382" s="4" t="s">
        <v>2165</v>
      </c>
      <c r="B382" s="6" t="s">
        <v>1632</v>
      </c>
      <c r="C382" s="6" t="s">
        <v>2166</v>
      </c>
    </row>
    <row r="383" spans="1:3" ht="17.25" thickBot="1">
      <c r="A383" s="4" t="s">
        <v>2167</v>
      </c>
      <c r="B383" s="6" t="s">
        <v>1632</v>
      </c>
      <c r="C383" s="6" t="s">
        <v>2168</v>
      </c>
    </row>
    <row r="384" spans="1:3" ht="17.25" thickBot="1">
      <c r="A384" s="4" t="s">
        <v>2169</v>
      </c>
      <c r="B384" s="6" t="s">
        <v>1632</v>
      </c>
      <c r="C384" s="5" t="s">
        <v>2170</v>
      </c>
    </row>
    <row r="385" spans="1:3">
      <c r="B385" s="114" t="s">
        <v>2171</v>
      </c>
      <c r="C385" s="114" t="s">
        <v>2172</v>
      </c>
    </row>
    <row r="386" spans="1:3">
      <c r="A386" s="115" t="s">
        <v>2178</v>
      </c>
      <c r="B386" s="115" t="s">
        <v>2179</v>
      </c>
    </row>
    <row r="387" spans="1:3" ht="17.25" thickBot="1">
      <c r="A387" s="126" t="s">
        <v>1874</v>
      </c>
    </row>
    <row r="388" spans="1:3" ht="17.25" thickBot="1">
      <c r="A388" s="102" t="s">
        <v>2180</v>
      </c>
      <c r="B388" s="103" t="s">
        <v>1635</v>
      </c>
      <c r="C388" s="103" t="s">
        <v>1593</v>
      </c>
    </row>
    <row r="389" spans="1:3" ht="17.25" thickBot="1">
      <c r="A389" s="104" t="s">
        <v>2181</v>
      </c>
      <c r="B389" s="5" t="s">
        <v>2182</v>
      </c>
      <c r="C389" s="5" t="s">
        <v>2183</v>
      </c>
    </row>
    <row r="390" spans="1:3" ht="17.25" thickBot="1">
      <c r="A390" s="104" t="s">
        <v>2184</v>
      </c>
      <c r="B390" s="5" t="s">
        <v>1559</v>
      </c>
      <c r="C390" s="5" t="s">
        <v>2185</v>
      </c>
    </row>
    <row r="391" spans="1:3" ht="17.25" thickBot="1">
      <c r="A391" s="104" t="s">
        <v>2186</v>
      </c>
      <c r="B391" s="5" t="s">
        <v>2187</v>
      </c>
      <c r="C391" s="5" t="s">
        <v>2188</v>
      </c>
    </row>
    <row r="392" spans="1:3" ht="26.25" thickBot="1">
      <c r="A392" s="104" t="s">
        <v>2190</v>
      </c>
      <c r="B392" s="5" t="s">
        <v>1632</v>
      </c>
      <c r="C392" s="6" t="s">
        <v>2191</v>
      </c>
    </row>
    <row r="393" spans="1:3" ht="17.25" thickBot="1">
      <c r="A393" s="104" t="s">
        <v>2192</v>
      </c>
      <c r="B393" s="5" t="s">
        <v>1603</v>
      </c>
      <c r="C393" s="5" t="s">
        <v>2193</v>
      </c>
    </row>
    <row r="394" spans="1:3" ht="17.25" thickBot="1">
      <c r="A394" s="104" t="s">
        <v>2194</v>
      </c>
      <c r="B394" s="5" t="s">
        <v>1603</v>
      </c>
      <c r="C394" s="5" t="s">
        <v>2195</v>
      </c>
    </row>
    <row r="395" spans="1:3" ht="17.25" thickBot="1">
      <c r="A395" s="104" t="s">
        <v>2196</v>
      </c>
      <c r="B395" s="5" t="s">
        <v>1624</v>
      </c>
      <c r="C395" s="5" t="s">
        <v>2197</v>
      </c>
    </row>
    <row r="396" spans="1:3" ht="17.25" thickBot="1">
      <c r="A396" s="104" t="s">
        <v>2198</v>
      </c>
      <c r="B396" s="5" t="s">
        <v>1625</v>
      </c>
      <c r="C396" s="5" t="s">
        <v>2160</v>
      </c>
    </row>
    <row r="397" spans="1:3" ht="17.25" thickBot="1">
      <c r="A397" s="104" t="s">
        <v>2199</v>
      </c>
      <c r="B397" s="5" t="s">
        <v>1566</v>
      </c>
      <c r="C397" s="5" t="s">
        <v>2200</v>
      </c>
    </row>
    <row r="398" spans="1:3">
      <c r="A398" s="126"/>
    </row>
    <row r="399" spans="1:3">
      <c r="A399" s="115" t="s">
        <v>2202</v>
      </c>
      <c r="B399" s="115" t="s">
        <v>2203</v>
      </c>
    </row>
    <row r="400" spans="1:3" ht="17.25" thickBot="1">
      <c r="A400" s="126" t="s">
        <v>1646</v>
      </c>
    </row>
    <row r="401" spans="1:3" ht="17.25" thickBot="1">
      <c r="A401" s="102" t="s">
        <v>1591</v>
      </c>
      <c r="B401" s="103" t="s">
        <v>1592</v>
      </c>
      <c r="C401" s="103" t="s">
        <v>1593</v>
      </c>
    </row>
    <row r="402" spans="1:3">
      <c r="A402" s="92" t="s">
        <v>2204</v>
      </c>
      <c r="B402" s="91"/>
      <c r="C402" s="8" t="s">
        <v>2205</v>
      </c>
    </row>
    <row r="403" spans="1:3" ht="25.5">
      <c r="A403" s="171"/>
      <c r="B403" s="170"/>
      <c r="C403" s="7" t="s">
        <v>2206</v>
      </c>
    </row>
    <row r="404" spans="1:3">
      <c r="A404" s="171"/>
      <c r="B404" s="170"/>
      <c r="C404" s="7" t="s">
        <v>2207</v>
      </c>
    </row>
    <row r="405" spans="1:3" ht="17.25" thickBot="1">
      <c r="A405" s="98"/>
      <c r="B405" s="97"/>
      <c r="C405" s="5" t="s">
        <v>2208</v>
      </c>
    </row>
    <row r="406" spans="1:3" ht="17.25" thickBot="1">
      <c r="A406" s="4" t="s">
        <v>2209</v>
      </c>
      <c r="B406" s="5"/>
      <c r="C406" s="6" t="s">
        <v>2210</v>
      </c>
    </row>
    <row r="407" spans="1:3" ht="17.25" thickBot="1">
      <c r="A407" s="4" t="s">
        <v>2211</v>
      </c>
      <c r="B407" s="5"/>
      <c r="C407" s="6" t="s">
        <v>2212</v>
      </c>
    </row>
    <row r="408" spans="1:3" ht="17.25" thickBot="1">
      <c r="A408" s="4" t="s">
        <v>2213</v>
      </c>
      <c r="B408" s="5"/>
      <c r="C408" s="6" t="s">
        <v>2214</v>
      </c>
    </row>
    <row r="409" spans="1:3" ht="17.25" thickBot="1">
      <c r="A409" s="4" t="s">
        <v>2215</v>
      </c>
      <c r="B409" s="5" t="s">
        <v>1603</v>
      </c>
      <c r="C409" s="6" t="s">
        <v>2216</v>
      </c>
    </row>
    <row r="410" spans="1:3" ht="17.25" thickBot="1">
      <c r="A410" s="4" t="s">
        <v>2217</v>
      </c>
      <c r="B410" s="5" t="s">
        <v>1603</v>
      </c>
      <c r="C410" s="5" t="s">
        <v>2218</v>
      </c>
    </row>
    <row r="411" spans="1:3">
      <c r="B411" s="114" t="s">
        <v>2219</v>
      </c>
      <c r="C411" s="114" t="s">
        <v>2220</v>
      </c>
    </row>
    <row r="412" spans="1:3">
      <c r="A412" s="115" t="s">
        <v>2221</v>
      </c>
      <c r="B412" s="115" t="s">
        <v>2222</v>
      </c>
    </row>
    <row r="413" spans="1:3" ht="17.25" thickBot="1">
      <c r="A413" s="126" t="s">
        <v>1646</v>
      </c>
    </row>
    <row r="414" spans="1:3" ht="17.25" thickBot="1">
      <c r="A414" s="102" t="s">
        <v>1591</v>
      </c>
      <c r="B414" s="103" t="s">
        <v>1592</v>
      </c>
      <c r="C414" s="103" t="s">
        <v>1593</v>
      </c>
    </row>
    <row r="415" spans="1:3" ht="17.25" thickBot="1">
      <c r="A415" s="4" t="s">
        <v>2223</v>
      </c>
      <c r="B415" s="5" t="s">
        <v>1604</v>
      </c>
      <c r="C415" s="6" t="s">
        <v>2224</v>
      </c>
    </row>
    <row r="416" spans="1:3" ht="27">
      <c r="A416" s="96" t="s">
        <v>2225</v>
      </c>
      <c r="B416" s="91" t="s">
        <v>1604</v>
      </c>
      <c r="C416" s="7" t="s">
        <v>2227</v>
      </c>
    </row>
    <row r="417" spans="1:3" ht="17.25" thickBot="1">
      <c r="A417" s="4" t="s">
        <v>2226</v>
      </c>
      <c r="B417" s="97"/>
      <c r="C417" s="5" t="s">
        <v>2228</v>
      </c>
    </row>
    <row r="418" spans="1:3" ht="25.5">
      <c r="A418" s="96" t="s">
        <v>2229</v>
      </c>
      <c r="B418" s="91" t="s">
        <v>1604</v>
      </c>
      <c r="C418" s="7" t="s">
        <v>2232</v>
      </c>
    </row>
    <row r="419" spans="1:3">
      <c r="A419" s="96" t="s">
        <v>2230</v>
      </c>
      <c r="B419" s="170"/>
      <c r="C419" s="8" t="s">
        <v>2233</v>
      </c>
    </row>
    <row r="420" spans="1:3" ht="17.25" thickBot="1">
      <c r="A420" s="4" t="s">
        <v>2231</v>
      </c>
      <c r="B420" s="97"/>
      <c r="C420" s="136"/>
    </row>
    <row r="421" spans="1:3" ht="27">
      <c r="A421" s="96" t="s">
        <v>2225</v>
      </c>
      <c r="B421" s="91" t="s">
        <v>1604</v>
      </c>
      <c r="C421" s="91" t="s">
        <v>2236</v>
      </c>
    </row>
    <row r="422" spans="1:3">
      <c r="A422" s="96" t="s">
        <v>2234</v>
      </c>
      <c r="B422" s="170"/>
      <c r="C422" s="170"/>
    </row>
    <row r="423" spans="1:3" ht="17.25" thickBot="1">
      <c r="A423" s="4" t="s">
        <v>2235</v>
      </c>
      <c r="B423" s="97"/>
      <c r="C423" s="97"/>
    </row>
    <row r="424" spans="1:3" ht="25.5">
      <c r="A424" s="96" t="s">
        <v>2229</v>
      </c>
      <c r="B424" s="91" t="s">
        <v>1604</v>
      </c>
      <c r="C424" s="7" t="s">
        <v>2232</v>
      </c>
    </row>
    <row r="425" spans="1:3" ht="27.75" thickBot="1">
      <c r="A425" s="4" t="s">
        <v>2237</v>
      </c>
      <c r="B425" s="97"/>
      <c r="C425" s="5" t="s">
        <v>2233</v>
      </c>
    </row>
    <row r="426" spans="1:3" ht="41.25" thickBot="1">
      <c r="A426" s="4" t="s">
        <v>2238</v>
      </c>
      <c r="B426" s="5" t="s">
        <v>1604</v>
      </c>
      <c r="C426" s="6" t="s">
        <v>2239</v>
      </c>
    </row>
    <row r="427" spans="1:3" ht="27">
      <c r="A427" s="96" t="s">
        <v>2240</v>
      </c>
      <c r="B427" s="91" t="s">
        <v>1604</v>
      </c>
      <c r="C427" s="7" t="s">
        <v>2232</v>
      </c>
    </row>
    <row r="428" spans="1:3">
      <c r="A428" s="96" t="s">
        <v>2241</v>
      </c>
      <c r="B428" s="170"/>
      <c r="C428" s="8" t="s">
        <v>2233</v>
      </c>
    </row>
    <row r="429" spans="1:3" ht="17.25" thickBot="1">
      <c r="A429" s="4" t="s">
        <v>2242</v>
      </c>
      <c r="B429" s="97"/>
      <c r="C429" s="136"/>
    </row>
    <row r="430" spans="1:3" ht="17.25" thickBot="1">
      <c r="A430" s="4" t="s">
        <v>2243</v>
      </c>
      <c r="B430" s="5" t="s">
        <v>0</v>
      </c>
      <c r="C430" s="6" t="s">
        <v>2244</v>
      </c>
    </row>
    <row r="431" spans="1:3" ht="17.25" thickBot="1">
      <c r="A431" s="4" t="s">
        <v>2245</v>
      </c>
      <c r="B431" s="5" t="s">
        <v>1566</v>
      </c>
      <c r="C431" s="6" t="s">
        <v>2246</v>
      </c>
    </row>
    <row r="432" spans="1:3" ht="17.25" thickBot="1">
      <c r="A432" s="4" t="s">
        <v>2247</v>
      </c>
      <c r="B432" s="5" t="s">
        <v>1566</v>
      </c>
      <c r="C432" s="6" t="s">
        <v>2248</v>
      </c>
    </row>
    <row r="433" spans="1:3" ht="17.25" thickBot="1">
      <c r="A433" s="4" t="s">
        <v>2249</v>
      </c>
      <c r="B433" s="5" t="s">
        <v>0</v>
      </c>
      <c r="C433" s="6" t="s">
        <v>2250</v>
      </c>
    </row>
    <row r="434" spans="1:3" ht="17.25" thickBot="1">
      <c r="A434" s="4" t="s">
        <v>2251</v>
      </c>
      <c r="B434" s="5" t="s">
        <v>1566</v>
      </c>
      <c r="C434" s="6" t="s">
        <v>2252</v>
      </c>
    </row>
    <row r="435" spans="1:3" ht="17.25" thickBot="1">
      <c r="A435" s="4" t="s">
        <v>2253</v>
      </c>
      <c r="B435" s="5" t="s">
        <v>1566</v>
      </c>
      <c r="C435" s="6" t="s">
        <v>2254</v>
      </c>
    </row>
    <row r="436" spans="1:3" ht="17.25" thickBot="1">
      <c r="A436" s="4" t="s">
        <v>2255</v>
      </c>
      <c r="B436" s="5" t="s">
        <v>0</v>
      </c>
      <c r="C436" s="6" t="s">
        <v>2256</v>
      </c>
    </row>
    <row r="437" spans="1:3" ht="17.25" thickBot="1">
      <c r="A437" s="4" t="s">
        <v>2257</v>
      </c>
      <c r="B437" s="5" t="s">
        <v>0</v>
      </c>
      <c r="C437" s="6" t="s">
        <v>2258</v>
      </c>
    </row>
    <row r="438" spans="1:3" ht="17.25" thickBot="1">
      <c r="A438" s="4" t="s">
        <v>2259</v>
      </c>
      <c r="B438" s="5" t="s">
        <v>1603</v>
      </c>
      <c r="C438" s="6" t="s">
        <v>2260</v>
      </c>
    </row>
    <row r="439" spans="1:3" ht="17.25" thickBot="1">
      <c r="A439" s="4" t="s">
        <v>2261</v>
      </c>
      <c r="B439" s="5" t="s">
        <v>0</v>
      </c>
      <c r="C439" s="6" t="s">
        <v>2262</v>
      </c>
    </row>
    <row r="440" spans="1:3" ht="17.25" thickBot="1">
      <c r="A440" s="4" t="s">
        <v>2263</v>
      </c>
      <c r="B440" s="5" t="s">
        <v>0</v>
      </c>
      <c r="C440" s="5" t="s">
        <v>2264</v>
      </c>
    </row>
    <row r="441" spans="1:3">
      <c r="B441" s="114" t="s">
        <v>2265</v>
      </c>
      <c r="C441" s="114" t="s">
        <v>2266</v>
      </c>
    </row>
    <row r="442" spans="1:3">
      <c r="A442" s="115" t="s">
        <v>2267</v>
      </c>
      <c r="B442" s="115" t="s">
        <v>2268</v>
      </c>
    </row>
    <row r="443" spans="1:3" ht="17.25" thickBot="1">
      <c r="A443" s="126" t="s">
        <v>1874</v>
      </c>
    </row>
    <row r="444" spans="1:3" ht="17.25" thickBot="1">
      <c r="A444" s="102" t="s">
        <v>1591</v>
      </c>
      <c r="B444" s="103" t="s">
        <v>1635</v>
      </c>
      <c r="C444" s="103" t="s">
        <v>1593</v>
      </c>
    </row>
    <row r="445" spans="1:3" ht="17.25" thickBot="1">
      <c r="A445" s="4" t="s">
        <v>2269</v>
      </c>
      <c r="B445" s="5" t="s">
        <v>1603</v>
      </c>
      <c r="C445" s="6" t="s">
        <v>2270</v>
      </c>
    </row>
    <row r="446" spans="1:3" ht="17.25" thickBot="1">
      <c r="A446" s="4" t="s">
        <v>2271</v>
      </c>
      <c r="B446" s="5" t="s">
        <v>1603</v>
      </c>
      <c r="C446" s="6" t="s">
        <v>2272</v>
      </c>
    </row>
    <row r="447" spans="1:3">
      <c r="A447" s="92" t="s">
        <v>2273</v>
      </c>
      <c r="B447" s="91" t="s">
        <v>1603</v>
      </c>
      <c r="C447" s="8" t="s">
        <v>2274</v>
      </c>
    </row>
    <row r="448" spans="1:3">
      <c r="A448" s="171"/>
      <c r="B448" s="170"/>
      <c r="C448" s="8" t="s">
        <v>2275</v>
      </c>
    </row>
    <row r="449" spans="1:3" ht="17.25" thickBot="1">
      <c r="A449" s="98"/>
      <c r="B449" s="97"/>
      <c r="C449" s="5" t="s">
        <v>2276</v>
      </c>
    </row>
    <row r="450" spans="1:3">
      <c r="A450" s="92" t="s">
        <v>2277</v>
      </c>
      <c r="B450" s="91" t="s">
        <v>1603</v>
      </c>
      <c r="C450" s="7" t="s">
        <v>2278</v>
      </c>
    </row>
    <row r="451" spans="1:3" ht="17.25" thickBot="1">
      <c r="A451" s="98"/>
      <c r="B451" s="97"/>
      <c r="C451" s="5" t="s">
        <v>2279</v>
      </c>
    </row>
    <row r="452" spans="1:3" ht="17.25" thickBot="1">
      <c r="A452" s="4" t="s">
        <v>2280</v>
      </c>
      <c r="B452" s="5" t="s">
        <v>1603</v>
      </c>
      <c r="C452" s="5" t="s">
        <v>2281</v>
      </c>
    </row>
    <row r="453" spans="1:3" ht="17.25" thickBot="1">
      <c r="A453" s="4" t="s">
        <v>2282</v>
      </c>
      <c r="B453" s="5" t="s">
        <v>1603</v>
      </c>
      <c r="C453" s="5" t="s">
        <v>2283</v>
      </c>
    </row>
    <row r="454" spans="1:3" ht="17.25" thickBot="1">
      <c r="A454" s="4" t="s">
        <v>2284</v>
      </c>
      <c r="B454" s="5" t="s">
        <v>1603</v>
      </c>
      <c r="C454" s="5" t="s">
        <v>2285</v>
      </c>
    </row>
    <row r="455" spans="1:3" ht="17.25" thickBot="1">
      <c r="A455" s="4" t="s">
        <v>2286</v>
      </c>
      <c r="B455" s="5" t="s">
        <v>1622</v>
      </c>
      <c r="C455" s="5" t="s">
        <v>2287</v>
      </c>
    </row>
    <row r="456" spans="1:3" ht="17.25" thickBot="1">
      <c r="A456" s="4" t="s">
        <v>1635</v>
      </c>
      <c r="B456" s="5" t="s">
        <v>1603</v>
      </c>
      <c r="C456" s="5" t="s">
        <v>2288</v>
      </c>
    </row>
    <row r="457" spans="1:3" ht="17.25" thickBot="1">
      <c r="A457" s="4" t="s">
        <v>2289</v>
      </c>
      <c r="B457" s="5" t="s">
        <v>1603</v>
      </c>
      <c r="C457" s="6" t="s">
        <v>2290</v>
      </c>
    </row>
    <row r="458" spans="1:3">
      <c r="A458" s="92" t="s">
        <v>2291</v>
      </c>
      <c r="B458" s="91" t="s">
        <v>1603</v>
      </c>
      <c r="C458" s="7" t="s">
        <v>2292</v>
      </c>
    </row>
    <row r="459" spans="1:3" ht="17.25" thickBot="1">
      <c r="A459" s="98"/>
      <c r="B459" s="97"/>
      <c r="C459" s="5" t="s">
        <v>2293</v>
      </c>
    </row>
    <row r="460" spans="1:3">
      <c r="B460" s="114" t="s">
        <v>2294</v>
      </c>
      <c r="C460" s="114" t="s">
        <v>2295</v>
      </c>
    </row>
    <row r="461" spans="1:3" ht="17.25" thickBot="1">
      <c r="A461" s="126" t="s">
        <v>1646</v>
      </c>
    </row>
    <row r="462" spans="1:3" ht="17.25" thickBot="1">
      <c r="A462" s="102" t="s">
        <v>1591</v>
      </c>
      <c r="B462" s="103" t="s">
        <v>1592</v>
      </c>
      <c r="C462" s="103" t="s">
        <v>1593</v>
      </c>
    </row>
    <row r="463" spans="1:3" ht="17.25" thickBot="1">
      <c r="A463" s="4" t="s">
        <v>2296</v>
      </c>
      <c r="B463" s="5" t="s">
        <v>1599</v>
      </c>
      <c r="C463" s="6" t="s">
        <v>2297</v>
      </c>
    </row>
    <row r="464" spans="1:3" ht="17.25" thickBot="1">
      <c r="A464" s="4" t="s">
        <v>1848</v>
      </c>
      <c r="B464" s="5" t="s">
        <v>0</v>
      </c>
      <c r="C464" s="5" t="s">
        <v>2298</v>
      </c>
    </row>
    <row r="465" spans="1:3" ht="17.25" thickBot="1">
      <c r="A465" s="4" t="s">
        <v>2299</v>
      </c>
      <c r="B465" s="5" t="s">
        <v>2300</v>
      </c>
      <c r="C465" s="5" t="s">
        <v>2301</v>
      </c>
    </row>
    <row r="466" spans="1:3" ht="17.25" thickBot="1">
      <c r="A466" s="4" t="s">
        <v>2302</v>
      </c>
      <c r="B466" s="5" t="s">
        <v>1617</v>
      </c>
      <c r="C466" s="5" t="s">
        <v>2303</v>
      </c>
    </row>
    <row r="467" spans="1:3" ht="17.25" thickBot="1">
      <c r="A467" s="4" t="s">
        <v>2304</v>
      </c>
      <c r="B467" s="5" t="s">
        <v>626</v>
      </c>
      <c r="C467" s="5" t="s">
        <v>2305</v>
      </c>
    </row>
    <row r="468" spans="1:3" ht="17.25" thickBot="1">
      <c r="A468" s="4" t="s">
        <v>2306</v>
      </c>
      <c r="B468" s="5" t="s">
        <v>626</v>
      </c>
      <c r="C468" s="6" t="s">
        <v>2307</v>
      </c>
    </row>
    <row r="469" spans="1:3">
      <c r="B469" s="114" t="s">
        <v>2308</v>
      </c>
      <c r="C469" s="114" t="s">
        <v>2309</v>
      </c>
    </row>
    <row r="470" spans="1:3">
      <c r="A470" s="115" t="s">
        <v>2310</v>
      </c>
      <c r="B470" s="115" t="s">
        <v>2311</v>
      </c>
    </row>
    <row r="471" spans="1:3" ht="17.25" thickBot="1">
      <c r="A471" s="126" t="s">
        <v>1646</v>
      </c>
    </row>
    <row r="472" spans="1:3" ht="17.25" thickBot="1">
      <c r="A472" s="102" t="s">
        <v>1591</v>
      </c>
      <c r="B472" s="103" t="s">
        <v>1592</v>
      </c>
      <c r="C472" s="103" t="s">
        <v>1593</v>
      </c>
    </row>
    <row r="473" spans="1:3" ht="17.25" thickBot="1">
      <c r="A473" s="4" t="s">
        <v>2312</v>
      </c>
      <c r="B473" s="5" t="s">
        <v>1557</v>
      </c>
      <c r="C473" s="6" t="s">
        <v>2313</v>
      </c>
    </row>
    <row r="474" spans="1:3" ht="17.25" thickBot="1">
      <c r="A474" s="4" t="s">
        <v>2314</v>
      </c>
      <c r="B474" s="5" t="s">
        <v>1557</v>
      </c>
      <c r="C474" s="6" t="s">
        <v>1948</v>
      </c>
    </row>
    <row r="475" spans="1:3" ht="17.25" thickBot="1">
      <c r="A475" s="4" t="s">
        <v>2315</v>
      </c>
      <c r="B475" s="5" t="s">
        <v>1628</v>
      </c>
      <c r="C475" s="6" t="s">
        <v>2316</v>
      </c>
    </row>
    <row r="476" spans="1:3" ht="26.25" thickBot="1">
      <c r="A476" s="4" t="s">
        <v>1629</v>
      </c>
      <c r="B476" s="5" t="s">
        <v>2317</v>
      </c>
      <c r="C476" s="6" t="s">
        <v>2318</v>
      </c>
    </row>
    <row r="477" spans="1:3" ht="17.25" thickBot="1">
      <c r="A477" s="4" t="s">
        <v>2319</v>
      </c>
      <c r="B477" s="5" t="s">
        <v>1566</v>
      </c>
      <c r="C477" s="6" t="s">
        <v>2320</v>
      </c>
    </row>
    <row r="478" spans="1:3">
      <c r="A478" s="92" t="s">
        <v>1631</v>
      </c>
      <c r="B478" s="91" t="s">
        <v>1632</v>
      </c>
      <c r="C478" s="7" t="s">
        <v>2321</v>
      </c>
    </row>
    <row r="479" spans="1:3" ht="17.25" thickBot="1">
      <c r="A479" s="98"/>
      <c r="B479" s="97"/>
      <c r="C479" s="6" t="s">
        <v>2322</v>
      </c>
    </row>
    <row r="480" spans="1:3" ht="17.25" thickBot="1">
      <c r="A480" s="4" t="s">
        <v>2323</v>
      </c>
      <c r="B480" s="5" t="s">
        <v>0</v>
      </c>
      <c r="C480" s="6" t="s">
        <v>2324</v>
      </c>
    </row>
    <row r="481" spans="1:3" ht="17.25" thickBot="1">
      <c r="A481" s="4" t="s">
        <v>2325</v>
      </c>
      <c r="B481" s="5" t="s">
        <v>0</v>
      </c>
      <c r="C481" s="5" t="s">
        <v>2326</v>
      </c>
    </row>
    <row r="482" spans="1:3" ht="17.25" thickBot="1">
      <c r="A482" s="4" t="s">
        <v>2327</v>
      </c>
      <c r="B482" s="5" t="s">
        <v>1603</v>
      </c>
      <c r="C482" s="6" t="s">
        <v>2328</v>
      </c>
    </row>
    <row r="483" spans="1:3">
      <c r="A483" s="92" t="s">
        <v>2329</v>
      </c>
      <c r="B483" s="91" t="s">
        <v>1608</v>
      </c>
      <c r="C483" s="7" t="s">
        <v>2330</v>
      </c>
    </row>
    <row r="484" spans="1:3" ht="17.25" thickBot="1">
      <c r="A484" s="98"/>
      <c r="B484" s="97"/>
      <c r="C484" s="5" t="s">
        <v>2331</v>
      </c>
    </row>
    <row r="485" spans="1:3" ht="17.25" thickBot="1">
      <c r="A485" s="4" t="s">
        <v>2332</v>
      </c>
      <c r="B485" s="5" t="s">
        <v>1620</v>
      </c>
      <c r="C485" s="6" t="s">
        <v>2333</v>
      </c>
    </row>
    <row r="486" spans="1:3" ht="17.25" thickBot="1">
      <c r="A486" s="4" t="s">
        <v>2334</v>
      </c>
      <c r="B486" s="6" t="s">
        <v>1561</v>
      </c>
      <c r="C486" s="6" t="s">
        <v>2335</v>
      </c>
    </row>
    <row r="487" spans="1:3">
      <c r="B487" s="114" t="s">
        <v>2336</v>
      </c>
      <c r="C487" s="114" t="s">
        <v>2309</v>
      </c>
    </row>
    <row r="488" spans="1:3">
      <c r="A488" s="115" t="s">
        <v>2337</v>
      </c>
      <c r="B488" s="115" t="s">
        <v>2338</v>
      </c>
    </row>
    <row r="489" spans="1:3" ht="17.25" thickBot="1">
      <c r="A489" s="126" t="s">
        <v>1874</v>
      </c>
    </row>
    <row r="490" spans="1:3" ht="17.25" thickBot="1">
      <c r="A490" s="102" t="s">
        <v>1591</v>
      </c>
      <c r="B490" s="103" t="s">
        <v>1592</v>
      </c>
      <c r="C490" s="103" t="s">
        <v>1593</v>
      </c>
    </row>
    <row r="491" spans="1:3" ht="17.25" thickBot="1">
      <c r="A491" s="4" t="s">
        <v>2284</v>
      </c>
      <c r="B491" s="5" t="s">
        <v>0</v>
      </c>
      <c r="C491" s="5" t="s">
        <v>2339</v>
      </c>
    </row>
    <row r="492" spans="1:3" ht="17.25" thickBot="1">
      <c r="A492" s="4" t="s">
        <v>1598</v>
      </c>
      <c r="B492" s="5" t="s">
        <v>1603</v>
      </c>
      <c r="C492" s="5" t="s">
        <v>2340</v>
      </c>
    </row>
    <row r="493" spans="1:3" ht="17.25" thickBot="1">
      <c r="A493" s="4" t="s">
        <v>2341</v>
      </c>
      <c r="B493" s="5" t="s">
        <v>1603</v>
      </c>
      <c r="C493" s="5" t="s">
        <v>2342</v>
      </c>
    </row>
    <row r="494" spans="1:3" ht="17.25" thickBot="1">
      <c r="A494" s="4" t="s">
        <v>2343</v>
      </c>
      <c r="B494" s="5" t="s">
        <v>1603</v>
      </c>
      <c r="C494" s="5" t="s">
        <v>2344</v>
      </c>
    </row>
    <row r="495" spans="1:3">
      <c r="B495" s="114" t="s">
        <v>2345</v>
      </c>
      <c r="C495" s="114" t="s">
        <v>2346</v>
      </c>
    </row>
    <row r="496" spans="1:3">
      <c r="A496" s="115" t="s">
        <v>2347</v>
      </c>
      <c r="B496" s="115" t="s">
        <v>2348</v>
      </c>
    </row>
    <row r="497" spans="1:3" ht="17.25" thickBot="1">
      <c r="A497" s="126" t="s">
        <v>1874</v>
      </c>
    </row>
    <row r="498" spans="1:3" ht="17.25" thickBot="1">
      <c r="A498" s="102" t="s">
        <v>1591</v>
      </c>
      <c r="B498" s="103" t="s">
        <v>1635</v>
      </c>
      <c r="C498" s="103" t="s">
        <v>1593</v>
      </c>
    </row>
    <row r="499" spans="1:3" ht="25.5">
      <c r="A499" s="92" t="s">
        <v>1549</v>
      </c>
      <c r="B499" s="8" t="s">
        <v>0</v>
      </c>
      <c r="C499" s="91" t="s">
        <v>1551</v>
      </c>
    </row>
    <row r="500" spans="1:3" ht="17.25" thickBot="1">
      <c r="A500" s="98"/>
      <c r="B500" s="5" t="s">
        <v>2349</v>
      </c>
      <c r="C500" s="97"/>
    </row>
    <row r="501" spans="1:3" ht="25.5">
      <c r="A501" s="92" t="s">
        <v>1552</v>
      </c>
      <c r="B501" s="8" t="s">
        <v>0</v>
      </c>
      <c r="C501" s="91" t="s">
        <v>1553</v>
      </c>
    </row>
    <row r="502" spans="1:3" ht="17.25" thickBot="1">
      <c r="A502" s="98"/>
      <c r="B502" s="5" t="s">
        <v>2349</v>
      </c>
      <c r="C502" s="97"/>
    </row>
    <row r="503" spans="1:3">
      <c r="A503" s="92" t="s">
        <v>1554</v>
      </c>
      <c r="B503" s="8" t="s">
        <v>0</v>
      </c>
      <c r="C503" s="91" t="s">
        <v>1555</v>
      </c>
    </row>
    <row r="504" spans="1:3" ht="17.25" thickBot="1">
      <c r="A504" s="98"/>
      <c r="B504" s="5" t="s">
        <v>2349</v>
      </c>
      <c r="C504" s="97"/>
    </row>
    <row r="505" spans="1:3" ht="25.5">
      <c r="A505" s="92" t="s">
        <v>1556</v>
      </c>
      <c r="B505" s="8" t="s">
        <v>1557</v>
      </c>
      <c r="C505" s="91" t="s">
        <v>1558</v>
      </c>
    </row>
    <row r="506" spans="1:3" ht="17.25" thickBot="1">
      <c r="A506" s="98"/>
      <c r="B506" s="5" t="s">
        <v>2349</v>
      </c>
      <c r="C506" s="97"/>
    </row>
    <row r="507" spans="1:3">
      <c r="B507" s="114" t="s">
        <v>2350</v>
      </c>
      <c r="C507" s="114" t="s">
        <v>2351</v>
      </c>
    </row>
    <row r="508" spans="1:3" ht="17.25" thickBot="1">
      <c r="A508" s="126" t="s">
        <v>1646</v>
      </c>
    </row>
    <row r="509" spans="1:3" ht="17.25" thickBot="1">
      <c r="A509" s="102" t="s">
        <v>1591</v>
      </c>
      <c r="B509" s="103" t="s">
        <v>1592</v>
      </c>
      <c r="C509" s="103" t="s">
        <v>1593</v>
      </c>
    </row>
    <row r="510" spans="1:3" ht="17.25" thickBot="1">
      <c r="A510" s="4" t="s">
        <v>1560</v>
      </c>
      <c r="B510" s="6" t="s">
        <v>1561</v>
      </c>
      <c r="C510" s="6" t="s">
        <v>1562</v>
      </c>
    </row>
    <row r="511" spans="1:3" ht="17.25" thickBot="1">
      <c r="A511" s="4" t="s">
        <v>1563</v>
      </c>
      <c r="B511" s="6" t="s">
        <v>1561</v>
      </c>
      <c r="C511" s="6" t="s">
        <v>1564</v>
      </c>
    </row>
    <row r="512" spans="1:3" ht="17.25" thickBot="1">
      <c r="A512" s="4" t="s">
        <v>1565</v>
      </c>
      <c r="B512" s="5" t="s">
        <v>1566</v>
      </c>
      <c r="C512" s="6" t="s">
        <v>1567</v>
      </c>
    </row>
    <row r="513" spans="1:3" ht="17.25" thickBot="1">
      <c r="A513" s="4" t="s">
        <v>1568</v>
      </c>
      <c r="B513" s="5" t="s">
        <v>1566</v>
      </c>
      <c r="C513" s="5" t="s">
        <v>1569</v>
      </c>
    </row>
    <row r="514" spans="1:3" ht="17.25" thickBot="1">
      <c r="A514" s="4" t="s">
        <v>2352</v>
      </c>
      <c r="B514" s="5" t="s">
        <v>1603</v>
      </c>
      <c r="C514" s="5" t="s">
        <v>2353</v>
      </c>
    </row>
    <row r="515" spans="1:3" ht="17.25" thickBot="1">
      <c r="A515" s="4" t="s">
        <v>1570</v>
      </c>
      <c r="B515" s="6" t="s">
        <v>1561</v>
      </c>
      <c r="C515" s="6" t="s">
        <v>1571</v>
      </c>
    </row>
    <row r="516" spans="1:3" ht="17.25" thickBot="1">
      <c r="A516" s="4" t="s">
        <v>1572</v>
      </c>
      <c r="B516" s="5" t="s">
        <v>0</v>
      </c>
      <c r="C516" s="6" t="s">
        <v>1573</v>
      </c>
    </row>
    <row r="517" spans="1:3" ht="17.25" thickBot="1">
      <c r="A517" s="4" t="s">
        <v>1574</v>
      </c>
      <c r="B517" s="6" t="s">
        <v>1561</v>
      </c>
      <c r="C517" s="6" t="s">
        <v>1575</v>
      </c>
    </row>
    <row r="518" spans="1:3" ht="17.25" thickBot="1">
      <c r="A518" s="4" t="s">
        <v>1576</v>
      </c>
      <c r="B518" s="6" t="s">
        <v>1561</v>
      </c>
      <c r="C518" s="6" t="s">
        <v>1577</v>
      </c>
    </row>
    <row r="519" spans="1:3" ht="17.25" thickBot="1">
      <c r="A519" s="4" t="s">
        <v>1578</v>
      </c>
      <c r="B519" s="5" t="s">
        <v>0</v>
      </c>
      <c r="C519" s="6" t="s">
        <v>1579</v>
      </c>
    </row>
    <row r="520" spans="1:3" ht="17.25" thickBot="1">
      <c r="A520" s="4" t="s">
        <v>1580</v>
      </c>
      <c r="B520" s="5" t="s">
        <v>1566</v>
      </c>
      <c r="C520" s="5" t="s">
        <v>1581</v>
      </c>
    </row>
    <row r="521" spans="1:3" ht="26.25" thickBot="1">
      <c r="A521" s="4" t="s">
        <v>1582</v>
      </c>
      <c r="B521" s="5" t="s">
        <v>1566</v>
      </c>
      <c r="C521" s="6" t="s">
        <v>1583</v>
      </c>
    </row>
    <row r="522" spans="1:3">
      <c r="A522" s="92" t="s">
        <v>1584</v>
      </c>
      <c r="B522" s="91" t="s">
        <v>1561</v>
      </c>
      <c r="C522" s="8" t="s">
        <v>1585</v>
      </c>
    </row>
    <row r="523" spans="1:3" ht="17.25" thickBot="1">
      <c r="A523" s="98"/>
      <c r="B523" s="97"/>
      <c r="C523" s="5" t="s">
        <v>1586</v>
      </c>
    </row>
    <row r="524" spans="1:3" ht="17.25" thickBot="1">
      <c r="A524" s="4" t="s">
        <v>1587</v>
      </c>
      <c r="B524" s="6" t="s">
        <v>1561</v>
      </c>
      <c r="C524" s="6" t="s">
        <v>1588</v>
      </c>
    </row>
    <row r="525" spans="1:3" ht="17.25" thickBot="1">
      <c r="A525" s="4" t="s">
        <v>1589</v>
      </c>
      <c r="B525" s="6" t="s">
        <v>1561</v>
      </c>
      <c r="C525" s="6" t="s">
        <v>1590</v>
      </c>
    </row>
    <row r="526" spans="1:3" ht="17.25" thickBot="1">
      <c r="A526" s="99" t="s">
        <v>1591</v>
      </c>
      <c r="B526" s="100" t="s">
        <v>1592</v>
      </c>
      <c r="C526" s="100" t="s">
        <v>1593</v>
      </c>
    </row>
    <row r="527" spans="1:3" ht="17.25" thickBot="1">
      <c r="A527" s="4" t="s">
        <v>1594</v>
      </c>
      <c r="B527" s="5" t="s">
        <v>1566</v>
      </c>
      <c r="C527" s="6" t="s">
        <v>1595</v>
      </c>
    </row>
    <row r="528" spans="1:3" ht="27.75" thickBot="1">
      <c r="A528" s="4" t="s">
        <v>1596</v>
      </c>
      <c r="B528" s="5" t="s">
        <v>1566</v>
      </c>
      <c r="C528" s="6" t="s">
        <v>1597</v>
      </c>
    </row>
    <row r="529" spans="1:3">
      <c r="B529" s="114" t="s">
        <v>2354</v>
      </c>
      <c r="C529" s="114" t="s">
        <v>2355</v>
      </c>
    </row>
    <row r="530" spans="1:3">
      <c r="A530" s="115" t="s">
        <v>2356</v>
      </c>
      <c r="B530" s="115" t="s">
        <v>2357</v>
      </c>
    </row>
    <row r="531" spans="1:3" ht="17.25" thickBot="1">
      <c r="A531" s="126" t="s">
        <v>1646</v>
      </c>
    </row>
    <row r="532" spans="1:3" ht="17.25" thickBot="1">
      <c r="A532" s="102" t="s">
        <v>1591</v>
      </c>
      <c r="B532" s="103" t="s">
        <v>1592</v>
      </c>
      <c r="C532" s="103" t="s">
        <v>1593</v>
      </c>
    </row>
    <row r="533" spans="1:3" ht="17.25" thickBot="1">
      <c r="A533" s="4" t="s">
        <v>2358</v>
      </c>
      <c r="B533" s="5"/>
      <c r="C533" s="6" t="s">
        <v>2359</v>
      </c>
    </row>
    <row r="534" spans="1:3" ht="39" thickBot="1">
      <c r="A534" s="4" t="s">
        <v>2360</v>
      </c>
      <c r="B534" s="5"/>
      <c r="C534" s="6" t="s">
        <v>2361</v>
      </c>
    </row>
    <row r="535" spans="1:3">
      <c r="A535" s="92" t="s">
        <v>2362</v>
      </c>
      <c r="B535" s="91"/>
      <c r="C535" s="7" t="s">
        <v>2363</v>
      </c>
    </row>
    <row r="536" spans="1:3" ht="17.25" thickBot="1">
      <c r="A536" s="98"/>
      <c r="B536" s="97"/>
      <c r="C536" s="6" t="s">
        <v>2364</v>
      </c>
    </row>
    <row r="537" spans="1:3" ht="17.25" thickBot="1">
      <c r="A537" s="4" t="s">
        <v>1634</v>
      </c>
      <c r="B537" s="5" t="s">
        <v>1603</v>
      </c>
      <c r="C537" s="6" t="s">
        <v>2365</v>
      </c>
    </row>
    <row r="538" spans="1:3" ht="17.25" thickBot="1">
      <c r="A538" s="4" t="s">
        <v>2366</v>
      </c>
      <c r="B538" s="5" t="s">
        <v>1628</v>
      </c>
      <c r="C538" s="6" t="s">
        <v>2367</v>
      </c>
    </row>
    <row r="539" spans="1:3">
      <c r="B539" s="114" t="s">
        <v>2368</v>
      </c>
      <c r="C539" s="114" t="s">
        <v>2369</v>
      </c>
    </row>
    <row r="540" spans="1:3">
      <c r="A540" s="115" t="s">
        <v>2370</v>
      </c>
      <c r="B540" s="115" t="s">
        <v>2371</v>
      </c>
    </row>
    <row r="541" spans="1:3" ht="17.25" thickBot="1">
      <c r="A541" s="139" t="s">
        <v>1646</v>
      </c>
    </row>
    <row r="542" spans="1:3" ht="17.25" thickBot="1">
      <c r="A542" s="102" t="s">
        <v>1591</v>
      </c>
      <c r="B542" s="103" t="s">
        <v>1592</v>
      </c>
      <c r="C542" s="103" t="s">
        <v>1593</v>
      </c>
    </row>
    <row r="543" spans="1:3" ht="17.25" thickBot="1">
      <c r="A543" s="4" t="s">
        <v>2372</v>
      </c>
      <c r="B543" s="5" t="s">
        <v>1601</v>
      </c>
      <c r="C543" s="6" t="s">
        <v>2373</v>
      </c>
    </row>
    <row r="544" spans="1:3" ht="26.25" thickBot="1">
      <c r="A544" s="4" t="s">
        <v>2374</v>
      </c>
      <c r="B544" s="5" t="s">
        <v>1603</v>
      </c>
      <c r="C544" s="6" t="s">
        <v>2375</v>
      </c>
    </row>
    <row r="545" spans="1:3" ht="17.25" thickBot="1">
      <c r="A545" s="4" t="s">
        <v>2376</v>
      </c>
      <c r="B545" s="6" t="s">
        <v>1632</v>
      </c>
      <c r="C545" s="5" t="s">
        <v>2377</v>
      </c>
    </row>
    <row r="546" spans="1:3" ht="26.25" thickBot="1">
      <c r="A546" s="4" t="s">
        <v>2378</v>
      </c>
      <c r="B546" s="5" t="s">
        <v>1601</v>
      </c>
      <c r="C546" s="6" t="s">
        <v>2379</v>
      </c>
    </row>
    <row r="547" spans="1:3" ht="26.25" thickBot="1">
      <c r="A547" s="4" t="s">
        <v>2380</v>
      </c>
      <c r="B547" s="5" t="s">
        <v>1601</v>
      </c>
      <c r="C547" s="6" t="s">
        <v>2381</v>
      </c>
    </row>
    <row r="548" spans="1:3" ht="17.25" thickBot="1">
      <c r="A548" s="4" t="s">
        <v>2382</v>
      </c>
      <c r="B548" s="6" t="s">
        <v>1632</v>
      </c>
      <c r="C548" s="6" t="s">
        <v>2383</v>
      </c>
    </row>
    <row r="549" spans="1:3" ht="17.25" thickBot="1">
      <c r="A549" s="4" t="s">
        <v>2384</v>
      </c>
      <c r="B549" s="5" t="s">
        <v>1601</v>
      </c>
      <c r="C549" s="6" t="s">
        <v>2385</v>
      </c>
    </row>
    <row r="550" spans="1:3" ht="26.25" thickBot="1">
      <c r="A550" s="4" t="s">
        <v>2386</v>
      </c>
      <c r="B550" s="5" t="s">
        <v>1604</v>
      </c>
      <c r="C550" s="6" t="s">
        <v>2387</v>
      </c>
    </row>
    <row r="551" spans="1:3" ht="17.25" thickBot="1">
      <c r="A551" s="4" t="s">
        <v>2388</v>
      </c>
      <c r="B551" s="5" t="s">
        <v>1603</v>
      </c>
      <c r="C551" s="5" t="s">
        <v>2389</v>
      </c>
    </row>
    <row r="552" spans="1:3">
      <c r="A552" s="92" t="s">
        <v>2390</v>
      </c>
      <c r="B552" s="91" t="s">
        <v>1566</v>
      </c>
      <c r="C552" s="8" t="s">
        <v>2391</v>
      </c>
    </row>
    <row r="553" spans="1:3" ht="17.25" thickBot="1">
      <c r="A553" s="98"/>
      <c r="B553" s="97"/>
      <c r="C553" s="6" t="s">
        <v>2392</v>
      </c>
    </row>
    <row r="554" spans="1:3" ht="25.5">
      <c r="A554" s="92" t="s">
        <v>2393</v>
      </c>
      <c r="B554" s="7" t="s">
        <v>2116</v>
      </c>
      <c r="C554" s="91" t="s">
        <v>2395</v>
      </c>
    </row>
    <row r="555" spans="1:3" ht="17.25" thickBot="1">
      <c r="A555" s="98"/>
      <c r="B555" s="5" t="s">
        <v>2394</v>
      </c>
      <c r="C555" s="97"/>
    </row>
    <row r="556" spans="1:3" ht="17.25" thickBot="1">
      <c r="A556" s="4" t="s">
        <v>1903</v>
      </c>
      <c r="B556" s="5" t="s">
        <v>1603</v>
      </c>
      <c r="C556" s="6" t="s">
        <v>2396</v>
      </c>
    </row>
    <row r="557" spans="1:3" ht="17.25" thickBot="1">
      <c r="A557" s="4" t="s">
        <v>2397</v>
      </c>
      <c r="B557" s="5" t="s">
        <v>1566</v>
      </c>
      <c r="C557" s="6" t="s">
        <v>2398</v>
      </c>
    </row>
    <row r="558" spans="1:3" ht="17.25" thickBot="1">
      <c r="A558" s="4" t="s">
        <v>2399</v>
      </c>
      <c r="B558" s="5" t="s">
        <v>0</v>
      </c>
      <c r="C558" s="6" t="s">
        <v>2400</v>
      </c>
    </row>
    <row r="559" spans="1:3">
      <c r="A559" s="92" t="s">
        <v>2401</v>
      </c>
      <c r="B559" s="91" t="s">
        <v>1601</v>
      </c>
      <c r="C559" s="7" t="s">
        <v>2402</v>
      </c>
    </row>
    <row r="560" spans="1:3" ht="17.25" thickBot="1">
      <c r="A560" s="98"/>
      <c r="B560" s="97"/>
      <c r="C560" s="5" t="s">
        <v>2403</v>
      </c>
    </row>
    <row r="561" spans="1:3" ht="17.25" thickBot="1">
      <c r="A561" s="4" t="s">
        <v>2404</v>
      </c>
      <c r="B561" s="5" t="s">
        <v>1601</v>
      </c>
      <c r="C561" s="6" t="s">
        <v>2405</v>
      </c>
    </row>
    <row r="562" spans="1:3" ht="17.25" thickBot="1">
      <c r="A562" s="4" t="s">
        <v>1912</v>
      </c>
      <c r="B562" s="5" t="s">
        <v>1603</v>
      </c>
      <c r="C562" s="6" t="s">
        <v>2406</v>
      </c>
    </row>
    <row r="563" spans="1:3">
      <c r="A563" s="92" t="s">
        <v>2407</v>
      </c>
      <c r="B563" s="91" t="s">
        <v>1632</v>
      </c>
      <c r="C563" s="7" t="s">
        <v>2408</v>
      </c>
    </row>
    <row r="564" spans="1:3">
      <c r="A564" s="171"/>
      <c r="B564" s="170"/>
      <c r="C564" s="8" t="s">
        <v>2409</v>
      </c>
    </row>
    <row r="565" spans="1:3" ht="17.25" thickBot="1">
      <c r="A565" s="98"/>
      <c r="B565" s="97"/>
      <c r="C565" s="5" t="s">
        <v>2410</v>
      </c>
    </row>
    <row r="566" spans="1:3" ht="17.25" thickBot="1">
      <c r="A566" s="4" t="s">
        <v>1915</v>
      </c>
      <c r="B566" s="5" t="s">
        <v>1603</v>
      </c>
      <c r="C566" s="6" t="s">
        <v>2411</v>
      </c>
    </row>
    <row r="567" spans="1:3" ht="25.5">
      <c r="A567" s="92" t="s">
        <v>2412</v>
      </c>
      <c r="B567" s="7" t="s">
        <v>2116</v>
      </c>
      <c r="C567" s="91" t="s">
        <v>2413</v>
      </c>
    </row>
    <row r="568" spans="1:3" ht="17.25" thickBot="1">
      <c r="A568" s="98"/>
      <c r="B568" s="5" t="s">
        <v>2394</v>
      </c>
      <c r="C568" s="97"/>
    </row>
    <row r="569" spans="1:3" ht="17.25" thickBot="1">
      <c r="A569" s="4" t="s">
        <v>2414</v>
      </c>
      <c r="B569" s="5" t="s">
        <v>1603</v>
      </c>
      <c r="C569" s="5" t="s">
        <v>2415</v>
      </c>
    </row>
    <row r="570" spans="1:3" ht="26.25" thickBot="1">
      <c r="A570" s="4" t="s">
        <v>2416</v>
      </c>
      <c r="B570" s="5" t="s">
        <v>2317</v>
      </c>
      <c r="C570" s="6" t="s">
        <v>2417</v>
      </c>
    </row>
    <row r="571" spans="1:3" ht="17.25" thickBot="1">
      <c r="A571" s="4" t="s">
        <v>2418</v>
      </c>
      <c r="B571" s="5" t="s">
        <v>2317</v>
      </c>
      <c r="C571" s="6" t="s">
        <v>2419</v>
      </c>
    </row>
    <row r="572" spans="1:3" ht="26.25" thickBot="1">
      <c r="A572" s="4" t="s">
        <v>2420</v>
      </c>
      <c r="B572" s="5" t="s">
        <v>1603</v>
      </c>
      <c r="C572" s="6" t="s">
        <v>2421</v>
      </c>
    </row>
    <row r="573" spans="1:3" ht="17.25" thickBot="1">
      <c r="A573" s="4" t="s">
        <v>1633</v>
      </c>
      <c r="B573" s="5" t="s">
        <v>1566</v>
      </c>
      <c r="C573" s="6" t="s">
        <v>2422</v>
      </c>
    </row>
    <row r="574" spans="1:3" ht="17.25" thickBot="1">
      <c r="A574" s="4" t="s">
        <v>1848</v>
      </c>
      <c r="B574" s="5" t="s">
        <v>0</v>
      </c>
      <c r="C574" s="5" t="s">
        <v>2423</v>
      </c>
    </row>
    <row r="575" spans="1:3" ht="25.5">
      <c r="A575" s="92" t="s">
        <v>2424</v>
      </c>
      <c r="B575" s="7" t="s">
        <v>2116</v>
      </c>
      <c r="C575" s="91" t="s">
        <v>2425</v>
      </c>
    </row>
    <row r="576" spans="1:3" ht="17.25" thickBot="1">
      <c r="A576" s="98"/>
      <c r="B576" s="5" t="s">
        <v>1601</v>
      </c>
      <c r="C576" s="97"/>
    </row>
    <row r="577" spans="1:3" ht="26.25" thickBot="1">
      <c r="A577" s="4" t="s">
        <v>1924</v>
      </c>
      <c r="B577" s="5" t="s">
        <v>1603</v>
      </c>
      <c r="C577" s="5" t="s">
        <v>2426</v>
      </c>
    </row>
    <row r="578" spans="1:3">
      <c r="A578" s="96" t="s">
        <v>2427</v>
      </c>
      <c r="B578" s="91" t="s">
        <v>1632</v>
      </c>
      <c r="C578" s="7" t="s">
        <v>2429</v>
      </c>
    </row>
    <row r="579" spans="1:3" ht="17.25" thickBot="1">
      <c r="A579" s="4" t="s">
        <v>2428</v>
      </c>
      <c r="B579" s="97"/>
      <c r="C579" s="6" t="s">
        <v>2430</v>
      </c>
    </row>
    <row r="580" spans="1:3" ht="17.25" thickBot="1">
      <c r="A580" s="4" t="s">
        <v>2431</v>
      </c>
      <c r="B580" s="6" t="s">
        <v>1632</v>
      </c>
      <c r="C580" s="6" t="s">
        <v>2432</v>
      </c>
    </row>
    <row r="581" spans="1:3">
      <c r="B581" s="114" t="s">
        <v>2433</v>
      </c>
      <c r="C581" s="114" t="s">
        <v>2434</v>
      </c>
    </row>
    <row r="582" spans="1:3">
      <c r="A582" s="115" t="s">
        <v>2435</v>
      </c>
      <c r="B582" s="115" t="s">
        <v>2436</v>
      </c>
    </row>
    <row r="583" spans="1:3" ht="17.25" thickBot="1">
      <c r="A583" s="126" t="s">
        <v>1646</v>
      </c>
    </row>
    <row r="584" spans="1:3" ht="17.25" thickBot="1">
      <c r="A584" s="102" t="s">
        <v>1591</v>
      </c>
      <c r="B584" s="103" t="s">
        <v>1592</v>
      </c>
      <c r="C584" s="103" t="s">
        <v>1593</v>
      </c>
    </row>
    <row r="585" spans="1:3" ht="25.5">
      <c r="A585" s="92" t="s">
        <v>2437</v>
      </c>
      <c r="B585" s="91" t="s">
        <v>1566</v>
      </c>
      <c r="C585" s="7" t="s">
        <v>2438</v>
      </c>
    </row>
    <row r="586" spans="1:3" ht="17.25" thickBot="1">
      <c r="A586" s="98"/>
      <c r="B586" s="97"/>
      <c r="C586" s="6" t="s">
        <v>2439</v>
      </c>
    </row>
    <row r="587" spans="1:3" ht="39" thickBot="1">
      <c r="A587" s="4" t="s">
        <v>2440</v>
      </c>
      <c r="B587" s="5" t="s">
        <v>1624</v>
      </c>
      <c r="C587" s="6" t="s">
        <v>2441</v>
      </c>
    </row>
    <row r="588" spans="1:3" ht="17.25" thickBot="1">
      <c r="A588" s="109"/>
    </row>
    <row r="589" spans="1:3" ht="17.25" thickBot="1">
      <c r="A589" s="102" t="s">
        <v>1591</v>
      </c>
      <c r="B589" s="103" t="s">
        <v>1592</v>
      </c>
      <c r="C589" s="103" t="s">
        <v>1593</v>
      </c>
    </row>
    <row r="590" spans="1:3" ht="25.5">
      <c r="A590" s="92" t="s">
        <v>2442</v>
      </c>
      <c r="B590" s="91" t="s">
        <v>1627</v>
      </c>
      <c r="C590" s="7" t="s">
        <v>2443</v>
      </c>
    </row>
    <row r="591" spans="1:3">
      <c r="A591" s="171"/>
      <c r="B591" s="170"/>
      <c r="C591" s="8" t="s">
        <v>2444</v>
      </c>
    </row>
    <row r="592" spans="1:3" ht="39" thickBot="1">
      <c r="A592" s="98"/>
      <c r="B592" s="97"/>
      <c r="C592" s="6" t="s">
        <v>2445</v>
      </c>
    </row>
    <row r="593" spans="1:3" ht="17.25" thickBot="1">
      <c r="A593" s="145" t="s">
        <v>2446</v>
      </c>
      <c r="B593" s="5" t="s">
        <v>1603</v>
      </c>
      <c r="C593" s="6" t="s">
        <v>2447</v>
      </c>
    </row>
    <row r="594" spans="1:3" ht="26.25" thickBot="1">
      <c r="A594" s="4" t="s">
        <v>2448</v>
      </c>
      <c r="B594" s="6" t="s">
        <v>1632</v>
      </c>
      <c r="C594" s="6" t="s">
        <v>2449</v>
      </c>
    </row>
    <row r="595" spans="1:3" ht="17.25" thickBot="1">
      <c r="A595" s="4" t="s">
        <v>2450</v>
      </c>
      <c r="B595" s="5" t="s">
        <v>1630</v>
      </c>
      <c r="C595" s="5" t="s">
        <v>2451</v>
      </c>
    </row>
    <row r="596" spans="1:3" ht="17.25" thickBot="1">
      <c r="A596" s="4" t="s">
        <v>2452</v>
      </c>
      <c r="B596" s="5" t="s">
        <v>1603</v>
      </c>
      <c r="C596" s="5" t="s">
        <v>2453</v>
      </c>
    </row>
    <row r="597" spans="1:3" ht="17.25" thickBot="1">
      <c r="A597" s="4" t="s">
        <v>2454</v>
      </c>
      <c r="B597" s="5" t="s">
        <v>1566</v>
      </c>
      <c r="C597" s="6" t="s">
        <v>2455</v>
      </c>
    </row>
    <row r="598" spans="1:3" ht="25.5">
      <c r="A598" s="92" t="s">
        <v>2456</v>
      </c>
      <c r="B598" s="91" t="s">
        <v>1624</v>
      </c>
      <c r="C598" s="7" t="s">
        <v>2457</v>
      </c>
    </row>
    <row r="599" spans="1:3" ht="39" thickBot="1">
      <c r="A599" s="98"/>
      <c r="B599" s="97"/>
      <c r="C599" s="6" t="s">
        <v>2458</v>
      </c>
    </row>
    <row r="600" spans="1:3" ht="17.25" thickBot="1">
      <c r="A600" s="4" t="s">
        <v>2459</v>
      </c>
      <c r="B600" s="5" t="s">
        <v>1624</v>
      </c>
      <c r="C600" s="5" t="s">
        <v>2460</v>
      </c>
    </row>
    <row r="601" spans="1:3" ht="39" thickBot="1">
      <c r="A601" s="4" t="s">
        <v>2461</v>
      </c>
      <c r="B601" s="5" t="s">
        <v>1566</v>
      </c>
      <c r="C601" s="6" t="s">
        <v>2462</v>
      </c>
    </row>
    <row r="602" spans="1:3" ht="17.25" thickBot="1">
      <c r="A602" s="99" t="s">
        <v>1591</v>
      </c>
      <c r="B602" s="100" t="s">
        <v>1592</v>
      </c>
      <c r="C602" s="100" t="s">
        <v>1593</v>
      </c>
    </row>
    <row r="603" spans="1:3" ht="38.25">
      <c r="A603" s="92" t="s">
        <v>2463</v>
      </c>
      <c r="B603" s="91" t="s">
        <v>1566</v>
      </c>
      <c r="C603" s="7" t="s">
        <v>2464</v>
      </c>
    </row>
    <row r="604" spans="1:3">
      <c r="A604" s="171"/>
      <c r="B604" s="170"/>
      <c r="C604" s="8" t="s">
        <v>2465</v>
      </c>
    </row>
    <row r="605" spans="1:3">
      <c r="A605" s="171"/>
      <c r="B605" s="170"/>
      <c r="C605" s="8" t="s">
        <v>2466</v>
      </c>
    </row>
    <row r="606" spans="1:3">
      <c r="A606" s="171"/>
      <c r="B606" s="170"/>
      <c r="C606" s="8" t="s">
        <v>2467</v>
      </c>
    </row>
    <row r="607" spans="1:3" ht="17.25" thickBot="1">
      <c r="A607" s="98"/>
      <c r="B607" s="97"/>
      <c r="C607" s="5" t="s">
        <v>2468</v>
      </c>
    </row>
    <row r="608" spans="1:3" ht="25.5">
      <c r="A608" s="176" t="s">
        <v>2469</v>
      </c>
      <c r="B608" s="91" t="s">
        <v>0</v>
      </c>
      <c r="C608" s="7" t="s">
        <v>2470</v>
      </c>
    </row>
    <row r="609" spans="1:3" ht="17.25" thickBot="1">
      <c r="A609" s="177"/>
      <c r="B609" s="97"/>
      <c r="C609" s="5" t="s">
        <v>2471</v>
      </c>
    </row>
    <row r="610" spans="1:3" ht="17.25" thickBot="1">
      <c r="A610" s="4" t="s">
        <v>2023</v>
      </c>
      <c r="B610" s="6" t="s">
        <v>1632</v>
      </c>
      <c r="C610" s="5" t="s">
        <v>2472</v>
      </c>
    </row>
    <row r="611" spans="1:3" ht="38.25">
      <c r="A611" s="96" t="s">
        <v>2473</v>
      </c>
      <c r="B611" s="91" t="s">
        <v>1632</v>
      </c>
      <c r="C611" s="91" t="s">
        <v>2475</v>
      </c>
    </row>
    <row r="612" spans="1:3" ht="17.25" thickBot="1">
      <c r="A612" s="4" t="s">
        <v>2474</v>
      </c>
      <c r="B612" s="97"/>
      <c r="C612" s="97"/>
    </row>
    <row r="613" spans="1:3" ht="30">
      <c r="A613" s="149" t="s">
        <v>2476</v>
      </c>
      <c r="B613" s="91" t="s">
        <v>2477</v>
      </c>
      <c r="C613" s="91" t="s">
        <v>2478</v>
      </c>
    </row>
    <row r="614" spans="1:3" ht="17.25" thickBot="1">
      <c r="A614" s="145" t="s">
        <v>2148</v>
      </c>
      <c r="B614" s="97"/>
      <c r="C614" s="97"/>
    </row>
    <row r="615" spans="1:3" ht="27.75" thickBot="1">
      <c r="A615" s="4" t="s">
        <v>2479</v>
      </c>
      <c r="B615" s="5" t="s">
        <v>2477</v>
      </c>
      <c r="C615" s="5" t="s">
        <v>2480</v>
      </c>
    </row>
    <row r="616" spans="1:3" ht="17.25" thickBot="1">
      <c r="A616" s="4" t="s">
        <v>2481</v>
      </c>
      <c r="B616" s="6" t="s">
        <v>1632</v>
      </c>
      <c r="C616" s="6" t="s">
        <v>2482</v>
      </c>
    </row>
    <row r="617" spans="1:3" ht="17.25" thickBot="1">
      <c r="A617" s="4" t="s">
        <v>2483</v>
      </c>
      <c r="B617" s="5" t="s">
        <v>1624</v>
      </c>
      <c r="C617" s="5" t="s">
        <v>2484</v>
      </c>
    </row>
    <row r="618" spans="1:3" ht="39" thickBot="1">
      <c r="A618" s="145" t="s">
        <v>2485</v>
      </c>
      <c r="B618" s="6" t="s">
        <v>1632</v>
      </c>
      <c r="C618" s="6" t="s">
        <v>2486</v>
      </c>
    </row>
    <row r="619" spans="1:3" ht="17.25" thickBot="1">
      <c r="A619" s="4" t="s">
        <v>2487</v>
      </c>
      <c r="B619" s="6" t="s">
        <v>1632</v>
      </c>
      <c r="C619" s="6" t="s">
        <v>2488</v>
      </c>
    </row>
    <row r="620" spans="1:3">
      <c r="B620" s="114" t="s">
        <v>2489</v>
      </c>
      <c r="C620" s="114" t="s">
        <v>2490</v>
      </c>
    </row>
    <row r="621" spans="1:3">
      <c r="A621" s="115" t="s">
        <v>2491</v>
      </c>
      <c r="B621" s="115" t="s">
        <v>2492</v>
      </c>
    </row>
    <row r="622" spans="1:3" ht="17.25" thickBot="1">
      <c r="A622" s="139" t="s">
        <v>1874</v>
      </c>
    </row>
    <row r="623" spans="1:3" ht="17.25" thickBot="1">
      <c r="A623" s="102" t="s">
        <v>1591</v>
      </c>
      <c r="B623" s="103" t="s">
        <v>1635</v>
      </c>
      <c r="C623" s="103" t="s">
        <v>1593</v>
      </c>
    </row>
    <row r="624" spans="1:3" ht="17.25" thickBot="1">
      <c r="A624" s="4" t="s">
        <v>2493</v>
      </c>
      <c r="B624" s="5" t="s">
        <v>2494</v>
      </c>
      <c r="C624" s="5" t="s">
        <v>2495</v>
      </c>
    </row>
    <row r="625" spans="1:3" ht="17.25" thickBot="1">
      <c r="A625" s="4" t="s">
        <v>2496</v>
      </c>
      <c r="B625" s="5" t="s">
        <v>2494</v>
      </c>
      <c r="C625" s="5" t="s">
        <v>2497</v>
      </c>
    </row>
    <row r="626" spans="1:3" ht="17.25" thickBot="1">
      <c r="A626" s="4" t="s">
        <v>2498</v>
      </c>
      <c r="B626" s="5" t="s">
        <v>2494</v>
      </c>
      <c r="C626" s="5" t="s">
        <v>2499</v>
      </c>
    </row>
    <row r="627" spans="1:3" ht="17.25" thickBot="1">
      <c r="A627" s="4" t="s">
        <v>2500</v>
      </c>
      <c r="B627" s="5" t="s">
        <v>2494</v>
      </c>
      <c r="C627" s="5" t="s">
        <v>2501</v>
      </c>
    </row>
    <row r="628" spans="1:3" ht="26.25" thickBot="1">
      <c r="A628" s="4" t="s">
        <v>2502</v>
      </c>
      <c r="B628" s="5" t="s">
        <v>2494</v>
      </c>
      <c r="C628" s="6" t="s">
        <v>2503</v>
      </c>
    </row>
    <row r="629" spans="1:3" ht="17.25" thickBot="1">
      <c r="A629" s="4" t="s">
        <v>2504</v>
      </c>
      <c r="B629" s="5" t="s">
        <v>2494</v>
      </c>
      <c r="C629" s="6" t="s">
        <v>2505</v>
      </c>
    </row>
    <row r="630" spans="1:3" ht="17.25" thickBot="1">
      <c r="A630" s="4" t="s">
        <v>2506</v>
      </c>
      <c r="B630" s="5" t="s">
        <v>2494</v>
      </c>
      <c r="C630" s="6" t="s">
        <v>2507</v>
      </c>
    </row>
    <row r="631" spans="1:3" ht="25.5">
      <c r="A631" s="92" t="s">
        <v>2508</v>
      </c>
      <c r="B631" s="8" t="s">
        <v>2509</v>
      </c>
      <c r="C631" s="7" t="s">
        <v>2510</v>
      </c>
    </row>
    <row r="632" spans="1:3" ht="17.25" thickBot="1">
      <c r="A632" s="98"/>
      <c r="B632" s="5" t="s">
        <v>1550</v>
      </c>
      <c r="C632" s="5" t="s">
        <v>2511</v>
      </c>
    </row>
    <row r="633" spans="1:3" ht="38.25">
      <c r="A633" s="92" t="s">
        <v>2512</v>
      </c>
      <c r="B633" s="8" t="s">
        <v>1566</v>
      </c>
      <c r="C633" s="91" t="s">
        <v>2513</v>
      </c>
    </row>
    <row r="634" spans="1:3" ht="17.25" thickBot="1">
      <c r="A634" s="98"/>
      <c r="B634" s="5" t="s">
        <v>1550</v>
      </c>
      <c r="C634" s="97"/>
    </row>
    <row r="635" spans="1:3" ht="17.25" thickBot="1">
      <c r="A635" s="109"/>
    </row>
    <row r="636" spans="1:3" ht="17.25" thickBot="1">
      <c r="A636" s="102" t="s">
        <v>1591</v>
      </c>
      <c r="B636" s="103" t="s">
        <v>1635</v>
      </c>
      <c r="C636" s="103" t="s">
        <v>1593</v>
      </c>
    </row>
    <row r="637" spans="1:3" ht="25.5">
      <c r="A637" s="92" t="s">
        <v>2514</v>
      </c>
      <c r="B637" s="91" t="s">
        <v>2494</v>
      </c>
      <c r="C637" s="7" t="s">
        <v>2515</v>
      </c>
    </row>
    <row r="638" spans="1:3">
      <c r="A638" s="171"/>
      <c r="B638" s="170"/>
      <c r="C638" s="7" t="s">
        <v>2516</v>
      </c>
    </row>
    <row r="639" spans="1:3" ht="39">
      <c r="A639" s="171"/>
      <c r="B639" s="170"/>
      <c r="C639" s="138" t="s">
        <v>2517</v>
      </c>
    </row>
    <row r="640" spans="1:3">
      <c r="A640" s="171"/>
      <c r="B640" s="170"/>
      <c r="C640" s="7" t="s">
        <v>2518</v>
      </c>
    </row>
    <row r="641" spans="1:3" ht="53.25" thickBot="1">
      <c r="A641" s="98"/>
      <c r="B641" s="97"/>
      <c r="C641" s="150" t="s">
        <v>2519</v>
      </c>
    </row>
    <row r="642" spans="1:3">
      <c r="A642" s="92" t="s">
        <v>2520</v>
      </c>
      <c r="B642" s="8" t="s">
        <v>1566</v>
      </c>
      <c r="C642" s="91" t="s">
        <v>2521</v>
      </c>
    </row>
    <row r="643" spans="1:3" ht="17.25" thickBot="1">
      <c r="A643" s="98"/>
      <c r="B643" s="5" t="s">
        <v>1550</v>
      </c>
      <c r="C643" s="97"/>
    </row>
    <row r="644" spans="1:3">
      <c r="A644" s="92" t="s">
        <v>2522</v>
      </c>
      <c r="B644" s="8" t="s">
        <v>1566</v>
      </c>
      <c r="C644" s="91" t="s">
        <v>2524</v>
      </c>
    </row>
    <row r="645" spans="1:3" ht="17.25" thickBot="1">
      <c r="A645" s="98"/>
      <c r="B645" s="5" t="s">
        <v>2523</v>
      </c>
      <c r="C645" s="97"/>
    </row>
    <row r="646" spans="1:3">
      <c r="A646" s="92" t="s">
        <v>2525</v>
      </c>
      <c r="B646" s="8" t="s">
        <v>2526</v>
      </c>
      <c r="C646" s="91" t="s">
        <v>2527</v>
      </c>
    </row>
    <row r="647" spans="1:3" ht="17.25" thickBot="1">
      <c r="A647" s="98"/>
      <c r="B647" s="5" t="s">
        <v>1550</v>
      </c>
      <c r="C647" s="97"/>
    </row>
    <row r="648" spans="1:3">
      <c r="A648" s="92" t="s">
        <v>2528</v>
      </c>
      <c r="B648" s="91" t="s">
        <v>1603</v>
      </c>
      <c r="C648" s="8" t="s">
        <v>2529</v>
      </c>
    </row>
    <row r="649" spans="1:3" ht="25.5">
      <c r="A649" s="171"/>
      <c r="B649" s="170"/>
      <c r="C649" s="7" t="s">
        <v>2530</v>
      </c>
    </row>
    <row r="650" spans="1:3" ht="17.25" thickBot="1">
      <c r="A650" s="98"/>
      <c r="B650" s="97"/>
      <c r="C650" s="5" t="s">
        <v>2531</v>
      </c>
    </row>
    <row r="651" spans="1:3" ht="17.25" thickBot="1">
      <c r="A651" s="99" t="s">
        <v>1591</v>
      </c>
      <c r="B651" s="100" t="s">
        <v>1635</v>
      </c>
      <c r="C651" s="100" t="s">
        <v>1593</v>
      </c>
    </row>
    <row r="652" spans="1:3" ht="38.25">
      <c r="A652" s="92" t="s">
        <v>2532</v>
      </c>
      <c r="B652" s="8" t="s">
        <v>1603</v>
      </c>
      <c r="C652" s="91" t="s">
        <v>2533</v>
      </c>
    </row>
    <row r="653" spans="1:3" ht="17.25" thickBot="1">
      <c r="A653" s="98"/>
      <c r="B653" s="5" t="s">
        <v>1550</v>
      </c>
      <c r="C653" s="97"/>
    </row>
    <row r="654" spans="1:3" ht="25.5">
      <c r="A654" s="92" t="s">
        <v>2534</v>
      </c>
      <c r="B654" s="8" t="s">
        <v>1603</v>
      </c>
      <c r="C654" s="91" t="s">
        <v>2535</v>
      </c>
    </row>
    <row r="655" spans="1:3" ht="17.25" thickBot="1">
      <c r="A655" s="98"/>
      <c r="B655" s="5" t="s">
        <v>1550</v>
      </c>
      <c r="C655" s="97"/>
    </row>
    <row r="656" spans="1:3">
      <c r="B656" s="114" t="s">
        <v>2536</v>
      </c>
      <c r="C656" s="114" t="s">
        <v>2537</v>
      </c>
    </row>
    <row r="657" spans="1:3" ht="17.25" thickBot="1">
      <c r="A657" s="126" t="s">
        <v>1646</v>
      </c>
    </row>
    <row r="658" spans="1:3" ht="17.25" thickBot="1">
      <c r="A658" s="102" t="s">
        <v>1591</v>
      </c>
      <c r="B658" s="103" t="s">
        <v>1592</v>
      </c>
      <c r="C658" s="103" t="s">
        <v>1593</v>
      </c>
    </row>
    <row r="659" spans="1:3" ht="17.25" thickBot="1">
      <c r="A659" s="4" t="s">
        <v>1912</v>
      </c>
      <c r="B659" s="5" t="s">
        <v>1603</v>
      </c>
      <c r="C659" s="5" t="s">
        <v>2538</v>
      </c>
    </row>
    <row r="660" spans="1:3">
      <c r="A660" s="92" t="s">
        <v>1903</v>
      </c>
      <c r="B660" s="91" t="s">
        <v>1603</v>
      </c>
      <c r="C660" s="7" t="s">
        <v>2539</v>
      </c>
    </row>
    <row r="661" spans="1:3" ht="17.25" thickBot="1">
      <c r="A661" s="98"/>
      <c r="B661" s="97"/>
      <c r="C661" s="5" t="s">
        <v>2540</v>
      </c>
    </row>
    <row r="662" spans="1:3" ht="17.25" thickBot="1">
      <c r="A662" s="4" t="s">
        <v>2541</v>
      </c>
      <c r="B662" s="5" t="s">
        <v>1625</v>
      </c>
      <c r="C662" s="6" t="s">
        <v>2542</v>
      </c>
    </row>
    <row r="663" spans="1:3" ht="39" thickBot="1">
      <c r="A663" s="4" t="s">
        <v>2543</v>
      </c>
      <c r="B663" s="5" t="s">
        <v>1625</v>
      </c>
      <c r="C663" s="6" t="s">
        <v>2544</v>
      </c>
    </row>
    <row r="664" spans="1:3" ht="26.25">
      <c r="A664" s="92" t="s">
        <v>2545</v>
      </c>
      <c r="B664" s="91" t="s">
        <v>1632</v>
      </c>
      <c r="C664" s="138" t="s">
        <v>2546</v>
      </c>
    </row>
    <row r="665" spans="1:3" ht="27" thickBot="1">
      <c r="A665" s="98"/>
      <c r="B665" s="97"/>
      <c r="C665" s="150" t="s">
        <v>2547</v>
      </c>
    </row>
    <row r="666" spans="1:3" ht="17.25" thickBot="1">
      <c r="A666" s="109"/>
    </row>
    <row r="667" spans="1:3" ht="17.25" thickBot="1">
      <c r="A667" s="102" t="s">
        <v>1591</v>
      </c>
      <c r="B667" s="103" t="s">
        <v>1592</v>
      </c>
      <c r="C667" s="103" t="s">
        <v>1593</v>
      </c>
    </row>
    <row r="668" spans="1:3">
      <c r="A668" s="92" t="s">
        <v>2548</v>
      </c>
      <c r="B668" s="91" t="s">
        <v>1632</v>
      </c>
      <c r="C668" s="137" t="s">
        <v>2549</v>
      </c>
    </row>
    <row r="669" spans="1:3" ht="26.25">
      <c r="A669" s="171"/>
      <c r="B669" s="170"/>
      <c r="C669" s="138" t="s">
        <v>2550</v>
      </c>
    </row>
    <row r="670" spans="1:3" ht="27" thickBot="1">
      <c r="A670" s="98"/>
      <c r="B670" s="97"/>
      <c r="C670" s="150" t="s">
        <v>2551</v>
      </c>
    </row>
    <row r="671" spans="1:3" ht="26.25" thickBot="1">
      <c r="A671" s="4" t="s">
        <v>2552</v>
      </c>
      <c r="B671" s="6" t="s">
        <v>1632</v>
      </c>
      <c r="C671" s="6" t="s">
        <v>2553</v>
      </c>
    </row>
    <row r="672" spans="1:3" ht="17.25" thickBot="1">
      <c r="A672" s="4" t="s">
        <v>2554</v>
      </c>
      <c r="B672" s="6" t="s">
        <v>1632</v>
      </c>
      <c r="C672" s="5" t="s">
        <v>2555</v>
      </c>
    </row>
    <row r="673" spans="1:3" ht="17.25" thickBot="1">
      <c r="A673" s="4" t="s">
        <v>2019</v>
      </c>
      <c r="B673" s="5" t="s">
        <v>1625</v>
      </c>
      <c r="C673" s="6" t="s">
        <v>2556</v>
      </c>
    </row>
    <row r="674" spans="1:3" ht="17.25" thickBot="1">
      <c r="A674" s="4" t="s">
        <v>2557</v>
      </c>
      <c r="B674" s="6" t="s">
        <v>1632</v>
      </c>
      <c r="C674" s="6" t="s">
        <v>2558</v>
      </c>
    </row>
    <row r="675" spans="1:3" ht="26.25" thickBot="1">
      <c r="A675" s="4" t="s">
        <v>2559</v>
      </c>
      <c r="B675" s="6" t="s">
        <v>1632</v>
      </c>
      <c r="C675" s="6" t="s">
        <v>2560</v>
      </c>
    </row>
    <row r="676" spans="1:3" ht="26.25" thickBot="1">
      <c r="A676" s="4" t="s">
        <v>2561</v>
      </c>
      <c r="B676" s="6" t="s">
        <v>1632</v>
      </c>
      <c r="C676" s="6" t="s">
        <v>2562</v>
      </c>
    </row>
    <row r="677" spans="1:3" ht="17.25" thickBot="1">
      <c r="A677" s="4" t="s">
        <v>1922</v>
      </c>
      <c r="B677" s="5" t="s">
        <v>1566</v>
      </c>
      <c r="C677" s="5" t="s">
        <v>2563</v>
      </c>
    </row>
    <row r="678" spans="1:3" ht="17.25" thickBot="1">
      <c r="A678" s="4" t="s">
        <v>2564</v>
      </c>
      <c r="B678" s="6" t="s">
        <v>1632</v>
      </c>
      <c r="C678" s="6" t="s">
        <v>2565</v>
      </c>
    </row>
    <row r="679" spans="1:3" ht="17.25" thickBot="1">
      <c r="A679" s="4" t="s">
        <v>1915</v>
      </c>
      <c r="B679" s="5" t="s">
        <v>1624</v>
      </c>
      <c r="C679" s="6" t="s">
        <v>2566</v>
      </c>
    </row>
    <row r="680" spans="1:3" ht="39" thickBot="1">
      <c r="A680" s="4" t="s">
        <v>2567</v>
      </c>
      <c r="B680" s="5" t="s">
        <v>2477</v>
      </c>
      <c r="C680" s="6" t="s">
        <v>2568</v>
      </c>
    </row>
    <row r="681" spans="1:3">
      <c r="A681" s="92" t="s">
        <v>2569</v>
      </c>
      <c r="B681" s="91" t="s">
        <v>1603</v>
      </c>
      <c r="C681" s="7" t="s">
        <v>2570</v>
      </c>
    </row>
    <row r="682" spans="1:3">
      <c r="A682" s="171"/>
      <c r="B682" s="170"/>
      <c r="C682" s="8" t="s">
        <v>2571</v>
      </c>
    </row>
    <row r="683" spans="1:3" ht="17.25" thickBot="1">
      <c r="A683" s="98"/>
      <c r="B683" s="97"/>
      <c r="C683" s="5" t="s">
        <v>2572</v>
      </c>
    </row>
    <row r="684" spans="1:3" ht="17.25" thickBot="1">
      <c r="A684" s="99" t="s">
        <v>1591</v>
      </c>
      <c r="B684" s="100" t="s">
        <v>1592</v>
      </c>
      <c r="C684" s="100" t="s">
        <v>1593</v>
      </c>
    </row>
    <row r="685" spans="1:3">
      <c r="A685" s="92" t="s">
        <v>2573</v>
      </c>
      <c r="B685" s="8" t="s">
        <v>2574</v>
      </c>
      <c r="C685" s="91"/>
    </row>
    <row r="686" spans="1:3" ht="17.25" thickBot="1">
      <c r="A686" s="98"/>
      <c r="B686" s="5" t="s">
        <v>1628</v>
      </c>
      <c r="C686" s="97"/>
    </row>
    <row r="687" spans="1:3" ht="17.25" thickBot="1">
      <c r="A687" s="4" t="s">
        <v>2575</v>
      </c>
      <c r="B687" s="5" t="s">
        <v>1603</v>
      </c>
      <c r="C687" s="5"/>
    </row>
    <row r="688" spans="1:3">
      <c r="B688" s="114" t="s">
        <v>2576</v>
      </c>
      <c r="C688" s="114" t="s">
        <v>2577</v>
      </c>
    </row>
    <row r="689" spans="1:3">
      <c r="A689" s="115" t="s">
        <v>2580</v>
      </c>
    </row>
    <row r="690" spans="1:3" ht="63.75">
      <c r="A690" s="105" t="s">
        <v>2582</v>
      </c>
    </row>
    <row r="691" spans="1:3" ht="76.5">
      <c r="A691" s="105" t="s">
        <v>2583</v>
      </c>
      <c r="B691" s="115" t="s">
        <v>2581</v>
      </c>
    </row>
    <row r="692" spans="1:3" ht="17.25" thickBot="1">
      <c r="A692" s="126" t="s">
        <v>1874</v>
      </c>
    </row>
    <row r="693" spans="1:3" ht="17.25" thickBot="1">
      <c r="A693" s="102" t="s">
        <v>1591</v>
      </c>
      <c r="B693" s="103" t="s">
        <v>1635</v>
      </c>
      <c r="C693" s="103" t="s">
        <v>1593</v>
      </c>
    </row>
    <row r="694" spans="1:3" ht="26.25" thickBot="1">
      <c r="A694" s="4" t="s">
        <v>2584</v>
      </c>
      <c r="B694" s="5" t="s">
        <v>2585</v>
      </c>
      <c r="C694" s="6" t="s">
        <v>2586</v>
      </c>
    </row>
    <row r="695" spans="1:3" ht="17.25" thickBot="1">
      <c r="A695" s="4" t="s">
        <v>2587</v>
      </c>
      <c r="B695" s="5" t="s">
        <v>2588</v>
      </c>
      <c r="C695" s="6" t="s">
        <v>2589</v>
      </c>
    </row>
    <row r="696" spans="1:3">
      <c r="A696" s="92" t="s">
        <v>2590</v>
      </c>
      <c r="B696" s="8" t="s">
        <v>1603</v>
      </c>
      <c r="C696" s="8" t="s">
        <v>2595</v>
      </c>
    </row>
    <row r="697" spans="1:3">
      <c r="A697" s="171"/>
      <c r="B697" s="8" t="s">
        <v>2591</v>
      </c>
      <c r="C697" s="8" t="s">
        <v>2596</v>
      </c>
    </row>
    <row r="698" spans="1:3">
      <c r="A698" s="171"/>
      <c r="B698" s="8" t="s">
        <v>2592</v>
      </c>
      <c r="C698" s="8" t="s">
        <v>2597</v>
      </c>
    </row>
    <row r="699" spans="1:3">
      <c r="A699" s="171"/>
      <c r="B699" s="8" t="s">
        <v>2593</v>
      </c>
      <c r="C699" s="8" t="s">
        <v>2598</v>
      </c>
    </row>
    <row r="700" spans="1:3">
      <c r="A700" s="171"/>
      <c r="B700" s="8" t="s">
        <v>2594</v>
      </c>
      <c r="C700" s="8" t="s">
        <v>2599</v>
      </c>
    </row>
    <row r="701" spans="1:3" ht="64.5" thickBot="1">
      <c r="A701" s="98"/>
      <c r="B701" s="136"/>
      <c r="C701" s="6" t="s">
        <v>2600</v>
      </c>
    </row>
    <row r="702" spans="1:3" ht="17.25" thickBot="1">
      <c r="A702" s="4" t="s">
        <v>2601</v>
      </c>
      <c r="B702" s="5" t="s">
        <v>2602</v>
      </c>
      <c r="C702" s="6" t="s">
        <v>2603</v>
      </c>
    </row>
    <row r="703" spans="1:3">
      <c r="A703" s="92" t="s">
        <v>2604</v>
      </c>
      <c r="B703" s="8" t="s">
        <v>1566</v>
      </c>
      <c r="C703" s="7" t="s">
        <v>2605</v>
      </c>
    </row>
    <row r="704" spans="1:3">
      <c r="A704" s="171"/>
      <c r="B704" s="8" t="b">
        <v>1</v>
      </c>
      <c r="C704" s="7" t="s">
        <v>2606</v>
      </c>
    </row>
    <row r="705" spans="1:3" ht="17.25" thickBot="1">
      <c r="A705" s="98"/>
      <c r="B705" s="5" t="b">
        <v>0</v>
      </c>
      <c r="C705" s="5" t="s">
        <v>2607</v>
      </c>
    </row>
    <row r="706" spans="1:3">
      <c r="A706" s="92" t="s">
        <v>2608</v>
      </c>
      <c r="B706" s="8" t="s">
        <v>1566</v>
      </c>
      <c r="C706" s="8" t="s">
        <v>2609</v>
      </c>
    </row>
    <row r="707" spans="1:3">
      <c r="A707" s="171"/>
      <c r="B707" s="8" t="b">
        <v>0</v>
      </c>
      <c r="C707" s="8" t="s">
        <v>2610</v>
      </c>
    </row>
    <row r="708" spans="1:3" ht="17.25" thickBot="1">
      <c r="A708" s="98"/>
      <c r="B708" s="5" t="b">
        <v>1</v>
      </c>
      <c r="C708" s="136"/>
    </row>
    <row r="709" spans="1:3">
      <c r="A709" s="92" t="s">
        <v>2611</v>
      </c>
      <c r="B709" s="91" t="s">
        <v>2612</v>
      </c>
      <c r="C709" s="8" t="s">
        <v>2613</v>
      </c>
    </row>
    <row r="710" spans="1:3">
      <c r="A710" s="171"/>
      <c r="B710" s="170"/>
      <c r="C710" s="8" t="s">
        <v>2614</v>
      </c>
    </row>
    <row r="711" spans="1:3" ht="17.25" thickBot="1">
      <c r="A711" s="98"/>
      <c r="B711" s="97"/>
      <c r="C711" s="5" t="s">
        <v>2615</v>
      </c>
    </row>
    <row r="712" spans="1:3" ht="17.25" thickBot="1">
      <c r="A712" s="4" t="s">
        <v>2616</v>
      </c>
      <c r="B712" s="5" t="s">
        <v>2617</v>
      </c>
      <c r="C712" s="6" t="s">
        <v>2618</v>
      </c>
    </row>
    <row r="713" spans="1:3">
      <c r="A713" s="92" t="s">
        <v>2619</v>
      </c>
      <c r="B713" s="91" t="s">
        <v>2620</v>
      </c>
      <c r="C713" s="94" t="s">
        <v>2621</v>
      </c>
    </row>
    <row r="714" spans="1:3">
      <c r="A714" s="171"/>
      <c r="B714" s="170"/>
      <c r="C714" s="94" t="s">
        <v>2622</v>
      </c>
    </row>
    <row r="715" spans="1:3">
      <c r="A715" s="171"/>
      <c r="B715" s="170"/>
      <c r="C715" s="94" t="s">
        <v>2623</v>
      </c>
    </row>
    <row r="716" spans="1:3" ht="127.5">
      <c r="A716" s="171"/>
      <c r="B716" s="170"/>
      <c r="C716" s="95" t="s">
        <v>2624</v>
      </c>
    </row>
    <row r="717" spans="1:3" ht="26.25" thickBot="1">
      <c r="A717" s="98"/>
      <c r="B717" s="97"/>
      <c r="C717" s="151" t="s">
        <v>2625</v>
      </c>
    </row>
    <row r="718" spans="1:3">
      <c r="A718" s="92" t="s">
        <v>2626</v>
      </c>
      <c r="B718" s="8" t="s">
        <v>1566</v>
      </c>
      <c r="C718" s="8" t="s">
        <v>2627</v>
      </c>
    </row>
    <row r="719" spans="1:3">
      <c r="A719" s="171"/>
      <c r="B719" s="8" t="b">
        <v>0</v>
      </c>
      <c r="C719" s="8" t="s">
        <v>2628</v>
      </c>
    </row>
    <row r="720" spans="1:3" ht="17.25" thickBot="1">
      <c r="A720" s="98"/>
      <c r="B720" s="5" t="b">
        <v>1</v>
      </c>
      <c r="C720" s="136"/>
    </row>
    <row r="721" spans="1:3" ht="25.5">
      <c r="A721" s="92" t="s">
        <v>2629</v>
      </c>
      <c r="B721" s="91" t="s">
        <v>1566</v>
      </c>
      <c r="C721" s="7" t="s">
        <v>2630</v>
      </c>
    </row>
    <row r="722" spans="1:3" ht="26.25" thickBot="1">
      <c r="A722" s="98"/>
      <c r="B722" s="97"/>
      <c r="C722" s="6" t="s">
        <v>2631</v>
      </c>
    </row>
    <row r="723" spans="1:3">
      <c r="A723" s="92" t="s">
        <v>2632</v>
      </c>
      <c r="B723" s="8" t="s">
        <v>1603</v>
      </c>
      <c r="C723" s="7" t="s">
        <v>2637</v>
      </c>
    </row>
    <row r="724" spans="1:3">
      <c r="A724" s="171"/>
      <c r="B724" s="8" t="s">
        <v>2633</v>
      </c>
      <c r="C724" s="8" t="s">
        <v>2596</v>
      </c>
    </row>
    <row r="725" spans="1:3">
      <c r="A725" s="171"/>
      <c r="B725" s="8" t="s">
        <v>2634</v>
      </c>
      <c r="C725" s="8" t="s">
        <v>2638</v>
      </c>
    </row>
    <row r="726" spans="1:3">
      <c r="A726" s="171"/>
      <c r="B726" s="8" t="s">
        <v>2635</v>
      </c>
      <c r="C726" s="8" t="s">
        <v>2639</v>
      </c>
    </row>
    <row r="727" spans="1:3" ht="51.75" thickBot="1">
      <c r="A727" s="98"/>
      <c r="B727" s="5" t="s">
        <v>2636</v>
      </c>
      <c r="C727" s="6" t="s">
        <v>2640</v>
      </c>
    </row>
    <row r="728" spans="1:3">
      <c r="A728" s="92" t="s">
        <v>2641</v>
      </c>
      <c r="B728" s="8" t="s">
        <v>1600</v>
      </c>
      <c r="C728" s="8" t="s">
        <v>2645</v>
      </c>
    </row>
    <row r="729" spans="1:3">
      <c r="A729" s="171"/>
      <c r="B729" s="8" t="s">
        <v>2642</v>
      </c>
      <c r="C729" s="8" t="s">
        <v>2646</v>
      </c>
    </row>
    <row r="730" spans="1:3">
      <c r="A730" s="171"/>
      <c r="B730" s="8" t="s">
        <v>2643</v>
      </c>
      <c r="C730" s="8" t="s">
        <v>2647</v>
      </c>
    </row>
    <row r="731" spans="1:3" ht="17.25" thickBot="1">
      <c r="A731" s="98"/>
      <c r="B731" s="5" t="s">
        <v>2644</v>
      </c>
      <c r="C731" s="136"/>
    </row>
    <row r="732" spans="1:3">
      <c r="A732" s="92" t="s">
        <v>2648</v>
      </c>
      <c r="B732" s="8" t="s">
        <v>1566</v>
      </c>
      <c r="C732" s="7" t="s">
        <v>2649</v>
      </c>
    </row>
    <row r="733" spans="1:3">
      <c r="A733" s="171"/>
      <c r="B733" s="8" t="b">
        <v>1</v>
      </c>
      <c r="C733" s="7" t="s">
        <v>2650</v>
      </c>
    </row>
    <row r="734" spans="1:3" ht="17.25" thickBot="1">
      <c r="A734" s="98"/>
      <c r="B734" s="5" t="b">
        <v>0</v>
      </c>
      <c r="C734" s="136"/>
    </row>
    <row r="735" spans="1:3">
      <c r="B735" s="114" t="s">
        <v>2651</v>
      </c>
      <c r="C735" s="114" t="s">
        <v>2652</v>
      </c>
    </row>
    <row r="736" spans="1:3">
      <c r="A736" s="115" t="s">
        <v>2653</v>
      </c>
      <c r="B736" s="115" t="s">
        <v>2654</v>
      </c>
    </row>
    <row r="737" spans="1:3" ht="17.25" thickBot="1">
      <c r="A737" s="126" t="s">
        <v>1874</v>
      </c>
    </row>
    <row r="738" spans="1:3" ht="17.25" thickBot="1">
      <c r="A738" s="102" t="s">
        <v>1591</v>
      </c>
      <c r="B738" s="103" t="s">
        <v>1635</v>
      </c>
      <c r="C738" s="103" t="s">
        <v>1593</v>
      </c>
    </row>
    <row r="739" spans="1:3">
      <c r="A739" s="92" t="s">
        <v>2655</v>
      </c>
      <c r="B739" s="8" t="s">
        <v>1603</v>
      </c>
      <c r="C739" s="91" t="s">
        <v>2656</v>
      </c>
    </row>
    <row r="740" spans="1:3" ht="17.25" thickBot="1">
      <c r="A740" s="98"/>
      <c r="B740" s="5" t="s">
        <v>1550</v>
      </c>
      <c r="C740" s="97"/>
    </row>
    <row r="741" spans="1:3">
      <c r="A741" s="92" t="s">
        <v>2002</v>
      </c>
      <c r="B741" s="8" t="s">
        <v>2112</v>
      </c>
      <c r="C741" s="91" t="s">
        <v>2658</v>
      </c>
    </row>
    <row r="742" spans="1:3" ht="17.25" thickBot="1">
      <c r="A742" s="98"/>
      <c r="B742" s="5" t="s">
        <v>2657</v>
      </c>
      <c r="C742" s="97"/>
    </row>
    <row r="743" spans="1:3" ht="25.5">
      <c r="A743" s="92" t="s">
        <v>2659</v>
      </c>
      <c r="B743" s="8" t="s">
        <v>2660</v>
      </c>
      <c r="C743" s="91" t="s">
        <v>2662</v>
      </c>
    </row>
    <row r="744" spans="1:3" ht="17.25" thickBot="1">
      <c r="A744" s="98"/>
      <c r="B744" s="5" t="s">
        <v>2661</v>
      </c>
      <c r="C744" s="97"/>
    </row>
    <row r="745" spans="1:3">
      <c r="A745" s="92" t="s">
        <v>2663</v>
      </c>
      <c r="B745" s="8" t="s">
        <v>1603</v>
      </c>
      <c r="C745" s="91" t="s">
        <v>2664</v>
      </c>
    </row>
    <row r="746" spans="1:3" ht="17.25" thickBot="1">
      <c r="A746" s="98"/>
      <c r="B746" s="5" t="s">
        <v>1550</v>
      </c>
      <c r="C746" s="97"/>
    </row>
    <row r="747" spans="1:3">
      <c r="A747" s="176" t="s">
        <v>2665</v>
      </c>
      <c r="B747" s="8" t="s">
        <v>1566</v>
      </c>
      <c r="C747" s="8" t="s">
        <v>2666</v>
      </c>
    </row>
    <row r="748" spans="1:3" ht="17.25" thickBot="1">
      <c r="A748" s="177"/>
      <c r="B748" s="5" t="s">
        <v>1550</v>
      </c>
      <c r="C748" s="5" t="s">
        <v>2667</v>
      </c>
    </row>
    <row r="749" spans="1:3">
      <c r="B749" s="114" t="s">
        <v>2668</v>
      </c>
      <c r="C749" s="114" t="s">
        <v>2669</v>
      </c>
    </row>
    <row r="750" spans="1:3" ht="17.25" thickBot="1">
      <c r="A750" s="126" t="s">
        <v>1646</v>
      </c>
    </row>
    <row r="751" spans="1:3" ht="17.25" thickBot="1">
      <c r="A751" s="102" t="s">
        <v>1591</v>
      </c>
      <c r="B751" s="103" t="s">
        <v>1592</v>
      </c>
      <c r="C751" s="103" t="s">
        <v>1593</v>
      </c>
    </row>
    <row r="752" spans="1:3" ht="17.25" thickBot="1">
      <c r="A752" s="4" t="s">
        <v>2670</v>
      </c>
      <c r="B752" s="5" t="s">
        <v>2509</v>
      </c>
      <c r="C752" s="6" t="s">
        <v>2671</v>
      </c>
    </row>
    <row r="753" spans="1:3">
      <c r="A753" s="92" t="s">
        <v>2025</v>
      </c>
      <c r="B753" s="91" t="s">
        <v>1603</v>
      </c>
      <c r="C753" s="8" t="s">
        <v>2026</v>
      </c>
    </row>
    <row r="754" spans="1:3" ht="39" thickBot="1">
      <c r="A754" s="98"/>
      <c r="B754" s="97"/>
      <c r="C754" s="6" t="s">
        <v>2027</v>
      </c>
    </row>
    <row r="755" spans="1:3">
      <c r="B755" s="114" t="s">
        <v>2672</v>
      </c>
      <c r="C755" s="114" t="s">
        <v>2673</v>
      </c>
    </row>
    <row r="756" spans="1:3">
      <c r="A756" s="115" t="s">
        <v>2675</v>
      </c>
      <c r="B756" s="115" t="s">
        <v>2676</v>
      </c>
    </row>
    <row r="757" spans="1:3" ht="17.25" thickBot="1">
      <c r="A757" s="126" t="s">
        <v>2677</v>
      </c>
    </row>
    <row r="758" spans="1:3" ht="17.25" thickBot="1">
      <c r="A758" s="102" t="s">
        <v>1591</v>
      </c>
      <c r="B758" s="103" t="s">
        <v>1592</v>
      </c>
      <c r="C758" s="103" t="s">
        <v>1593</v>
      </c>
    </row>
    <row r="759" spans="1:3" ht="17.25" thickBot="1">
      <c r="A759" s="145" t="s">
        <v>2678</v>
      </c>
      <c r="C759" s="5" t="s">
        <v>2679</v>
      </c>
    </row>
    <row r="760" spans="1:3" ht="25.5">
      <c r="A760" s="176" t="s">
        <v>2680</v>
      </c>
      <c r="B760" s="91" t="s">
        <v>1566</v>
      </c>
      <c r="C760" s="7" t="s">
        <v>2681</v>
      </c>
    </row>
    <row r="761" spans="1:3" ht="17.25" thickBot="1">
      <c r="A761" s="177"/>
      <c r="B761" s="97"/>
      <c r="C761" s="5" t="s">
        <v>2682</v>
      </c>
    </row>
    <row r="762" spans="1:3" ht="17.25" thickBot="1">
      <c r="A762" s="145" t="s">
        <v>2683</v>
      </c>
      <c r="B762" s="5" t="s">
        <v>1557</v>
      </c>
      <c r="C762" s="6" t="s">
        <v>2684</v>
      </c>
    </row>
    <row r="763" spans="1:3" ht="17.25" thickBot="1">
      <c r="A763" s="109"/>
    </row>
    <row r="764" spans="1:3">
      <c r="A764" s="176" t="s">
        <v>2685</v>
      </c>
      <c r="B764" s="91" t="s">
        <v>1599</v>
      </c>
      <c r="C764" s="93" t="s">
        <v>2686</v>
      </c>
    </row>
    <row r="765" spans="1:3" ht="17.25" thickBot="1">
      <c r="A765" s="177"/>
      <c r="B765" s="97"/>
      <c r="C765" s="6" t="s">
        <v>2687</v>
      </c>
    </row>
    <row r="766" spans="1:3">
      <c r="A766" s="176" t="s">
        <v>2688</v>
      </c>
      <c r="B766" s="91" t="s">
        <v>1599</v>
      </c>
      <c r="C766" s="8" t="s">
        <v>2689</v>
      </c>
    </row>
    <row r="767" spans="1:3" ht="26.25" thickBot="1">
      <c r="A767" s="177"/>
      <c r="B767" s="97"/>
      <c r="C767" s="6" t="s">
        <v>2690</v>
      </c>
    </row>
    <row r="768" spans="1:3">
      <c r="A768" s="176" t="s">
        <v>2691</v>
      </c>
      <c r="B768" s="91" t="s">
        <v>1599</v>
      </c>
      <c r="C768" s="8" t="s">
        <v>2692</v>
      </c>
    </row>
    <row r="769" spans="1:3">
      <c r="A769" s="178"/>
      <c r="B769" s="170"/>
      <c r="C769" s="7" t="s">
        <v>2693</v>
      </c>
    </row>
    <row r="770" spans="1:3" ht="17.25" thickBot="1">
      <c r="A770" s="177"/>
      <c r="B770" s="97"/>
      <c r="C770" s="5" t="s">
        <v>2694</v>
      </c>
    </row>
    <row r="771" spans="1:3" ht="26.25" thickBot="1">
      <c r="A771" s="145" t="s">
        <v>2695</v>
      </c>
      <c r="B771" s="5" t="s">
        <v>1599</v>
      </c>
      <c r="C771" s="6" t="s">
        <v>2696</v>
      </c>
    </row>
    <row r="772" spans="1:3" ht="17.25" thickBot="1">
      <c r="A772" s="145" t="s">
        <v>2697</v>
      </c>
      <c r="B772" s="5" t="s">
        <v>2698</v>
      </c>
      <c r="C772" s="6" t="s">
        <v>2699</v>
      </c>
    </row>
    <row r="773" spans="1:3" ht="17.25" thickBot="1">
      <c r="A773" s="145" t="s">
        <v>2700</v>
      </c>
      <c r="B773" s="5" t="s">
        <v>2698</v>
      </c>
      <c r="C773" s="5" t="s">
        <v>2701</v>
      </c>
    </row>
    <row r="774" spans="1:3" ht="26.25" thickBot="1">
      <c r="A774" s="145" t="s">
        <v>2702</v>
      </c>
      <c r="B774" s="5" t="s">
        <v>2698</v>
      </c>
      <c r="C774" s="6" t="s">
        <v>2703</v>
      </c>
    </row>
    <row r="775" spans="1:3" ht="17.25" thickBot="1">
      <c r="A775" s="145" t="s">
        <v>2704</v>
      </c>
      <c r="B775" s="5" t="s">
        <v>2698</v>
      </c>
      <c r="C775" s="6" t="s">
        <v>2705</v>
      </c>
    </row>
    <row r="776" spans="1:3" ht="26.25" thickBot="1">
      <c r="A776" s="145" t="s">
        <v>2706</v>
      </c>
      <c r="B776" s="5" t="s">
        <v>2698</v>
      </c>
      <c r="C776" s="6" t="s">
        <v>2707</v>
      </c>
    </row>
    <row r="777" spans="1:3" ht="17.25" thickBot="1">
      <c r="A777" s="145" t="s">
        <v>2709</v>
      </c>
      <c r="B777" s="111" t="s">
        <v>1566</v>
      </c>
      <c r="C777" s="5"/>
    </row>
    <row r="778" spans="1:3" ht="17.25" thickBot="1">
      <c r="A778" s="145" t="s">
        <v>2710</v>
      </c>
      <c r="B778" s="111" t="s">
        <v>1557</v>
      </c>
      <c r="C778" s="5"/>
    </row>
    <row r="779" spans="1:3">
      <c r="A779" s="176" t="s">
        <v>2711</v>
      </c>
      <c r="B779" s="179" t="s">
        <v>1566</v>
      </c>
      <c r="C779" s="180"/>
    </row>
    <row r="780" spans="1:3" ht="17.25" thickBot="1">
      <c r="A780" s="145" t="s">
        <v>2712</v>
      </c>
      <c r="B780" s="111" t="s">
        <v>1566</v>
      </c>
      <c r="C780" s="5"/>
    </row>
    <row r="781" spans="1:3" ht="17.25" thickBot="1">
      <c r="A781" s="145" t="s">
        <v>2713</v>
      </c>
      <c r="B781" s="111" t="s">
        <v>1566</v>
      </c>
      <c r="C781" s="5"/>
    </row>
    <row r="782" spans="1:3" ht="17.25" thickBot="1">
      <c r="A782" s="145" t="s">
        <v>2714</v>
      </c>
      <c r="B782" s="111" t="s">
        <v>2715</v>
      </c>
      <c r="C782" s="6" t="s">
        <v>2716</v>
      </c>
    </row>
    <row r="783" spans="1:3" ht="17.25" thickBot="1">
      <c r="A783" s="145" t="s">
        <v>2717</v>
      </c>
      <c r="B783" s="111" t="s">
        <v>2715</v>
      </c>
      <c r="C783" s="6" t="s">
        <v>2716</v>
      </c>
    </row>
    <row r="784" spans="1:3">
      <c r="B784" s="114" t="s">
        <v>2718</v>
      </c>
      <c r="C784" s="114" t="s">
        <v>2719</v>
      </c>
    </row>
    <row r="785" spans="1:3">
      <c r="A785" s="115" t="s">
        <v>2720</v>
      </c>
      <c r="B785" s="115" t="s">
        <v>2721</v>
      </c>
    </row>
    <row r="786" spans="1:3" ht="17.25" thickBot="1">
      <c r="A786" s="126" t="s">
        <v>2677</v>
      </c>
    </row>
    <row r="787" spans="1:3" ht="17.25" thickBot="1">
      <c r="A787" s="102" t="s">
        <v>1591</v>
      </c>
      <c r="B787" s="103" t="s">
        <v>1592</v>
      </c>
      <c r="C787" s="103" t="s">
        <v>1593</v>
      </c>
    </row>
    <row r="788" spans="1:3" ht="39" thickBot="1">
      <c r="A788" s="104" t="s">
        <v>2722</v>
      </c>
      <c r="B788" s="5" t="s">
        <v>2698</v>
      </c>
      <c r="C788" s="6" t="s">
        <v>2723</v>
      </c>
    </row>
    <row r="789" spans="1:3" ht="39" thickBot="1">
      <c r="A789" s="145" t="s">
        <v>2724</v>
      </c>
      <c r="B789" s="5" t="s">
        <v>2698</v>
      </c>
      <c r="C789" s="6" t="s">
        <v>2725</v>
      </c>
    </row>
    <row r="790" spans="1:3" ht="26.25" thickBot="1">
      <c r="A790" s="145" t="s">
        <v>2726</v>
      </c>
      <c r="B790" s="5" t="s">
        <v>2698</v>
      </c>
      <c r="C790" s="6" t="s">
        <v>2727</v>
      </c>
    </row>
    <row r="791" spans="1:3" ht="26.25" thickBot="1">
      <c r="A791" s="145" t="s">
        <v>2728</v>
      </c>
      <c r="B791" s="5" t="s">
        <v>2698</v>
      </c>
      <c r="C791" s="6" t="s">
        <v>2729</v>
      </c>
    </row>
    <row r="792" spans="1:3" ht="26.25" thickBot="1">
      <c r="A792" s="145" t="s">
        <v>2730</v>
      </c>
      <c r="B792" s="5" t="s">
        <v>2698</v>
      </c>
      <c r="C792" s="6" t="s">
        <v>2731</v>
      </c>
    </row>
    <row r="793" spans="1:3" ht="26.25" thickBot="1">
      <c r="A793" s="145" t="s">
        <v>2732</v>
      </c>
      <c r="B793" s="5" t="s">
        <v>1566</v>
      </c>
      <c r="C793" s="6" t="s">
        <v>2733</v>
      </c>
    </row>
    <row r="794" spans="1:3" ht="17.25" thickBot="1">
      <c r="A794" s="145" t="s">
        <v>2700</v>
      </c>
      <c r="B794" s="5" t="s">
        <v>2698</v>
      </c>
      <c r="C794" s="5" t="s">
        <v>2734</v>
      </c>
    </row>
    <row r="795" spans="1:3">
      <c r="A795" s="176" t="s">
        <v>2735</v>
      </c>
      <c r="B795" s="8" t="s">
        <v>2736</v>
      </c>
      <c r="C795" s="8" t="s">
        <v>2738</v>
      </c>
    </row>
    <row r="796" spans="1:3">
      <c r="A796" s="178"/>
      <c r="B796" s="8" t="s">
        <v>2737</v>
      </c>
      <c r="C796" s="8" t="s">
        <v>2739</v>
      </c>
    </row>
    <row r="797" spans="1:3">
      <c r="A797" s="178"/>
      <c r="B797" s="154"/>
      <c r="C797" s="8" t="s">
        <v>2740</v>
      </c>
    </row>
    <row r="798" spans="1:3">
      <c r="A798" s="178"/>
      <c r="B798" s="154"/>
      <c r="C798" s="8" t="s">
        <v>2741</v>
      </c>
    </row>
    <row r="799" spans="1:3" ht="17.25" thickBot="1">
      <c r="A799" s="177"/>
      <c r="B799" s="136"/>
      <c r="C799" s="5" t="s">
        <v>2742</v>
      </c>
    </row>
    <row r="800" spans="1:3">
      <c r="B800" s="114" t="s">
        <v>2743</v>
      </c>
      <c r="C800" s="114" t="s">
        <v>2744</v>
      </c>
    </row>
    <row r="801" spans="1:3">
      <c r="A801" s="115" t="s">
        <v>2745</v>
      </c>
      <c r="B801" s="115" t="s">
        <v>2746</v>
      </c>
    </row>
    <row r="802" spans="1:3" ht="17.25" thickBot="1">
      <c r="A802" s="126" t="s">
        <v>1874</v>
      </c>
    </row>
    <row r="803" spans="1:3" ht="17.25" thickBot="1">
      <c r="A803" s="102" t="s">
        <v>1591</v>
      </c>
      <c r="B803" s="103" t="s">
        <v>1592</v>
      </c>
      <c r="C803" s="103" t="s">
        <v>1593</v>
      </c>
    </row>
    <row r="804" spans="1:3">
      <c r="A804" s="92" t="s">
        <v>2747</v>
      </c>
      <c r="B804" s="8" t="s">
        <v>1620</v>
      </c>
      <c r="C804" s="91" t="s">
        <v>2748</v>
      </c>
    </row>
    <row r="805" spans="1:3" ht="17.25" thickBot="1">
      <c r="A805" s="98"/>
      <c r="B805" s="5" t="s">
        <v>1550</v>
      </c>
      <c r="C805" s="97"/>
    </row>
    <row r="806" spans="1:3">
      <c r="A806" s="92" t="s">
        <v>2749</v>
      </c>
      <c r="B806" s="8" t="s">
        <v>1620</v>
      </c>
      <c r="C806" s="91" t="s">
        <v>2750</v>
      </c>
    </row>
    <row r="807" spans="1:3" ht="17.25" thickBot="1">
      <c r="A807" s="98"/>
      <c r="B807" s="5" t="s">
        <v>1550</v>
      </c>
      <c r="C807" s="97"/>
    </row>
    <row r="808" spans="1:3" ht="27.75" thickBot="1">
      <c r="A808" s="4" t="s">
        <v>2752</v>
      </c>
      <c r="B808" s="5" t="s">
        <v>1608</v>
      </c>
      <c r="C808" s="6" t="s">
        <v>2753</v>
      </c>
    </row>
    <row r="809" spans="1:3" ht="17.25" thickBot="1">
      <c r="A809" s="4" t="s">
        <v>1634</v>
      </c>
      <c r="B809" s="5" t="s">
        <v>1603</v>
      </c>
      <c r="C809" s="5" t="s">
        <v>2754</v>
      </c>
    </row>
    <row r="810" spans="1:3" ht="17.25" thickBot="1">
      <c r="A810" s="4" t="s">
        <v>2755</v>
      </c>
      <c r="B810" s="6" t="s">
        <v>1561</v>
      </c>
      <c r="C810" s="6" t="s">
        <v>2756</v>
      </c>
    </row>
    <row r="811" spans="1:3" ht="26.25" thickBot="1">
      <c r="A811" s="4" t="s">
        <v>2757</v>
      </c>
      <c r="B811" s="5" t="s">
        <v>1608</v>
      </c>
      <c r="C811" s="6" t="s">
        <v>2758</v>
      </c>
    </row>
    <row r="812" spans="1:3" ht="17.25" thickBot="1">
      <c r="A812" s="4" t="s">
        <v>2759</v>
      </c>
      <c r="B812" s="5" t="s">
        <v>1566</v>
      </c>
      <c r="C812" s="6" t="s">
        <v>2760</v>
      </c>
    </row>
    <row r="813" spans="1:3" ht="27.75" thickBot="1">
      <c r="A813" s="4" t="s">
        <v>2761</v>
      </c>
      <c r="B813" s="5" t="s">
        <v>1566</v>
      </c>
      <c r="C813" s="6" t="s">
        <v>2762</v>
      </c>
    </row>
    <row r="814" spans="1:3" ht="26.25" thickBot="1">
      <c r="A814" s="4" t="s">
        <v>2763</v>
      </c>
      <c r="B814" s="5" t="s">
        <v>1566</v>
      </c>
      <c r="C814" s="6" t="s">
        <v>2764</v>
      </c>
    </row>
    <row r="815" spans="1:3">
      <c r="A815" s="92" t="s">
        <v>2765</v>
      </c>
      <c r="B815" s="91" t="s">
        <v>1620</v>
      </c>
      <c r="C815" s="7" t="s">
        <v>2766</v>
      </c>
    </row>
    <row r="816" spans="1:3" ht="17.25" thickBot="1">
      <c r="A816" s="98"/>
      <c r="B816" s="97"/>
      <c r="C816" s="5" t="s">
        <v>2767</v>
      </c>
    </row>
    <row r="817" spans="1:3" ht="25.5">
      <c r="A817" s="96" t="s">
        <v>2768</v>
      </c>
      <c r="B817" s="91" t="s">
        <v>1620</v>
      </c>
      <c r="C817" s="91" t="s">
        <v>2770</v>
      </c>
    </row>
    <row r="818" spans="1:3" ht="17.25" thickBot="1">
      <c r="A818" s="4" t="s">
        <v>2769</v>
      </c>
      <c r="B818" s="97"/>
      <c r="C818" s="97"/>
    </row>
    <row r="819" spans="1:3" ht="17.25" thickBot="1">
      <c r="A819" s="4" t="s">
        <v>2771</v>
      </c>
      <c r="B819" s="5" t="s">
        <v>1608</v>
      </c>
      <c r="C819" s="6" t="s">
        <v>2772</v>
      </c>
    </row>
    <row r="820" spans="1:3">
      <c r="A820" s="92" t="s">
        <v>2773</v>
      </c>
      <c r="B820" s="7" t="s">
        <v>2116</v>
      </c>
      <c r="C820" s="91" t="s">
        <v>2774</v>
      </c>
    </row>
    <row r="821" spans="1:3" ht="17.25" thickBot="1">
      <c r="A821" s="98"/>
      <c r="B821" s="5" t="s">
        <v>2607</v>
      </c>
      <c r="C821" s="97"/>
    </row>
    <row r="822" spans="1:3" ht="17.25" thickBot="1">
      <c r="A822" s="4" t="s">
        <v>2775</v>
      </c>
      <c r="B822" s="5" t="s">
        <v>1620</v>
      </c>
      <c r="C822" s="6" t="s">
        <v>2776</v>
      </c>
    </row>
    <row r="823" spans="1:3">
      <c r="A823" s="92" t="s">
        <v>2777</v>
      </c>
      <c r="B823" s="91" t="s">
        <v>1620</v>
      </c>
      <c r="C823" s="7" t="s">
        <v>2778</v>
      </c>
    </row>
    <row r="824" spans="1:3">
      <c r="A824" s="171"/>
      <c r="B824" s="170"/>
      <c r="C824" s="137" t="s">
        <v>2779</v>
      </c>
    </row>
    <row r="825" spans="1:3">
      <c r="A825" s="171"/>
      <c r="B825" s="170"/>
      <c r="C825" s="7" t="s">
        <v>2780</v>
      </c>
    </row>
    <row r="826" spans="1:3" ht="17.25" thickBot="1">
      <c r="A826" s="98"/>
      <c r="B826" s="97"/>
      <c r="C826" s="6" t="s">
        <v>2781</v>
      </c>
    </row>
    <row r="827" spans="1:3" ht="17.25" thickBot="1">
      <c r="A827" s="4" t="s">
        <v>1740</v>
      </c>
      <c r="B827" s="5" t="s">
        <v>0</v>
      </c>
      <c r="C827" s="6" t="s">
        <v>2782</v>
      </c>
    </row>
    <row r="828" spans="1:3" ht="17.25" thickBot="1">
      <c r="A828" s="4" t="s">
        <v>2783</v>
      </c>
      <c r="B828" s="5" t="s">
        <v>0</v>
      </c>
      <c r="C828" s="6" t="s">
        <v>2784</v>
      </c>
    </row>
    <row r="829" spans="1:3" ht="17.25" thickBot="1">
      <c r="A829" s="4" t="s">
        <v>2785</v>
      </c>
      <c r="B829" s="5" t="s">
        <v>0</v>
      </c>
      <c r="C829" s="6" t="s">
        <v>2786</v>
      </c>
    </row>
    <row r="830" spans="1:3">
      <c r="A830" s="92" t="s">
        <v>2787</v>
      </c>
      <c r="B830" s="91" t="s">
        <v>1611</v>
      </c>
      <c r="C830" s="7" t="s">
        <v>2788</v>
      </c>
    </row>
    <row r="831" spans="1:3" ht="17.25" thickBot="1">
      <c r="A831" s="98"/>
      <c r="B831" s="97"/>
      <c r="C831" s="5" t="s">
        <v>2789</v>
      </c>
    </row>
    <row r="832" spans="1:3">
      <c r="A832" s="92" t="s">
        <v>2790</v>
      </c>
      <c r="B832" s="91" t="s">
        <v>2791</v>
      </c>
      <c r="C832" s="7" t="s">
        <v>2792</v>
      </c>
    </row>
    <row r="833" spans="1:3">
      <c r="A833" s="171"/>
      <c r="B833" s="170"/>
      <c r="C833" s="155" t="s">
        <v>2793</v>
      </c>
    </row>
    <row r="834" spans="1:3" ht="17.25" thickBot="1">
      <c r="A834" s="98"/>
      <c r="B834" s="97"/>
      <c r="C834" s="5" t="s">
        <v>2794</v>
      </c>
    </row>
    <row r="835" spans="1:3" ht="26.25" thickBot="1">
      <c r="A835" s="4" t="s">
        <v>2795</v>
      </c>
      <c r="B835" s="5" t="s">
        <v>1608</v>
      </c>
      <c r="C835" s="6" t="s">
        <v>2796</v>
      </c>
    </row>
    <row r="836" spans="1:3" ht="26.25" thickBot="1">
      <c r="A836" s="4" t="s">
        <v>2797</v>
      </c>
      <c r="B836" s="5" t="s">
        <v>1608</v>
      </c>
      <c r="C836" s="6" t="s">
        <v>2798</v>
      </c>
    </row>
    <row r="837" spans="1:3">
      <c r="A837" s="92" t="s">
        <v>2799</v>
      </c>
      <c r="B837" s="91" t="s">
        <v>1608</v>
      </c>
      <c r="C837" s="7" t="s">
        <v>2800</v>
      </c>
    </row>
    <row r="838" spans="1:3" ht="26.25" thickBot="1">
      <c r="A838" s="98"/>
      <c r="B838" s="97"/>
      <c r="C838" s="156" t="s">
        <v>2801</v>
      </c>
    </row>
    <row r="839" spans="1:3" ht="26.25" thickBot="1">
      <c r="A839" s="4" t="s">
        <v>2802</v>
      </c>
      <c r="B839" s="5" t="s">
        <v>1608</v>
      </c>
      <c r="C839" s="6" t="s">
        <v>2803</v>
      </c>
    </row>
    <row r="840" spans="1:3" ht="26.25" thickBot="1">
      <c r="A840" s="4" t="s">
        <v>2804</v>
      </c>
      <c r="B840" s="5" t="s">
        <v>1608</v>
      </c>
      <c r="C840" s="6" t="s">
        <v>2805</v>
      </c>
    </row>
    <row r="841" spans="1:3" ht="26.25" thickBot="1">
      <c r="A841" s="4" t="s">
        <v>2806</v>
      </c>
      <c r="B841" s="5" t="s">
        <v>1608</v>
      </c>
      <c r="C841" s="6" t="s">
        <v>2807</v>
      </c>
    </row>
    <row r="842" spans="1:3" ht="26.25" thickBot="1">
      <c r="A842" s="4" t="s">
        <v>2808</v>
      </c>
      <c r="B842" s="5" t="s">
        <v>1608</v>
      </c>
      <c r="C842" s="6" t="s">
        <v>2809</v>
      </c>
    </row>
    <row r="843" spans="1:3" ht="17.25" thickBot="1">
      <c r="A843" s="4" t="s">
        <v>2810</v>
      </c>
      <c r="B843" s="5" t="s">
        <v>1608</v>
      </c>
      <c r="C843" s="6" t="s">
        <v>2811</v>
      </c>
    </row>
    <row r="844" spans="1:3" ht="17.25" thickBot="1">
      <c r="A844" s="4" t="s">
        <v>2812</v>
      </c>
      <c r="B844" s="5" t="s">
        <v>1608</v>
      </c>
      <c r="C844" s="6" t="s">
        <v>2813</v>
      </c>
    </row>
    <row r="845" spans="1:3">
      <c r="A845" s="92" t="s">
        <v>2814</v>
      </c>
      <c r="B845" s="91" t="s">
        <v>1608</v>
      </c>
      <c r="C845" s="7" t="s">
        <v>2815</v>
      </c>
    </row>
    <row r="846" spans="1:3" ht="17.25" thickBot="1">
      <c r="A846" s="98"/>
      <c r="B846" s="97"/>
      <c r="C846" s="100" t="s">
        <v>2816</v>
      </c>
    </row>
    <row r="847" spans="1:3" ht="17.25" thickBot="1">
      <c r="A847" s="4" t="s">
        <v>2817</v>
      </c>
      <c r="B847" s="5" t="s">
        <v>1608</v>
      </c>
      <c r="C847" s="6" t="s">
        <v>2818</v>
      </c>
    </row>
    <row r="848" spans="1:3" ht="26.25" thickBot="1">
      <c r="A848" s="4" t="s">
        <v>2819</v>
      </c>
      <c r="B848" s="5" t="s">
        <v>1608</v>
      </c>
      <c r="C848" s="6" t="s">
        <v>2820</v>
      </c>
    </row>
    <row r="849" spans="1:3" ht="27.75" thickBot="1">
      <c r="A849" s="4" t="s">
        <v>2821</v>
      </c>
      <c r="B849" s="5" t="s">
        <v>1608</v>
      </c>
      <c r="C849" s="6" t="s">
        <v>2822</v>
      </c>
    </row>
    <row r="850" spans="1:3" ht="26.25" thickBot="1">
      <c r="A850" s="4" t="s">
        <v>2823</v>
      </c>
      <c r="B850" s="5" t="s">
        <v>1608</v>
      </c>
      <c r="C850" s="6" t="s">
        <v>2824</v>
      </c>
    </row>
    <row r="851" spans="1:3" ht="26.25" thickBot="1">
      <c r="A851" s="4" t="s">
        <v>2825</v>
      </c>
      <c r="B851" s="5" t="s">
        <v>1608</v>
      </c>
      <c r="C851" s="6" t="s">
        <v>2826</v>
      </c>
    </row>
    <row r="852" spans="1:3">
      <c r="B852" s="114" t="s">
        <v>2827</v>
      </c>
      <c r="C852" s="114" t="s">
        <v>2828</v>
      </c>
    </row>
    <row r="853" spans="1:3">
      <c r="A853" s="126" t="s">
        <v>2829</v>
      </c>
    </row>
    <row r="854" spans="1:3" ht="17.25" thickBot="1">
      <c r="A854" s="126" t="s">
        <v>1874</v>
      </c>
    </row>
    <row r="855" spans="1:3" ht="17.25" thickBot="1">
      <c r="A855" s="102" t="s">
        <v>1591</v>
      </c>
      <c r="B855" s="103" t="s">
        <v>1635</v>
      </c>
      <c r="C855" s="103" t="s">
        <v>1593</v>
      </c>
    </row>
    <row r="856" spans="1:3">
      <c r="A856" s="92" t="s">
        <v>1677</v>
      </c>
      <c r="B856" s="8" t="s">
        <v>1620</v>
      </c>
      <c r="C856" s="91" t="s">
        <v>2830</v>
      </c>
    </row>
    <row r="857" spans="1:3" ht="17.25" thickBot="1">
      <c r="A857" s="98"/>
      <c r="B857" s="5" t="s">
        <v>1550</v>
      </c>
      <c r="C857" s="97"/>
    </row>
    <row r="858" spans="1:3" ht="17.25" thickBot="1">
      <c r="A858" s="4" t="s">
        <v>1674</v>
      </c>
      <c r="B858" s="5" t="s">
        <v>2831</v>
      </c>
      <c r="C858" s="5" t="s">
        <v>2832</v>
      </c>
    </row>
    <row r="859" spans="1:3" ht="17.25" thickBot="1">
      <c r="A859" s="4" t="s">
        <v>2833</v>
      </c>
      <c r="B859" s="5" t="s">
        <v>1559</v>
      </c>
      <c r="C859" s="5" t="s">
        <v>2834</v>
      </c>
    </row>
    <row r="860" spans="1:3" ht="17.25" thickBot="1">
      <c r="A860" s="4" t="s">
        <v>2835</v>
      </c>
      <c r="B860" s="5" t="s">
        <v>1559</v>
      </c>
      <c r="C860" s="5" t="s">
        <v>2836</v>
      </c>
    </row>
    <row r="861" spans="1:3">
      <c r="B861" s="114" t="s">
        <v>2837</v>
      </c>
      <c r="C861" s="114" t="s">
        <v>2838</v>
      </c>
    </row>
    <row r="862" spans="1:3">
      <c r="A862" s="126" t="s">
        <v>2751</v>
      </c>
    </row>
    <row r="863" spans="1:3" ht="26.25" thickBot="1">
      <c r="A863" s="105" t="s">
        <v>1689</v>
      </c>
    </row>
    <row r="864" spans="1:3" ht="17.25" thickBot="1">
      <c r="A864" s="102" t="s">
        <v>1591</v>
      </c>
      <c r="B864" s="103" t="s">
        <v>1592</v>
      </c>
      <c r="C864" s="103" t="s">
        <v>1593</v>
      </c>
    </row>
    <row r="865" spans="1:3">
      <c r="A865" s="96" t="s">
        <v>2839</v>
      </c>
      <c r="B865" s="91" t="s">
        <v>1609</v>
      </c>
      <c r="C865" s="91" t="s">
        <v>2841</v>
      </c>
    </row>
    <row r="866" spans="1:3" ht="17.25" thickBot="1">
      <c r="A866" s="4" t="s">
        <v>2840</v>
      </c>
      <c r="B866" s="97"/>
      <c r="C866" s="97"/>
    </row>
    <row r="867" spans="1:3" ht="17.25" thickBot="1">
      <c r="A867" s="4" t="s">
        <v>1634</v>
      </c>
      <c r="B867" s="5" t="s">
        <v>1603</v>
      </c>
      <c r="C867" s="5" t="s">
        <v>2842</v>
      </c>
    </row>
    <row r="868" spans="1:3">
      <c r="B868" s="114" t="s">
        <v>2843</v>
      </c>
      <c r="C868" s="114" t="s">
        <v>2844</v>
      </c>
    </row>
    <row r="870" spans="1:3">
      <c r="A870" s="157" t="s">
        <v>2845</v>
      </c>
    </row>
    <row r="871" spans="1:3" ht="26.25" thickBot="1">
      <c r="A871" s="105" t="s">
        <v>1694</v>
      </c>
    </row>
    <row r="872" spans="1:3" ht="17.25" thickBot="1">
      <c r="A872" s="102" t="s">
        <v>1591</v>
      </c>
      <c r="B872" s="103" t="s">
        <v>1592</v>
      </c>
      <c r="C872" s="103" t="s">
        <v>1593</v>
      </c>
    </row>
    <row r="873" spans="1:3" ht="26.25" thickBot="1">
      <c r="A873" s="4" t="s">
        <v>2846</v>
      </c>
      <c r="B873" s="5" t="s">
        <v>1620</v>
      </c>
      <c r="C873" s="6" t="s">
        <v>2847</v>
      </c>
    </row>
    <row r="874" spans="1:3" ht="26.25" thickBot="1">
      <c r="A874" s="4" t="s">
        <v>2848</v>
      </c>
      <c r="B874" s="5" t="s">
        <v>1620</v>
      </c>
      <c r="C874" s="6" t="s">
        <v>2849</v>
      </c>
    </row>
    <row r="875" spans="1:3" ht="26.25" thickBot="1">
      <c r="A875" s="4" t="s">
        <v>2850</v>
      </c>
      <c r="B875" s="5" t="s">
        <v>1620</v>
      </c>
      <c r="C875" s="6" t="s">
        <v>2851</v>
      </c>
    </row>
    <row r="876" spans="1:3" ht="26.25" thickBot="1">
      <c r="A876" s="4" t="s">
        <v>2852</v>
      </c>
      <c r="B876" s="5" t="s">
        <v>1620</v>
      </c>
      <c r="C876" s="6" t="s">
        <v>2853</v>
      </c>
    </row>
    <row r="877" spans="1:3" ht="26.25" thickBot="1">
      <c r="A877" s="4" t="s">
        <v>2854</v>
      </c>
      <c r="B877" s="5" t="s">
        <v>1620</v>
      </c>
      <c r="C877" s="6" t="s">
        <v>2855</v>
      </c>
    </row>
    <row r="878" spans="1:3" ht="26.25" thickBot="1">
      <c r="A878" s="4" t="s">
        <v>2856</v>
      </c>
      <c r="B878" s="5" t="s">
        <v>1620</v>
      </c>
      <c r="C878" s="6" t="s">
        <v>2857</v>
      </c>
    </row>
    <row r="879" spans="1:3" ht="26.25" thickBot="1">
      <c r="A879" s="4" t="s">
        <v>2858</v>
      </c>
      <c r="B879" s="5" t="s">
        <v>1620</v>
      </c>
      <c r="C879" s="6" t="s">
        <v>2859</v>
      </c>
    </row>
    <row r="880" spans="1:3">
      <c r="B880" s="114" t="s">
        <v>2860</v>
      </c>
      <c r="C880" s="114" t="s">
        <v>2845</v>
      </c>
    </row>
    <row r="881" spans="1:3">
      <c r="B881" s="114"/>
    </row>
    <row r="882" spans="1:3">
      <c r="B882" s="114" t="s">
        <v>2861</v>
      </c>
      <c r="C882" s="114" t="s">
        <v>2862</v>
      </c>
    </row>
    <row r="883" spans="1:3">
      <c r="A883" s="115" t="s">
        <v>2863</v>
      </c>
      <c r="B883" s="115" t="s">
        <v>2864</v>
      </c>
    </row>
    <row r="884" spans="1:3" ht="26.25" thickBot="1">
      <c r="A884" s="105" t="s">
        <v>1716</v>
      </c>
    </row>
    <row r="885" spans="1:3" ht="17.25" thickBot="1">
      <c r="A885" s="102" t="s">
        <v>1591</v>
      </c>
      <c r="B885" s="103" t="s">
        <v>1592</v>
      </c>
      <c r="C885" s="103" t="s">
        <v>1593</v>
      </c>
    </row>
    <row r="886" spans="1:3" ht="17.25" thickBot="1">
      <c r="A886" s="4" t="s">
        <v>2787</v>
      </c>
      <c r="B886" s="5" t="s">
        <v>1611</v>
      </c>
      <c r="C886" s="5" t="s">
        <v>2865</v>
      </c>
    </row>
    <row r="887" spans="1:3">
      <c r="B887" s="114" t="s">
        <v>2866</v>
      </c>
      <c r="C887" s="114" t="s">
        <v>2867</v>
      </c>
    </row>
    <row r="888" spans="1:3">
      <c r="B888" s="114"/>
    </row>
    <row r="889" spans="1:3">
      <c r="B889" s="114" t="s">
        <v>2868</v>
      </c>
      <c r="C889" s="114" t="s">
        <v>2869</v>
      </c>
    </row>
    <row r="890" spans="1:3" ht="39" thickBot="1">
      <c r="A890" s="106" t="s">
        <v>2870</v>
      </c>
    </row>
    <row r="891" spans="1:3" ht="17.25" thickBot="1">
      <c r="A891" s="102" t="s">
        <v>1591</v>
      </c>
      <c r="B891" s="103" t="s">
        <v>1592</v>
      </c>
      <c r="C891" s="103" t="s">
        <v>1593</v>
      </c>
    </row>
    <row r="892" spans="1:3" ht="25.5">
      <c r="A892" s="92" t="s">
        <v>1728</v>
      </c>
      <c r="B892" s="91" t="s">
        <v>1615</v>
      </c>
      <c r="C892" s="7" t="s">
        <v>2871</v>
      </c>
    </row>
    <row r="893" spans="1:3" ht="17.25" thickBot="1">
      <c r="A893" s="98"/>
      <c r="B893" s="97"/>
      <c r="C893" s="5" t="s">
        <v>2872</v>
      </c>
    </row>
    <row r="894" spans="1:3">
      <c r="B894" s="114" t="s">
        <v>2873</v>
      </c>
      <c r="C894" s="114" t="s">
        <v>2874</v>
      </c>
    </row>
    <row r="895" spans="1:3">
      <c r="B895" s="114"/>
    </row>
    <row r="896" spans="1:3">
      <c r="B896" s="114" t="s">
        <v>2875</v>
      </c>
      <c r="C896" s="114" t="s">
        <v>2876</v>
      </c>
    </row>
    <row r="897" spans="1:3">
      <c r="A897" s="115" t="s">
        <v>2877</v>
      </c>
      <c r="B897" s="115" t="s">
        <v>2878</v>
      </c>
    </row>
    <row r="898" spans="1:3" ht="17.25" thickBot="1">
      <c r="A898" s="126" t="s">
        <v>1874</v>
      </c>
    </row>
    <row r="899" spans="1:3" ht="17.25" thickBot="1">
      <c r="A899" s="102" t="s">
        <v>1591</v>
      </c>
      <c r="B899" s="103" t="s">
        <v>1635</v>
      </c>
      <c r="C899" s="103" t="s">
        <v>1593</v>
      </c>
    </row>
    <row r="900" spans="1:3" ht="17.25" thickBot="1">
      <c r="A900" s="4" t="s">
        <v>2111</v>
      </c>
      <c r="B900" s="5" t="s">
        <v>1559</v>
      </c>
      <c r="C900" s="6" t="s">
        <v>2879</v>
      </c>
    </row>
    <row r="901" spans="1:3">
      <c r="A901" s="92" t="s">
        <v>2002</v>
      </c>
      <c r="B901" s="8" t="s">
        <v>2880</v>
      </c>
      <c r="C901" s="91" t="s">
        <v>2881</v>
      </c>
    </row>
    <row r="902" spans="1:3" ht="17.25" thickBot="1">
      <c r="A902" s="98"/>
      <c r="B902" s="5" t="s">
        <v>1550</v>
      </c>
      <c r="C902" s="97"/>
    </row>
    <row r="903" spans="1:3">
      <c r="A903" s="92" t="s">
        <v>2115</v>
      </c>
      <c r="B903" s="8" t="s">
        <v>1603</v>
      </c>
      <c r="C903" s="91" t="s">
        <v>2117</v>
      </c>
    </row>
    <row r="904" spans="1:3" ht="17.25" thickBot="1">
      <c r="A904" s="98"/>
      <c r="B904" s="6" t="s">
        <v>2882</v>
      </c>
      <c r="C904" s="97"/>
    </row>
    <row r="905" spans="1:3">
      <c r="A905" s="92" t="s">
        <v>2118</v>
      </c>
      <c r="B905" s="8" t="s">
        <v>2883</v>
      </c>
      <c r="C905" s="91" t="s">
        <v>2885</v>
      </c>
    </row>
    <row r="906" spans="1:3" ht="17.25" thickBot="1">
      <c r="A906" s="98"/>
      <c r="B906" s="5" t="s">
        <v>2884</v>
      </c>
      <c r="C906" s="97"/>
    </row>
    <row r="907" spans="1:3" ht="17.25" thickBot="1">
      <c r="A907" s="4" t="s">
        <v>2886</v>
      </c>
      <c r="B907" s="5" t="s">
        <v>2887</v>
      </c>
      <c r="C907" s="5" t="s">
        <v>2888</v>
      </c>
    </row>
    <row r="908" spans="1:3">
      <c r="A908" s="92" t="s">
        <v>2121</v>
      </c>
      <c r="B908" s="8" t="s">
        <v>1603</v>
      </c>
      <c r="C908" s="91" t="s">
        <v>2122</v>
      </c>
    </row>
    <row r="909" spans="1:3" ht="17.25" thickBot="1">
      <c r="A909" s="98"/>
      <c r="B909" s="6" t="s">
        <v>2882</v>
      </c>
      <c r="C909" s="97"/>
    </row>
    <row r="910" spans="1:3">
      <c r="A910" s="92" t="s">
        <v>2123</v>
      </c>
      <c r="B910" s="8" t="s">
        <v>2889</v>
      </c>
      <c r="C910" s="91" t="s">
        <v>2890</v>
      </c>
    </row>
    <row r="911" spans="1:3" ht="17.25" thickBot="1">
      <c r="A911" s="98"/>
      <c r="B911" s="5" t="s">
        <v>2884</v>
      </c>
      <c r="C911" s="97"/>
    </row>
    <row r="912" spans="1:3">
      <c r="A912" s="92" t="s">
        <v>2132</v>
      </c>
      <c r="B912" s="8" t="s">
        <v>0</v>
      </c>
      <c r="C912" s="91" t="s">
        <v>2891</v>
      </c>
    </row>
    <row r="913" spans="1:3" ht="17.25" thickBot="1">
      <c r="A913" s="98"/>
      <c r="B913" s="5" t="s">
        <v>2133</v>
      </c>
      <c r="C913" s="97"/>
    </row>
    <row r="914" spans="1:3" ht="26.25" thickBot="1">
      <c r="A914" s="4" t="s">
        <v>2892</v>
      </c>
      <c r="B914" s="5" t="s">
        <v>1559</v>
      </c>
      <c r="C914" s="6" t="s">
        <v>2893</v>
      </c>
    </row>
    <row r="915" spans="1:3">
      <c r="B915" s="114" t="s">
        <v>2894</v>
      </c>
      <c r="C915" s="114" t="s">
        <v>2895</v>
      </c>
    </row>
    <row r="916" spans="1:3" ht="17.25" thickBot="1">
      <c r="A916" s="126" t="s">
        <v>1646</v>
      </c>
    </row>
    <row r="917" spans="1:3" ht="17.25" thickBot="1">
      <c r="A917" s="102" t="s">
        <v>1591</v>
      </c>
      <c r="B917" s="103" t="s">
        <v>1592</v>
      </c>
      <c r="C917" s="103" t="s">
        <v>1593</v>
      </c>
    </row>
    <row r="918" spans="1:3" ht="17.25" thickBot="1">
      <c r="A918" s="4" t="s">
        <v>2138</v>
      </c>
      <c r="B918" s="5" t="s">
        <v>1632</v>
      </c>
      <c r="C918" s="6" t="s">
        <v>2896</v>
      </c>
    </row>
    <row r="919" spans="1:3" ht="38.25">
      <c r="A919" s="96" t="s">
        <v>2897</v>
      </c>
      <c r="B919" s="91" t="s">
        <v>1632</v>
      </c>
      <c r="C919" s="91" t="s">
        <v>2899</v>
      </c>
    </row>
    <row r="920" spans="1:3" ht="17.25" thickBot="1">
      <c r="A920" s="4" t="s">
        <v>2898</v>
      </c>
      <c r="B920" s="97"/>
      <c r="C920" s="97"/>
    </row>
    <row r="921" spans="1:3" ht="17.25" thickBot="1">
      <c r="A921" s="4" t="s">
        <v>1903</v>
      </c>
      <c r="B921" s="5" t="s">
        <v>1603</v>
      </c>
      <c r="C921" s="5" t="s">
        <v>2900</v>
      </c>
    </row>
    <row r="922" spans="1:3" ht="17.25" thickBot="1">
      <c r="A922" s="4" t="s">
        <v>1912</v>
      </c>
      <c r="B922" s="5" t="s">
        <v>1603</v>
      </c>
      <c r="C922" s="5" t="s">
        <v>2146</v>
      </c>
    </row>
    <row r="923" spans="1:3" ht="17.25" thickBot="1">
      <c r="A923" s="4" t="s">
        <v>1915</v>
      </c>
      <c r="B923" s="5" t="s">
        <v>1624</v>
      </c>
      <c r="C923" s="5" t="s">
        <v>2014</v>
      </c>
    </row>
    <row r="924" spans="1:3" ht="27.75" thickBot="1">
      <c r="A924" s="4" t="s">
        <v>2901</v>
      </c>
      <c r="B924" s="5" t="s">
        <v>1632</v>
      </c>
      <c r="C924" s="6" t="s">
        <v>2902</v>
      </c>
    </row>
    <row r="925" spans="1:3" ht="27.75" thickBot="1">
      <c r="A925" s="4" t="s">
        <v>2903</v>
      </c>
      <c r="B925" s="5" t="s">
        <v>1632</v>
      </c>
      <c r="C925" s="6" t="s">
        <v>2904</v>
      </c>
    </row>
    <row r="926" spans="1:3">
      <c r="A926" s="92" t="s">
        <v>2905</v>
      </c>
      <c r="B926" s="91" t="s">
        <v>2906</v>
      </c>
      <c r="C926" s="8" t="s">
        <v>2907</v>
      </c>
    </row>
    <row r="927" spans="1:3" ht="17.25" thickBot="1">
      <c r="A927" s="98"/>
      <c r="B927" s="97"/>
      <c r="C927" s="5" t="s">
        <v>2908</v>
      </c>
    </row>
    <row r="928" spans="1:3">
      <c r="A928" s="92" t="s">
        <v>2909</v>
      </c>
      <c r="B928" s="91" t="s">
        <v>2906</v>
      </c>
      <c r="C928" s="8" t="s">
        <v>2910</v>
      </c>
    </row>
    <row r="929" spans="1:3" ht="17.25" thickBot="1">
      <c r="A929" s="98"/>
      <c r="B929" s="97"/>
      <c r="C929" s="6" t="s">
        <v>2911</v>
      </c>
    </row>
    <row r="930" spans="1:3" ht="17.25" thickBot="1">
      <c r="A930" s="4" t="s">
        <v>1775</v>
      </c>
      <c r="B930" s="5" t="s">
        <v>1632</v>
      </c>
      <c r="C930" s="5" t="s">
        <v>2912</v>
      </c>
    </row>
    <row r="931" spans="1:3" ht="17.25" thickBot="1">
      <c r="A931" s="4" t="s">
        <v>2143</v>
      </c>
      <c r="B931" s="5" t="s">
        <v>1632</v>
      </c>
      <c r="C931" s="5" t="s">
        <v>2913</v>
      </c>
    </row>
    <row r="932" spans="1:3" ht="17.25" thickBot="1">
      <c r="A932" s="4" t="s">
        <v>2914</v>
      </c>
      <c r="B932" s="5" t="s">
        <v>1632</v>
      </c>
      <c r="C932" s="6" t="s">
        <v>2156</v>
      </c>
    </row>
    <row r="933" spans="1:3" ht="17.25" thickBot="1">
      <c r="A933" s="4" t="s">
        <v>2017</v>
      </c>
      <c r="B933" s="5" t="s">
        <v>1632</v>
      </c>
      <c r="C933" s="6" t="s">
        <v>2915</v>
      </c>
    </row>
    <row r="934" spans="1:3" ht="17.25" thickBot="1">
      <c r="A934" s="109"/>
    </row>
    <row r="935" spans="1:3" ht="17.25" thickBot="1">
      <c r="A935" s="102" t="s">
        <v>1591</v>
      </c>
      <c r="B935" s="103" t="s">
        <v>1592</v>
      </c>
      <c r="C935" s="103" t="s">
        <v>1593</v>
      </c>
    </row>
    <row r="936" spans="1:3" ht="17.25" thickBot="1">
      <c r="A936" s="4" t="s">
        <v>2019</v>
      </c>
      <c r="B936" s="5" t="s">
        <v>1625</v>
      </c>
      <c r="C936" s="6" t="s">
        <v>2160</v>
      </c>
    </row>
    <row r="937" spans="1:3" ht="17.25" thickBot="1">
      <c r="A937" s="4" t="s">
        <v>2023</v>
      </c>
      <c r="B937" s="5" t="s">
        <v>1632</v>
      </c>
      <c r="C937" s="5" t="s">
        <v>2158</v>
      </c>
    </row>
    <row r="938" spans="1:3" ht="17.25" thickBot="1">
      <c r="A938" s="4" t="s">
        <v>1922</v>
      </c>
      <c r="B938" s="5" t="s">
        <v>1566</v>
      </c>
      <c r="C938" s="5" t="s">
        <v>2161</v>
      </c>
    </row>
    <row r="939" spans="1:3" ht="17.25" thickBot="1">
      <c r="A939" s="4" t="s">
        <v>1924</v>
      </c>
      <c r="B939" s="5" t="s">
        <v>1603</v>
      </c>
      <c r="C939" s="5" t="s">
        <v>2916</v>
      </c>
    </row>
    <row r="940" spans="1:3" ht="17.25" thickBot="1">
      <c r="A940" s="4" t="s">
        <v>2028</v>
      </c>
      <c r="B940" s="5" t="s">
        <v>1632</v>
      </c>
      <c r="C940" s="6" t="s">
        <v>2917</v>
      </c>
    </row>
    <row r="941" spans="1:3" ht="17.25" thickBot="1">
      <c r="A941" s="4" t="s">
        <v>2021</v>
      </c>
      <c r="B941" s="5" t="s">
        <v>1632</v>
      </c>
      <c r="C941" s="5" t="s">
        <v>2022</v>
      </c>
    </row>
    <row r="942" spans="1:3" ht="25.5">
      <c r="A942" s="96" t="s">
        <v>2918</v>
      </c>
      <c r="B942" s="91" t="s">
        <v>2477</v>
      </c>
      <c r="C942" s="91" t="s">
        <v>2919</v>
      </c>
    </row>
    <row r="943" spans="1:3" ht="17.25" thickBot="1">
      <c r="A943" s="4" t="s">
        <v>2428</v>
      </c>
      <c r="B943" s="97"/>
      <c r="C943" s="97"/>
    </row>
    <row r="944" spans="1:3" ht="25.5">
      <c r="A944" s="96" t="s">
        <v>2918</v>
      </c>
      <c r="B944" s="91" t="s">
        <v>2477</v>
      </c>
      <c r="C944" s="91" t="s">
        <v>2921</v>
      </c>
    </row>
    <row r="945" spans="1:3" ht="17.25" thickBot="1">
      <c r="A945" s="4" t="s">
        <v>2920</v>
      </c>
      <c r="B945" s="97"/>
      <c r="C945" s="97"/>
    </row>
    <row r="946" spans="1:3" ht="17.25" thickBot="1">
      <c r="A946" s="4" t="s">
        <v>2167</v>
      </c>
      <c r="B946" s="5" t="s">
        <v>1632</v>
      </c>
      <c r="C946" s="6" t="s">
        <v>2168</v>
      </c>
    </row>
    <row r="947" spans="1:3" ht="17.25" thickBot="1">
      <c r="A947" s="4" t="s">
        <v>2169</v>
      </c>
      <c r="B947" s="5" t="s">
        <v>1632</v>
      </c>
      <c r="C947" s="5" t="s">
        <v>2922</v>
      </c>
    </row>
    <row r="948" spans="1:3" ht="89.25">
      <c r="A948" s="134" t="s">
        <v>2923</v>
      </c>
      <c r="B948" s="91" t="s">
        <v>1632</v>
      </c>
      <c r="C948" s="91" t="s">
        <v>2925</v>
      </c>
    </row>
    <row r="949" spans="1:3" ht="17.25" thickBot="1">
      <c r="A949" s="4" t="s">
        <v>2924</v>
      </c>
      <c r="B949" s="97"/>
      <c r="C949" s="97"/>
    </row>
    <row r="950" spans="1:3" ht="17.25" thickBot="1">
      <c r="A950" s="99" t="s">
        <v>1591</v>
      </c>
      <c r="B950" s="100" t="s">
        <v>1592</v>
      </c>
      <c r="C950" s="100" t="s">
        <v>1593</v>
      </c>
    </row>
    <row r="951" spans="1:3" ht="64.5" thickBot="1">
      <c r="A951" s="4" t="s">
        <v>2926</v>
      </c>
      <c r="B951" s="5" t="s">
        <v>1632</v>
      </c>
      <c r="C951" s="6" t="s">
        <v>2927</v>
      </c>
    </row>
    <row r="952" spans="1:3" ht="39" thickBot="1">
      <c r="A952" s="4" t="s">
        <v>2928</v>
      </c>
      <c r="B952" s="5" t="s">
        <v>1632</v>
      </c>
      <c r="C952" s="6" t="s">
        <v>2929</v>
      </c>
    </row>
    <row r="953" spans="1:3">
      <c r="A953" s="92" t="s">
        <v>2025</v>
      </c>
      <c r="B953" s="91" t="s">
        <v>1603</v>
      </c>
      <c r="C953" s="8" t="s">
        <v>2930</v>
      </c>
    </row>
    <row r="954" spans="1:3" ht="39" thickBot="1">
      <c r="A954" s="98"/>
      <c r="B954" s="97"/>
      <c r="C954" s="6" t="s">
        <v>2027</v>
      </c>
    </row>
    <row r="955" spans="1:3">
      <c r="B955" s="114" t="s">
        <v>2931</v>
      </c>
      <c r="C955" s="114" t="s">
        <v>2932</v>
      </c>
    </row>
    <row r="956" spans="1:3">
      <c r="A956" s="126" t="s">
        <v>2933</v>
      </c>
    </row>
    <row r="957" spans="1:3" ht="127.5">
      <c r="A957" s="105" t="s">
        <v>2934</v>
      </c>
    </row>
    <row r="958" spans="1:3" ht="114.75">
      <c r="A958" s="105" t="s">
        <v>2935</v>
      </c>
    </row>
    <row r="959" spans="1:3" ht="38.25">
      <c r="A959" s="105" t="s">
        <v>2936</v>
      </c>
    </row>
    <row r="960" spans="1:3" ht="25.5">
      <c r="A960" s="105" t="s">
        <v>2937</v>
      </c>
    </row>
    <row r="961" spans="1:1" ht="89.25">
      <c r="A961" s="105" t="s">
        <v>2938</v>
      </c>
    </row>
    <row r="962" spans="1:1">
      <c r="A962" s="126" t="s">
        <v>2939</v>
      </c>
    </row>
    <row r="963" spans="1:1">
      <c r="A963" s="126" t="s">
        <v>2940</v>
      </c>
    </row>
    <row r="964" spans="1:1" ht="63.75">
      <c r="A964" s="105" t="s">
        <v>2941</v>
      </c>
    </row>
    <row r="965" spans="1:1">
      <c r="A965" s="133" t="s">
        <v>2942</v>
      </c>
    </row>
    <row r="966" spans="1:1">
      <c r="A966" s="126" t="s">
        <v>2943</v>
      </c>
    </row>
    <row r="967" spans="1:1" ht="51">
      <c r="A967" s="105" t="s">
        <v>2944</v>
      </c>
    </row>
    <row r="968" spans="1:1" ht="25.5">
      <c r="A968" s="105" t="s">
        <v>2945</v>
      </c>
    </row>
    <row r="969" spans="1:1">
      <c r="A969" s="126" t="s">
        <v>2946</v>
      </c>
    </row>
    <row r="970" spans="1:1" ht="102">
      <c r="A970" s="105" t="s">
        <v>2947</v>
      </c>
    </row>
    <row r="971" spans="1:1">
      <c r="A971" s="126" t="s">
        <v>2035</v>
      </c>
    </row>
    <row r="972" spans="1:1" ht="51">
      <c r="A972" s="105" t="s">
        <v>2176</v>
      </c>
    </row>
    <row r="973" spans="1:1" ht="51">
      <c r="A973" s="105" t="s">
        <v>2177</v>
      </c>
    </row>
    <row r="974" spans="1:1" ht="38.25">
      <c r="A974" s="105" t="s">
        <v>2948</v>
      </c>
    </row>
    <row r="975" spans="1:1">
      <c r="A975" s="126" t="s">
        <v>1888</v>
      </c>
    </row>
    <row r="976" spans="1:1" ht="76.5">
      <c r="A976" s="105" t="s">
        <v>2949</v>
      </c>
    </row>
    <row r="977" spans="1:3" ht="51">
      <c r="A977" s="105" t="s">
        <v>2950</v>
      </c>
    </row>
    <row r="978" spans="1:3">
      <c r="A978" s="130" t="s">
        <v>2951</v>
      </c>
    </row>
    <row r="979" spans="1:3">
      <c r="B979" s="129" t="s">
        <v>1640</v>
      </c>
      <c r="C979" s="129" t="s">
        <v>1641</v>
      </c>
    </row>
    <row r="980" spans="1:3">
      <c r="A980" s="152" t="s">
        <v>2952</v>
      </c>
    </row>
    <row r="981" spans="1:3">
      <c r="A981" s="130" t="s">
        <v>2173</v>
      </c>
    </row>
    <row r="982" spans="1:3">
      <c r="A982" s="130" t="s">
        <v>2174</v>
      </c>
    </row>
    <row r="983" spans="1:3">
      <c r="A983" s="130" t="s">
        <v>2953</v>
      </c>
    </row>
    <row r="984" spans="1:3">
      <c r="A984" s="130" t="s">
        <v>2175</v>
      </c>
    </row>
    <row r="985" spans="1:3">
      <c r="A985" s="131" t="s">
        <v>2954</v>
      </c>
    </row>
    <row r="986" spans="1:3">
      <c r="A986" s="132" t="s">
        <v>1641</v>
      </c>
    </row>
    <row r="987" spans="1:3">
      <c r="A987" s="130" t="s">
        <v>2955</v>
      </c>
    </row>
    <row r="988" spans="1:3">
      <c r="A988" s="130" t="s">
        <v>2956</v>
      </c>
    </row>
    <row r="989" spans="1:3">
      <c r="B989" s="129" t="s">
        <v>1642</v>
      </c>
      <c r="C989" s="129" t="s">
        <v>2957</v>
      </c>
    </row>
    <row r="990" spans="1:3">
      <c r="A990" s="130" t="s">
        <v>2958</v>
      </c>
    </row>
    <row r="991" spans="1:3">
      <c r="A991" s="130" t="s">
        <v>2959</v>
      </c>
    </row>
    <row r="992" spans="1:3">
      <c r="A992" s="131" t="s">
        <v>2960</v>
      </c>
    </row>
    <row r="993" spans="1:3">
      <c r="A993" s="142" t="s">
        <v>2961</v>
      </c>
    </row>
    <row r="994" spans="1:3">
      <c r="B994" s="114" t="s">
        <v>2962</v>
      </c>
      <c r="C994" s="114" t="s">
        <v>2963</v>
      </c>
    </row>
    <row r="995" spans="1:3" ht="25.5">
      <c r="A995" s="106" t="s">
        <v>2964</v>
      </c>
    </row>
    <row r="996" spans="1:3">
      <c r="B996" s="101" t="s">
        <v>2578</v>
      </c>
      <c r="C996" s="109" t="s">
        <v>2965</v>
      </c>
    </row>
    <row r="997" spans="1:3">
      <c r="A997" s="115" t="s">
        <v>2966</v>
      </c>
      <c r="B997" s="115" t="s">
        <v>2967</v>
      </c>
    </row>
    <row r="998" spans="1:3" ht="17.25" thickBot="1">
      <c r="A998" s="126" t="s">
        <v>1874</v>
      </c>
    </row>
    <row r="999" spans="1:3" ht="17.25" thickBot="1">
      <c r="A999" s="102" t="s">
        <v>1591</v>
      </c>
      <c r="B999" s="103" t="s">
        <v>1635</v>
      </c>
      <c r="C999" s="103" t="s">
        <v>1593</v>
      </c>
    </row>
    <row r="1000" spans="1:3" ht="17.25" thickBot="1">
      <c r="A1000" s="4" t="s">
        <v>2269</v>
      </c>
      <c r="B1000" s="5" t="s">
        <v>1603</v>
      </c>
      <c r="C1000" s="5" t="s">
        <v>2968</v>
      </c>
    </row>
    <row r="1001" spans="1:3" ht="17.25" thickBot="1">
      <c r="A1001" s="4" t="s">
        <v>2271</v>
      </c>
      <c r="B1001" s="5" t="s">
        <v>1603</v>
      </c>
      <c r="C1001" s="5" t="s">
        <v>2969</v>
      </c>
    </row>
    <row r="1002" spans="1:3" ht="17.25" thickBot="1">
      <c r="A1002" s="4" t="s">
        <v>2970</v>
      </c>
      <c r="B1002" s="5" t="s">
        <v>1603</v>
      </c>
      <c r="C1002" s="5" t="s">
        <v>2971</v>
      </c>
    </row>
    <row r="1003" spans="1:3" ht="17.25" thickBot="1">
      <c r="A1003" s="4" t="s">
        <v>2289</v>
      </c>
      <c r="B1003" s="5" t="s">
        <v>1603</v>
      </c>
      <c r="C1003" s="5" t="s">
        <v>2972</v>
      </c>
    </row>
    <row r="1004" spans="1:3" ht="17.25" thickBot="1">
      <c r="A1004" s="4" t="s">
        <v>2973</v>
      </c>
      <c r="B1004" s="5" t="s">
        <v>1566</v>
      </c>
      <c r="C1004" s="5" t="s">
        <v>2974</v>
      </c>
    </row>
    <row r="1005" spans="1:3">
      <c r="B1005" s="114" t="s">
        <v>2975</v>
      </c>
      <c r="C1005" s="114" t="s">
        <v>2976</v>
      </c>
    </row>
    <row r="1006" spans="1:3" ht="17.25" thickBot="1">
      <c r="A1006" s="126" t="s">
        <v>1646</v>
      </c>
    </row>
    <row r="1007" spans="1:3" ht="17.25" thickBot="1">
      <c r="A1007" s="102" t="s">
        <v>1591</v>
      </c>
      <c r="B1007" s="103" t="s">
        <v>1592</v>
      </c>
      <c r="C1007" s="103" t="s">
        <v>1593</v>
      </c>
    </row>
    <row r="1008" spans="1:3" ht="17.25" thickBot="1">
      <c r="A1008" s="4" t="s">
        <v>2977</v>
      </c>
      <c r="B1008" s="5" t="s">
        <v>1610</v>
      </c>
      <c r="C1008" s="6" t="s">
        <v>2978</v>
      </c>
    </row>
    <row r="1009" spans="1:3" ht="26.25" thickBot="1">
      <c r="A1009" s="4" t="s">
        <v>2979</v>
      </c>
      <c r="B1009" s="5" t="s">
        <v>1610</v>
      </c>
      <c r="C1009" s="6" t="s">
        <v>2980</v>
      </c>
    </row>
    <row r="1010" spans="1:3" ht="26.25" thickBot="1">
      <c r="A1010" s="4" t="s">
        <v>2981</v>
      </c>
      <c r="B1010" s="5" t="s">
        <v>2982</v>
      </c>
      <c r="C1010" s="6" t="s">
        <v>2983</v>
      </c>
    </row>
    <row r="1011" spans="1:3" ht="25.5">
      <c r="A1011" s="92" t="s">
        <v>2299</v>
      </c>
      <c r="B1011" s="8" t="s">
        <v>2984</v>
      </c>
      <c r="C1011" s="91" t="s">
        <v>2986</v>
      </c>
    </row>
    <row r="1012" spans="1:3" ht="17.25" thickBot="1">
      <c r="A1012" s="98"/>
      <c r="B1012" s="5" t="s">
        <v>2985</v>
      </c>
      <c r="C1012" s="97"/>
    </row>
    <row r="1013" spans="1:3" ht="26.25" thickBot="1">
      <c r="A1013" s="4" t="s">
        <v>1634</v>
      </c>
      <c r="B1013" s="5" t="s">
        <v>1603</v>
      </c>
      <c r="C1013" s="6" t="s">
        <v>2987</v>
      </c>
    </row>
    <row r="1014" spans="1:3">
      <c r="B1014" s="114" t="s">
        <v>2988</v>
      </c>
      <c r="C1014" s="114" t="s">
        <v>2989</v>
      </c>
    </row>
    <row r="1015" spans="1:3" ht="51.75">
      <c r="A1015" s="106" t="s">
        <v>2990</v>
      </c>
    </row>
    <row r="1016" spans="1:3" ht="25.5">
      <c r="A1016" s="105" t="s">
        <v>2991</v>
      </c>
    </row>
    <row r="1017" spans="1:3">
      <c r="A1017" s="141" t="s">
        <v>2992</v>
      </c>
    </row>
    <row r="1018" spans="1:3">
      <c r="A1018" s="141" t="s">
        <v>2993</v>
      </c>
    </row>
    <row r="1019" spans="1:3">
      <c r="A1019" s="141" t="s">
        <v>2994</v>
      </c>
    </row>
    <row r="1020" spans="1:3" ht="51">
      <c r="A1020" s="105" t="s">
        <v>2995</v>
      </c>
    </row>
    <row r="1021" spans="1:3" ht="51">
      <c r="A1021" s="105" t="s">
        <v>2996</v>
      </c>
    </row>
    <row r="1022" spans="1:3">
      <c r="A1022" s="115" t="s">
        <v>2997</v>
      </c>
      <c r="B1022" s="115" t="s">
        <v>2998</v>
      </c>
    </row>
    <row r="1023" spans="1:3" ht="17.25" thickBot="1">
      <c r="A1023" s="126" t="s">
        <v>1963</v>
      </c>
    </row>
    <row r="1024" spans="1:3" ht="17.25" thickBot="1">
      <c r="A1024" s="102" t="s">
        <v>1591</v>
      </c>
      <c r="B1024" s="103" t="s">
        <v>1635</v>
      </c>
      <c r="C1024" s="103" t="s">
        <v>1593</v>
      </c>
    </row>
    <row r="1025" spans="1:3" ht="17.25" thickBot="1">
      <c r="A1025" s="4" t="s">
        <v>2999</v>
      </c>
      <c r="B1025" s="5" t="s">
        <v>1603</v>
      </c>
      <c r="C1025" s="6" t="s">
        <v>3000</v>
      </c>
    </row>
    <row r="1026" spans="1:3" ht="17.25" thickBot="1">
      <c r="A1026" s="4" t="s">
        <v>3001</v>
      </c>
      <c r="B1026" s="5" t="s">
        <v>626</v>
      </c>
      <c r="C1026" s="6" t="s">
        <v>3002</v>
      </c>
    </row>
    <row r="1027" spans="1:3" ht="17.25" thickBot="1">
      <c r="A1027" s="4" t="s">
        <v>2284</v>
      </c>
      <c r="B1027" s="5" t="s">
        <v>0</v>
      </c>
      <c r="C1027" s="5" t="s">
        <v>3003</v>
      </c>
    </row>
    <row r="1028" spans="1:3" ht="17.25" thickBot="1">
      <c r="A1028" s="4" t="s">
        <v>3004</v>
      </c>
      <c r="B1028" s="5" t="s">
        <v>626</v>
      </c>
      <c r="C1028" s="6" t="s">
        <v>3005</v>
      </c>
    </row>
    <row r="1029" spans="1:3">
      <c r="B1029" s="114" t="s">
        <v>3006</v>
      </c>
      <c r="C1029" s="114" t="s">
        <v>3007</v>
      </c>
    </row>
    <row r="1030" spans="1:3">
      <c r="A1030" s="126" t="s">
        <v>1888</v>
      </c>
    </row>
    <row r="1031" spans="1:3">
      <c r="B1031" s="158" t="s">
        <v>3008</v>
      </c>
      <c r="C1031" s="109" t="s">
        <v>3009</v>
      </c>
    </row>
    <row r="1032" spans="1:3">
      <c r="A1032" s="133" t="s">
        <v>3010</v>
      </c>
    </row>
    <row r="1033" spans="1:3">
      <c r="A1033" s="115" t="s">
        <v>3011</v>
      </c>
      <c r="B1033" s="115" t="s">
        <v>3012</v>
      </c>
    </row>
    <row r="1034" spans="1:3" ht="17.25" thickBot="1">
      <c r="A1034" s="126" t="s">
        <v>1963</v>
      </c>
    </row>
    <row r="1035" spans="1:3" ht="17.25" thickBot="1">
      <c r="A1035" s="102" t="s">
        <v>1591</v>
      </c>
      <c r="B1035" s="103" t="s">
        <v>1635</v>
      </c>
      <c r="C1035" s="103" t="s">
        <v>1593</v>
      </c>
    </row>
    <row r="1036" spans="1:3" ht="17.25" thickBot="1">
      <c r="A1036" s="4" t="s">
        <v>2269</v>
      </c>
      <c r="B1036" s="5" t="s">
        <v>1603</v>
      </c>
      <c r="C1036" s="5" t="s">
        <v>3013</v>
      </c>
    </row>
    <row r="1037" spans="1:3" ht="17.25" thickBot="1">
      <c r="A1037" s="4" t="s">
        <v>2271</v>
      </c>
      <c r="B1037" s="5" t="s">
        <v>1603</v>
      </c>
      <c r="C1037" s="5" t="s">
        <v>3014</v>
      </c>
    </row>
    <row r="1038" spans="1:3" ht="17.25" thickBot="1">
      <c r="A1038" s="4" t="s">
        <v>2289</v>
      </c>
      <c r="B1038" s="5" t="s">
        <v>1603</v>
      </c>
      <c r="C1038" s="6" t="s">
        <v>2290</v>
      </c>
    </row>
    <row r="1039" spans="1:3">
      <c r="B1039" s="114" t="s">
        <v>3015</v>
      </c>
      <c r="C1039" s="114" t="s">
        <v>3016</v>
      </c>
    </row>
    <row r="1040" spans="1:3">
      <c r="A1040" s="126" t="s">
        <v>1646</v>
      </c>
    </row>
    <row r="1041" spans="1:3" ht="26.25" thickBot="1">
      <c r="A1041" s="105" t="s">
        <v>1694</v>
      </c>
    </row>
    <row r="1042" spans="1:3" ht="17.25" thickBot="1">
      <c r="A1042" s="102" t="s">
        <v>1591</v>
      </c>
      <c r="B1042" s="103" t="s">
        <v>1592</v>
      </c>
      <c r="C1042" s="103" t="s">
        <v>1593</v>
      </c>
    </row>
    <row r="1043" spans="1:3" ht="17.25" thickBot="1">
      <c r="A1043" s="4" t="s">
        <v>3017</v>
      </c>
      <c r="B1043" s="5" t="s">
        <v>1618</v>
      </c>
      <c r="C1043" s="6" t="s">
        <v>3018</v>
      </c>
    </row>
    <row r="1044" spans="1:3" ht="17.25" thickBot="1">
      <c r="A1044" s="4" t="s">
        <v>3019</v>
      </c>
      <c r="B1044" s="5" t="s">
        <v>1618</v>
      </c>
      <c r="C1044" s="6" t="s">
        <v>3020</v>
      </c>
    </row>
    <row r="1045" spans="1:3">
      <c r="A1045" s="92" t="s">
        <v>3021</v>
      </c>
      <c r="B1045" s="91" t="s">
        <v>3022</v>
      </c>
      <c r="C1045" s="7" t="s">
        <v>3023</v>
      </c>
    </row>
    <row r="1046" spans="1:3" ht="17.25" thickBot="1">
      <c r="A1046" s="98"/>
      <c r="B1046" s="97"/>
      <c r="C1046" s="5" t="s">
        <v>3024</v>
      </c>
    </row>
    <row r="1047" spans="1:3" ht="17.25" thickBot="1">
      <c r="A1047" s="4" t="s">
        <v>3025</v>
      </c>
      <c r="B1047" s="5" t="s">
        <v>3022</v>
      </c>
      <c r="C1047" s="6" t="s">
        <v>3026</v>
      </c>
    </row>
    <row r="1048" spans="1:3" ht="17.25" thickBot="1">
      <c r="A1048" s="4" t="s">
        <v>3027</v>
      </c>
      <c r="B1048" s="5" t="s">
        <v>1630</v>
      </c>
      <c r="C1048" s="5" t="s">
        <v>3028</v>
      </c>
    </row>
    <row r="1049" spans="1:3">
      <c r="B1049" s="114" t="s">
        <v>3029</v>
      </c>
      <c r="C1049" s="114" t="s">
        <v>3030</v>
      </c>
    </row>
    <row r="1050" spans="1:3" ht="25.5">
      <c r="A1050" s="105" t="s">
        <v>2991</v>
      </c>
    </row>
    <row r="1051" spans="1:3">
      <c r="A1051" s="141" t="s">
        <v>3031</v>
      </c>
    </row>
    <row r="1052" spans="1:3">
      <c r="A1052" s="141" t="s">
        <v>3032</v>
      </c>
    </row>
    <row r="1053" spans="1:3">
      <c r="A1053" s="141" t="s">
        <v>3033</v>
      </c>
    </row>
    <row r="1054" spans="1:3">
      <c r="A1054" s="141" t="s">
        <v>3034</v>
      </c>
    </row>
    <row r="1055" spans="1:3" ht="51">
      <c r="A1055" s="105" t="s">
        <v>2995</v>
      </c>
    </row>
    <row r="1056" spans="1:3" ht="51">
      <c r="A1056" s="105" t="s">
        <v>2996</v>
      </c>
    </row>
    <row r="1057" spans="1:3">
      <c r="A1057" s="126" t="s">
        <v>1888</v>
      </c>
    </row>
    <row r="1058" spans="1:3">
      <c r="B1058" s="158" t="s">
        <v>3035</v>
      </c>
      <c r="C1058" s="109" t="s">
        <v>3036</v>
      </c>
    </row>
    <row r="1059" spans="1:3">
      <c r="A1059" s="115" t="s">
        <v>3037</v>
      </c>
      <c r="B1059" s="115" t="s">
        <v>3038</v>
      </c>
    </row>
    <row r="1060" spans="1:3" ht="17.25" thickBot="1">
      <c r="A1060" s="126" t="s">
        <v>1874</v>
      </c>
    </row>
    <row r="1061" spans="1:3" ht="17.25" thickBot="1">
      <c r="A1061" s="102" t="s">
        <v>1591</v>
      </c>
      <c r="B1061" s="103" t="s">
        <v>1635</v>
      </c>
      <c r="C1061" s="103" t="s">
        <v>1593</v>
      </c>
    </row>
    <row r="1062" spans="1:3" ht="17.25" thickBot="1">
      <c r="A1062" s="159" t="s">
        <v>3039</v>
      </c>
      <c r="B1062" s="111"/>
      <c r="C1062" s="5"/>
    </row>
    <row r="1063" spans="1:3" ht="17.25" thickBot="1">
      <c r="A1063" s="4" t="s">
        <v>3040</v>
      </c>
      <c r="B1063" s="5" t="s">
        <v>1606</v>
      </c>
      <c r="C1063" s="5" t="s">
        <v>3041</v>
      </c>
    </row>
    <row r="1064" spans="1:3" ht="39" thickBot="1">
      <c r="A1064" s="4" t="s">
        <v>3042</v>
      </c>
      <c r="B1064" s="5" t="s">
        <v>1606</v>
      </c>
      <c r="C1064" s="6" t="s">
        <v>3043</v>
      </c>
    </row>
    <row r="1065" spans="1:3" ht="26.25" thickBot="1">
      <c r="A1065" s="4" t="s">
        <v>3044</v>
      </c>
      <c r="B1065" s="5" t="s">
        <v>1606</v>
      </c>
      <c r="C1065" s="6" t="s">
        <v>3045</v>
      </c>
    </row>
    <row r="1066" spans="1:3">
      <c r="B1066" s="114" t="s">
        <v>3046</v>
      </c>
      <c r="C1066" s="114" t="s">
        <v>3047</v>
      </c>
    </row>
    <row r="1067" spans="1:3" ht="17.25" thickBot="1">
      <c r="A1067" s="126" t="s">
        <v>1646</v>
      </c>
    </row>
    <row r="1068" spans="1:3" ht="17.25" thickBot="1">
      <c r="A1068" s="102" t="s">
        <v>1591</v>
      </c>
      <c r="B1068" s="103" t="s">
        <v>1592</v>
      </c>
      <c r="C1068" s="103" t="s">
        <v>1593</v>
      </c>
    </row>
    <row r="1069" spans="1:3">
      <c r="A1069" s="96" t="s">
        <v>3048</v>
      </c>
      <c r="B1069" s="91" t="s">
        <v>1603</v>
      </c>
      <c r="C1069" s="91" t="s">
        <v>3049</v>
      </c>
    </row>
    <row r="1070" spans="1:3" ht="17.25" thickBot="1">
      <c r="A1070" s="4" t="s">
        <v>1634</v>
      </c>
      <c r="B1070" s="97"/>
      <c r="C1070" s="97"/>
    </row>
    <row r="1071" spans="1:3" ht="17.25" thickBot="1">
      <c r="A1071" s="4" t="s">
        <v>1912</v>
      </c>
      <c r="B1071" s="5" t="s">
        <v>1603</v>
      </c>
      <c r="C1071" s="6" t="s">
        <v>3050</v>
      </c>
    </row>
    <row r="1072" spans="1:3" ht="25.5">
      <c r="A1072" s="96" t="s">
        <v>3051</v>
      </c>
      <c r="B1072" s="91" t="s">
        <v>1603</v>
      </c>
      <c r="C1072" s="91" t="s">
        <v>3053</v>
      </c>
    </row>
    <row r="1073" spans="1:3" ht="17.25" thickBot="1">
      <c r="A1073" s="4" t="s">
        <v>3052</v>
      </c>
      <c r="B1073" s="97"/>
      <c r="C1073" s="97"/>
    </row>
    <row r="1074" spans="1:3" ht="17.25" thickBot="1">
      <c r="A1074" s="159" t="s">
        <v>3054</v>
      </c>
      <c r="B1074" s="111"/>
      <c r="C1074" s="5"/>
    </row>
    <row r="1075" spans="1:3" ht="17.25" thickBot="1">
      <c r="A1075" s="145" t="s">
        <v>3055</v>
      </c>
      <c r="B1075" s="5" t="s">
        <v>1605</v>
      </c>
      <c r="C1075" s="5" t="s">
        <v>3056</v>
      </c>
    </row>
    <row r="1076" spans="1:3" ht="17.25" thickBot="1">
      <c r="A1076" s="145" t="s">
        <v>3057</v>
      </c>
      <c r="B1076" s="5" t="s">
        <v>1603</v>
      </c>
      <c r="C1076" s="5" t="s">
        <v>3058</v>
      </c>
    </row>
    <row r="1077" spans="1:3" ht="17.25" thickBot="1">
      <c r="A1077" s="145" t="s">
        <v>3059</v>
      </c>
      <c r="B1077" s="5" t="s">
        <v>0</v>
      </c>
      <c r="C1077" s="6" t="s">
        <v>3060</v>
      </c>
    </row>
    <row r="1078" spans="1:3" ht="17.25" thickBot="1">
      <c r="A1078" s="109"/>
    </row>
    <row r="1079" spans="1:3" ht="17.25" thickBot="1">
      <c r="A1079" s="102" t="s">
        <v>1591</v>
      </c>
      <c r="B1079" s="103" t="s">
        <v>1592</v>
      </c>
      <c r="C1079" s="103" t="s">
        <v>1593</v>
      </c>
    </row>
    <row r="1080" spans="1:3" ht="17.25" thickBot="1">
      <c r="A1080" s="145" t="s">
        <v>3061</v>
      </c>
      <c r="B1080" s="5" t="s">
        <v>1566</v>
      </c>
      <c r="C1080" s="6" t="s">
        <v>3062</v>
      </c>
    </row>
    <row r="1081" spans="1:3">
      <c r="A1081" s="176" t="s">
        <v>3063</v>
      </c>
      <c r="B1081" s="91" t="s">
        <v>1566</v>
      </c>
      <c r="C1081" s="7" t="s">
        <v>3064</v>
      </c>
    </row>
    <row r="1082" spans="1:3" ht="25.5">
      <c r="A1082" s="178"/>
      <c r="B1082" s="170"/>
      <c r="C1082" s="7" t="s">
        <v>3065</v>
      </c>
    </row>
    <row r="1083" spans="1:3" ht="17.25" thickBot="1">
      <c r="A1083" s="177"/>
      <c r="B1083" s="97"/>
      <c r="C1083" s="5" t="s">
        <v>3066</v>
      </c>
    </row>
    <row r="1084" spans="1:3">
      <c r="A1084" s="176" t="s">
        <v>3067</v>
      </c>
      <c r="B1084" s="91" t="s">
        <v>1566</v>
      </c>
      <c r="C1084" s="7" t="s">
        <v>3068</v>
      </c>
    </row>
    <row r="1085" spans="1:3" ht="17.25" thickBot="1">
      <c r="A1085" s="177"/>
      <c r="B1085" s="97"/>
      <c r="C1085" s="5" t="s">
        <v>3066</v>
      </c>
    </row>
    <row r="1086" spans="1:3" ht="25.5">
      <c r="A1086" s="176" t="s">
        <v>3069</v>
      </c>
      <c r="B1086" s="91" t="s">
        <v>1566</v>
      </c>
      <c r="C1086" s="7" t="s">
        <v>3070</v>
      </c>
    </row>
    <row r="1087" spans="1:3" ht="17.25" thickBot="1">
      <c r="A1087" s="177"/>
      <c r="B1087" s="97"/>
      <c r="C1087" s="5" t="s">
        <v>3066</v>
      </c>
    </row>
    <row r="1088" spans="1:3">
      <c r="A1088" s="176" t="s">
        <v>3071</v>
      </c>
      <c r="B1088" s="91" t="s">
        <v>0</v>
      </c>
      <c r="C1088" s="7" t="s">
        <v>3072</v>
      </c>
    </row>
    <row r="1089" spans="1:3" ht="17.25" thickBot="1">
      <c r="A1089" s="177"/>
      <c r="B1089" s="97"/>
      <c r="C1089" s="5" t="s">
        <v>3073</v>
      </c>
    </row>
    <row r="1090" spans="1:3" ht="25.5">
      <c r="A1090" s="176" t="s">
        <v>3074</v>
      </c>
      <c r="B1090" s="91" t="s">
        <v>1566</v>
      </c>
      <c r="C1090" s="7" t="s">
        <v>3075</v>
      </c>
    </row>
    <row r="1091" spans="1:3" ht="17.25" thickBot="1">
      <c r="A1091" s="177"/>
      <c r="B1091" s="97"/>
      <c r="C1091" s="5" t="s">
        <v>3066</v>
      </c>
    </row>
    <row r="1092" spans="1:3" ht="25.5">
      <c r="A1092" s="176" t="s">
        <v>3076</v>
      </c>
      <c r="B1092" s="91" t="s">
        <v>1566</v>
      </c>
      <c r="C1092" s="7" t="s">
        <v>3077</v>
      </c>
    </row>
    <row r="1093" spans="1:3" ht="17.25" thickBot="1">
      <c r="A1093" s="177"/>
      <c r="B1093" s="97"/>
      <c r="C1093" s="5" t="s">
        <v>3066</v>
      </c>
    </row>
    <row r="1094" spans="1:3" ht="17.25" thickBot="1">
      <c r="A1094" s="172" t="s">
        <v>3078</v>
      </c>
      <c r="B1094" s="183"/>
      <c r="C1094" s="173"/>
    </row>
    <row r="1095" spans="1:3" ht="17.25" thickBot="1">
      <c r="A1095" s="145" t="s">
        <v>3079</v>
      </c>
      <c r="B1095" s="5" t="s">
        <v>1566</v>
      </c>
      <c r="C1095" s="6" t="s">
        <v>3080</v>
      </c>
    </row>
    <row r="1096" spans="1:3">
      <c r="A1096" s="176" t="s">
        <v>3081</v>
      </c>
      <c r="B1096" s="91" t="s">
        <v>1566</v>
      </c>
      <c r="C1096" s="7" t="s">
        <v>3082</v>
      </c>
    </row>
    <row r="1097" spans="1:3" ht="17.25" thickBot="1">
      <c r="A1097" s="177"/>
      <c r="B1097" s="97"/>
      <c r="C1097" s="6" t="s">
        <v>3083</v>
      </c>
    </row>
    <row r="1098" spans="1:3" ht="17.25" thickBot="1">
      <c r="A1098" s="99" t="s">
        <v>1591</v>
      </c>
      <c r="B1098" s="100" t="s">
        <v>1592</v>
      </c>
      <c r="C1098" s="100" t="s">
        <v>1593</v>
      </c>
    </row>
    <row r="1099" spans="1:3">
      <c r="A1099" s="144" t="s">
        <v>3084</v>
      </c>
      <c r="B1099" s="91" t="s">
        <v>1605</v>
      </c>
      <c r="C1099" s="91" t="s">
        <v>3086</v>
      </c>
    </row>
    <row r="1100" spans="1:3" ht="17.25" thickBot="1">
      <c r="A1100" s="145" t="s">
        <v>3085</v>
      </c>
      <c r="B1100" s="97"/>
      <c r="C1100" s="97"/>
    </row>
    <row r="1101" spans="1:3">
      <c r="A1101" s="176" t="s">
        <v>3087</v>
      </c>
      <c r="B1101" s="8" t="s">
        <v>2736</v>
      </c>
      <c r="C1101" s="91" t="s">
        <v>3089</v>
      </c>
    </row>
    <row r="1102" spans="1:3" ht="17.25" thickBot="1">
      <c r="A1102" s="177"/>
      <c r="B1102" s="5" t="s">
        <v>3088</v>
      </c>
      <c r="C1102" s="97"/>
    </row>
    <row r="1103" spans="1:3" ht="17.25" thickBot="1">
      <c r="A1103" s="145" t="s">
        <v>3090</v>
      </c>
      <c r="B1103" s="5" t="s">
        <v>3091</v>
      </c>
      <c r="C1103" s="5" t="s">
        <v>3092</v>
      </c>
    </row>
    <row r="1104" spans="1:3">
      <c r="A1104" s="176" t="s">
        <v>3093</v>
      </c>
      <c r="B1104" s="8" t="s">
        <v>2736</v>
      </c>
      <c r="C1104" s="91" t="s">
        <v>3094</v>
      </c>
    </row>
    <row r="1105" spans="1:3" ht="17.25" thickBot="1">
      <c r="A1105" s="177"/>
      <c r="B1105" s="5" t="s">
        <v>3088</v>
      </c>
      <c r="C1105" s="97"/>
    </row>
    <row r="1106" spans="1:3">
      <c r="A1106" s="176" t="s">
        <v>3095</v>
      </c>
      <c r="B1106" s="91" t="s">
        <v>0</v>
      </c>
      <c r="C1106" s="8" t="s">
        <v>3096</v>
      </c>
    </row>
    <row r="1107" spans="1:3">
      <c r="A1107" s="178"/>
      <c r="B1107" s="170"/>
      <c r="C1107" s="8" t="s">
        <v>3097</v>
      </c>
    </row>
    <row r="1108" spans="1:3" ht="17.25" thickBot="1">
      <c r="A1108" s="177"/>
      <c r="B1108" s="97"/>
      <c r="C1108" s="5" t="s">
        <v>3098</v>
      </c>
    </row>
    <row r="1109" spans="1:3">
      <c r="A1109" s="115" t="s">
        <v>3099</v>
      </c>
      <c r="B1109" s="115" t="s">
        <v>3100</v>
      </c>
    </row>
    <row r="1110" spans="1:3" ht="17.25" thickBot="1">
      <c r="A1110" s="126" t="s">
        <v>1874</v>
      </c>
    </row>
    <row r="1111" spans="1:3" ht="17.25" thickBot="1">
      <c r="A1111" s="102" t="s">
        <v>1591</v>
      </c>
      <c r="B1111" s="103" t="s">
        <v>1635</v>
      </c>
      <c r="C1111" s="103" t="s">
        <v>1593</v>
      </c>
    </row>
    <row r="1112" spans="1:3">
      <c r="A1112" s="92" t="s">
        <v>2663</v>
      </c>
      <c r="B1112" s="8" t="s">
        <v>1603</v>
      </c>
      <c r="C1112" s="91" t="s">
        <v>3101</v>
      </c>
    </row>
    <row r="1113" spans="1:3" ht="17.25" thickBot="1">
      <c r="A1113" s="98"/>
      <c r="B1113" s="5" t="s">
        <v>1550</v>
      </c>
      <c r="C1113" s="97"/>
    </row>
    <row r="1114" spans="1:3">
      <c r="A1114" s="92" t="s">
        <v>3102</v>
      </c>
      <c r="B1114" s="8" t="s">
        <v>1603</v>
      </c>
      <c r="C1114" s="7" t="s">
        <v>3103</v>
      </c>
    </row>
    <row r="1115" spans="1:3" ht="26.25" thickBot="1">
      <c r="A1115" s="98"/>
      <c r="B1115" s="5" t="s">
        <v>2523</v>
      </c>
      <c r="C1115" s="156" t="s">
        <v>3104</v>
      </c>
    </row>
    <row r="1116" spans="1:3">
      <c r="A1116" s="92" t="s">
        <v>3105</v>
      </c>
      <c r="B1116" s="8" t="s">
        <v>1603</v>
      </c>
      <c r="C1116" s="91" t="s">
        <v>3106</v>
      </c>
    </row>
    <row r="1117" spans="1:3" ht="17.25" thickBot="1">
      <c r="A1117" s="98"/>
      <c r="B1117" s="5" t="s">
        <v>2523</v>
      </c>
      <c r="C1117" s="97"/>
    </row>
    <row r="1118" spans="1:3">
      <c r="B1118" s="114" t="s">
        <v>3107</v>
      </c>
      <c r="C1118" s="114" t="s">
        <v>3108</v>
      </c>
    </row>
    <row r="1119" spans="1:3" ht="17.25" thickBot="1">
      <c r="A1119" s="126" t="s">
        <v>1646</v>
      </c>
    </row>
    <row r="1120" spans="1:3" ht="17.25" thickBot="1">
      <c r="A1120" s="102" t="s">
        <v>1591</v>
      </c>
      <c r="B1120" s="103" t="s">
        <v>1592</v>
      </c>
      <c r="C1120" s="103" t="s">
        <v>1593</v>
      </c>
    </row>
    <row r="1121" spans="1:3" ht="27.75" thickBot="1">
      <c r="A1121" s="4" t="s">
        <v>3109</v>
      </c>
      <c r="B1121" s="6" t="s">
        <v>1632</v>
      </c>
      <c r="C1121" s="6" t="s">
        <v>3110</v>
      </c>
    </row>
    <row r="1122" spans="1:3" ht="40.5">
      <c r="A1122" s="92" t="s">
        <v>3111</v>
      </c>
      <c r="B1122" s="91" t="s">
        <v>1632</v>
      </c>
      <c r="C1122" s="7" t="s">
        <v>3112</v>
      </c>
    </row>
    <row r="1123" spans="1:3">
      <c r="A1123" s="171"/>
      <c r="B1123" s="170"/>
      <c r="C1123" s="7" t="s">
        <v>3113</v>
      </c>
    </row>
    <row r="1124" spans="1:3" ht="26.25" thickBot="1">
      <c r="A1124" s="98"/>
      <c r="B1124" s="97"/>
      <c r="C1124" s="6" t="s">
        <v>3114</v>
      </c>
    </row>
    <row r="1125" spans="1:3" ht="40.5">
      <c r="A1125" s="92" t="s">
        <v>3115</v>
      </c>
      <c r="B1125" s="91" t="s">
        <v>1632</v>
      </c>
      <c r="C1125" s="7" t="s">
        <v>3116</v>
      </c>
    </row>
    <row r="1126" spans="1:3" ht="25.5">
      <c r="A1126" s="171"/>
      <c r="B1126" s="170"/>
      <c r="C1126" s="7" t="s">
        <v>3117</v>
      </c>
    </row>
    <row r="1127" spans="1:3" ht="26.25" thickBot="1">
      <c r="A1127" s="98"/>
      <c r="B1127" s="97"/>
      <c r="C1127" s="6" t="s">
        <v>3118</v>
      </c>
    </row>
    <row r="1128" spans="1:3" ht="40.5">
      <c r="A1128" s="92" t="s">
        <v>3119</v>
      </c>
      <c r="B1128" s="91" t="s">
        <v>1632</v>
      </c>
      <c r="C1128" s="7" t="s">
        <v>3120</v>
      </c>
    </row>
    <row r="1129" spans="1:3" ht="26.25">
      <c r="A1129" s="171"/>
      <c r="B1129" s="170"/>
      <c r="C1129" s="138" t="s">
        <v>3121</v>
      </c>
    </row>
    <row r="1130" spans="1:3" ht="26.25" thickBot="1">
      <c r="A1130" s="98"/>
      <c r="B1130" s="97"/>
      <c r="C1130" s="6" t="s">
        <v>3114</v>
      </c>
    </row>
    <row r="1131" spans="1:3" ht="17.25" thickBot="1">
      <c r="A1131" s="109"/>
    </row>
    <row r="1132" spans="1:3" ht="17.25" thickBot="1">
      <c r="A1132" s="102" t="s">
        <v>1591</v>
      </c>
      <c r="B1132" s="103" t="s">
        <v>1592</v>
      </c>
      <c r="C1132" s="103" t="s">
        <v>1593</v>
      </c>
    </row>
    <row r="1133" spans="1:3" ht="40.5">
      <c r="A1133" s="92" t="s">
        <v>3122</v>
      </c>
      <c r="B1133" s="91" t="s">
        <v>1632</v>
      </c>
      <c r="C1133" s="7" t="s">
        <v>3123</v>
      </c>
    </row>
    <row r="1134" spans="1:3" ht="25.5">
      <c r="A1134" s="171"/>
      <c r="B1134" s="170"/>
      <c r="C1134" s="7" t="s">
        <v>3124</v>
      </c>
    </row>
    <row r="1135" spans="1:3" ht="26.25" thickBot="1">
      <c r="A1135" s="98"/>
      <c r="B1135" s="97"/>
      <c r="C1135" s="6" t="s">
        <v>3114</v>
      </c>
    </row>
    <row r="1136" spans="1:3">
      <c r="A1136" s="92" t="s">
        <v>1775</v>
      </c>
      <c r="B1136" s="91" t="s">
        <v>1632</v>
      </c>
      <c r="C1136" s="7" t="s">
        <v>3125</v>
      </c>
    </row>
    <row r="1137" spans="1:3" ht="17.25" thickBot="1">
      <c r="A1137" s="98"/>
      <c r="B1137" s="97"/>
      <c r="C1137" s="100" t="s">
        <v>1898</v>
      </c>
    </row>
    <row r="1138" spans="1:3">
      <c r="A1138" s="92" t="s">
        <v>3126</v>
      </c>
      <c r="B1138" s="91" t="s">
        <v>1632</v>
      </c>
      <c r="C1138" s="7" t="s">
        <v>3127</v>
      </c>
    </row>
    <row r="1139" spans="1:3" ht="17.25" thickBot="1">
      <c r="A1139" s="98"/>
      <c r="B1139" s="97"/>
      <c r="C1139" s="100" t="s">
        <v>3128</v>
      </c>
    </row>
    <row r="1140" spans="1:3" ht="27">
      <c r="A1140" s="96" t="s">
        <v>3129</v>
      </c>
      <c r="B1140" s="91" t="s">
        <v>1566</v>
      </c>
      <c r="C1140" s="7" t="s">
        <v>3130</v>
      </c>
    </row>
    <row r="1141" spans="1:3" ht="17.25" thickBot="1">
      <c r="A1141" s="4" t="s">
        <v>1900</v>
      </c>
      <c r="B1141" s="97"/>
      <c r="C1141" s="6" t="s">
        <v>3131</v>
      </c>
    </row>
    <row r="1142" spans="1:3">
      <c r="A1142" s="92" t="s">
        <v>1903</v>
      </c>
      <c r="B1142" s="91" t="s">
        <v>1603</v>
      </c>
      <c r="C1142" s="7" t="s">
        <v>3132</v>
      </c>
    </row>
    <row r="1143" spans="1:3" ht="17.25" thickBot="1">
      <c r="A1143" s="98"/>
      <c r="B1143" s="97"/>
      <c r="C1143" s="5" t="s">
        <v>3133</v>
      </c>
    </row>
    <row r="1144" spans="1:3" ht="54">
      <c r="A1144" s="92" t="s">
        <v>3134</v>
      </c>
      <c r="B1144" s="91" t="s">
        <v>1632</v>
      </c>
      <c r="C1144" s="7" t="s">
        <v>3135</v>
      </c>
    </row>
    <row r="1145" spans="1:3">
      <c r="A1145" s="171"/>
      <c r="B1145" s="170"/>
      <c r="C1145" s="7" t="s">
        <v>3113</v>
      </c>
    </row>
    <row r="1146" spans="1:3" ht="26.25" thickBot="1">
      <c r="A1146" s="98"/>
      <c r="B1146" s="97"/>
      <c r="C1146" s="6" t="s">
        <v>3114</v>
      </c>
    </row>
    <row r="1147" spans="1:3" ht="17.25" thickBot="1">
      <c r="A1147" s="109"/>
    </row>
    <row r="1148" spans="1:3" ht="17.25" thickBot="1">
      <c r="A1148" s="102" t="s">
        <v>1591</v>
      </c>
      <c r="B1148" s="103" t="s">
        <v>1592</v>
      </c>
      <c r="C1148" s="103" t="s">
        <v>1593</v>
      </c>
    </row>
    <row r="1149" spans="1:3" ht="40.5">
      <c r="A1149" s="92" t="s">
        <v>3136</v>
      </c>
      <c r="B1149" s="91" t="s">
        <v>1632</v>
      </c>
      <c r="C1149" s="7" t="s">
        <v>3137</v>
      </c>
    </row>
    <row r="1150" spans="1:3">
      <c r="A1150" s="171"/>
      <c r="B1150" s="170"/>
      <c r="C1150" s="7" t="s">
        <v>3138</v>
      </c>
    </row>
    <row r="1151" spans="1:3" ht="26.25" thickBot="1">
      <c r="A1151" s="98"/>
      <c r="B1151" s="97"/>
      <c r="C1151" s="6" t="s">
        <v>3114</v>
      </c>
    </row>
    <row r="1152" spans="1:3" ht="40.5">
      <c r="A1152" s="92" t="s">
        <v>3139</v>
      </c>
      <c r="B1152" s="91" t="s">
        <v>1632</v>
      </c>
      <c r="C1152" s="7" t="s">
        <v>3140</v>
      </c>
    </row>
    <row r="1153" spans="1:3">
      <c r="A1153" s="171"/>
      <c r="B1153" s="170"/>
      <c r="C1153" s="7" t="s">
        <v>3141</v>
      </c>
    </row>
    <row r="1154" spans="1:3" ht="26.25" thickBot="1">
      <c r="A1154" s="98"/>
      <c r="B1154" s="97"/>
      <c r="C1154" s="6" t="s">
        <v>3114</v>
      </c>
    </row>
    <row r="1155" spans="1:3" ht="40.5">
      <c r="A1155" s="92" t="s">
        <v>3142</v>
      </c>
      <c r="B1155" s="91" t="s">
        <v>1632</v>
      </c>
      <c r="C1155" s="7" t="s">
        <v>3143</v>
      </c>
    </row>
    <row r="1156" spans="1:3" ht="25.5">
      <c r="A1156" s="171"/>
      <c r="B1156" s="170"/>
      <c r="C1156" s="7" t="s">
        <v>3124</v>
      </c>
    </row>
    <row r="1157" spans="1:3" ht="26.25" thickBot="1">
      <c r="A1157" s="98"/>
      <c r="B1157" s="97"/>
      <c r="C1157" s="6" t="s">
        <v>3114</v>
      </c>
    </row>
    <row r="1158" spans="1:3" ht="17.25" thickBot="1">
      <c r="A1158" s="109"/>
    </row>
    <row r="1159" spans="1:3" ht="17.25" thickBot="1">
      <c r="A1159" s="102" t="s">
        <v>1591</v>
      </c>
      <c r="B1159" s="103" t="s">
        <v>1592</v>
      </c>
      <c r="C1159" s="103" t="s">
        <v>1593</v>
      </c>
    </row>
    <row r="1160" spans="1:3" ht="25.5">
      <c r="A1160" s="96" t="s">
        <v>3144</v>
      </c>
      <c r="B1160" s="91" t="s">
        <v>1632</v>
      </c>
      <c r="C1160" s="7" t="s">
        <v>3146</v>
      </c>
    </row>
    <row r="1161" spans="1:3" ht="27.75" thickBot="1">
      <c r="A1161" s="4" t="s">
        <v>3145</v>
      </c>
      <c r="B1161" s="97"/>
      <c r="C1161" s="6" t="s">
        <v>3114</v>
      </c>
    </row>
    <row r="1162" spans="1:3" ht="54">
      <c r="A1162" s="92" t="s">
        <v>3147</v>
      </c>
      <c r="B1162" s="91" t="s">
        <v>1632</v>
      </c>
      <c r="C1162" s="7" t="s">
        <v>3148</v>
      </c>
    </row>
    <row r="1163" spans="1:3">
      <c r="A1163" s="171"/>
      <c r="B1163" s="170"/>
      <c r="C1163" s="7" t="s">
        <v>3113</v>
      </c>
    </row>
    <row r="1164" spans="1:3" ht="26.25" thickBot="1">
      <c r="A1164" s="98"/>
      <c r="B1164" s="97"/>
      <c r="C1164" s="6" t="s">
        <v>3114</v>
      </c>
    </row>
    <row r="1165" spans="1:3" ht="40.5">
      <c r="A1165" s="92" t="s">
        <v>3149</v>
      </c>
      <c r="B1165" s="91" t="s">
        <v>1632</v>
      </c>
      <c r="C1165" s="7" t="s">
        <v>3150</v>
      </c>
    </row>
    <row r="1166" spans="1:3">
      <c r="A1166" s="171"/>
      <c r="B1166" s="170"/>
      <c r="C1166" s="7" t="s">
        <v>3138</v>
      </c>
    </row>
    <row r="1167" spans="1:3" ht="26.25" thickBot="1">
      <c r="A1167" s="98"/>
      <c r="B1167" s="97"/>
      <c r="C1167" s="6" t="s">
        <v>3114</v>
      </c>
    </row>
    <row r="1168" spans="1:3" ht="40.5">
      <c r="A1168" s="92" t="s">
        <v>3151</v>
      </c>
      <c r="B1168" s="91" t="s">
        <v>1632</v>
      </c>
      <c r="C1168" s="7" t="s">
        <v>3152</v>
      </c>
    </row>
    <row r="1169" spans="1:3">
      <c r="A1169" s="171"/>
      <c r="B1169" s="170"/>
      <c r="C1169" s="7" t="s">
        <v>3141</v>
      </c>
    </row>
    <row r="1170" spans="1:3" ht="26.25" thickBot="1">
      <c r="A1170" s="98"/>
      <c r="B1170" s="97"/>
      <c r="C1170" s="6" t="s">
        <v>3114</v>
      </c>
    </row>
    <row r="1171" spans="1:3" ht="17.25" thickBot="1">
      <c r="A1171" s="109"/>
    </row>
    <row r="1172" spans="1:3" ht="17.25" thickBot="1">
      <c r="A1172" s="102" t="s">
        <v>1591</v>
      </c>
      <c r="B1172" s="103" t="s">
        <v>1592</v>
      </c>
      <c r="C1172" s="103" t="s">
        <v>1593</v>
      </c>
    </row>
    <row r="1173" spans="1:3" ht="40.5">
      <c r="A1173" s="92" t="s">
        <v>3153</v>
      </c>
      <c r="B1173" s="91" t="s">
        <v>1632</v>
      </c>
      <c r="C1173" s="7" t="s">
        <v>3154</v>
      </c>
    </row>
    <row r="1174" spans="1:3" ht="25.5">
      <c r="A1174" s="171"/>
      <c r="B1174" s="170"/>
      <c r="C1174" s="7" t="s">
        <v>3124</v>
      </c>
    </row>
    <row r="1175" spans="1:3" ht="26.25" thickBot="1">
      <c r="A1175" s="98"/>
      <c r="B1175" s="97"/>
      <c r="C1175" s="6" t="s">
        <v>3114</v>
      </c>
    </row>
    <row r="1176" spans="1:3" ht="25.5">
      <c r="A1176" s="96" t="s">
        <v>3155</v>
      </c>
      <c r="B1176" s="91" t="s">
        <v>1632</v>
      </c>
      <c r="C1176" s="7" t="s">
        <v>3156</v>
      </c>
    </row>
    <row r="1177" spans="1:3" ht="27.75" thickBot="1">
      <c r="A1177" s="4" t="s">
        <v>3145</v>
      </c>
      <c r="B1177" s="97"/>
      <c r="C1177" s="6" t="s">
        <v>3114</v>
      </c>
    </row>
    <row r="1178" spans="1:3">
      <c r="A1178" s="92" t="s">
        <v>1912</v>
      </c>
      <c r="B1178" s="91" t="s">
        <v>1603</v>
      </c>
      <c r="C1178" s="7" t="s">
        <v>3157</v>
      </c>
    </row>
    <row r="1179" spans="1:3" ht="17.25" thickBot="1">
      <c r="A1179" s="98"/>
      <c r="B1179" s="97"/>
      <c r="C1179" s="5" t="s">
        <v>3158</v>
      </c>
    </row>
    <row r="1180" spans="1:3" ht="17.25" thickBot="1">
      <c r="A1180" s="4" t="s">
        <v>1915</v>
      </c>
      <c r="B1180" s="5" t="s">
        <v>3159</v>
      </c>
      <c r="C1180" s="5" t="s">
        <v>3160</v>
      </c>
    </row>
    <row r="1181" spans="1:3" ht="26.25" thickBot="1">
      <c r="A1181" s="4" t="s">
        <v>3161</v>
      </c>
      <c r="B1181" s="5" t="s">
        <v>2509</v>
      </c>
      <c r="C1181" s="6" t="s">
        <v>3162</v>
      </c>
    </row>
    <row r="1182" spans="1:3" ht="17.25" thickBot="1">
      <c r="A1182" s="4" t="s">
        <v>2023</v>
      </c>
      <c r="B1182" s="6" t="s">
        <v>1632</v>
      </c>
      <c r="C1182" s="5" t="s">
        <v>2158</v>
      </c>
    </row>
    <row r="1183" spans="1:3" ht="27">
      <c r="A1183" s="92" t="s">
        <v>3163</v>
      </c>
      <c r="B1183" s="91" t="s">
        <v>3164</v>
      </c>
      <c r="C1183" s="7" t="s">
        <v>3165</v>
      </c>
    </row>
    <row r="1184" spans="1:3" ht="17.25" thickBot="1">
      <c r="A1184" s="98"/>
      <c r="B1184" s="97"/>
      <c r="C1184" s="100" t="s">
        <v>3166</v>
      </c>
    </row>
    <row r="1185" spans="1:3">
      <c r="A1185" s="92" t="s">
        <v>3167</v>
      </c>
      <c r="B1185" s="91" t="s">
        <v>1566</v>
      </c>
      <c r="C1185" s="7" t="s">
        <v>3168</v>
      </c>
    </row>
    <row r="1186" spans="1:3" ht="17.25" thickBot="1">
      <c r="A1186" s="98"/>
      <c r="B1186" s="97"/>
      <c r="C1186" s="100" t="s">
        <v>3166</v>
      </c>
    </row>
    <row r="1187" spans="1:3" ht="17.25" thickBot="1">
      <c r="A1187" s="99" t="s">
        <v>1591</v>
      </c>
      <c r="B1187" s="100" t="s">
        <v>1592</v>
      </c>
      <c r="C1187" s="100" t="s">
        <v>1593</v>
      </c>
    </row>
    <row r="1188" spans="1:3" ht="27">
      <c r="A1188" s="92" t="s">
        <v>3169</v>
      </c>
      <c r="B1188" s="91" t="s">
        <v>1632</v>
      </c>
      <c r="C1188" s="7" t="s">
        <v>3170</v>
      </c>
    </row>
    <row r="1189" spans="1:3" ht="17.25" thickBot="1">
      <c r="A1189" s="98"/>
      <c r="B1189" s="97"/>
      <c r="C1189" s="100" t="s">
        <v>3166</v>
      </c>
    </row>
    <row r="1190" spans="1:3" ht="27">
      <c r="A1190" s="96" t="s">
        <v>3171</v>
      </c>
      <c r="B1190" s="91" t="s">
        <v>1632</v>
      </c>
      <c r="C1190" s="7" t="s">
        <v>3173</v>
      </c>
    </row>
    <row r="1191" spans="1:3">
      <c r="A1191" s="96" t="s">
        <v>3172</v>
      </c>
      <c r="B1191" s="170"/>
      <c r="C1191" s="7" t="s">
        <v>3131</v>
      </c>
    </row>
    <row r="1192" spans="1:3" ht="17.25" thickBot="1">
      <c r="A1192" s="113"/>
      <c r="B1192" s="97"/>
      <c r="C1192" s="6" t="s">
        <v>3174</v>
      </c>
    </row>
    <row r="1193" spans="1:3">
      <c r="B1193" s="114" t="s">
        <v>3175</v>
      </c>
      <c r="C1193" s="114" t="s">
        <v>3176</v>
      </c>
    </row>
    <row r="1194" spans="1:3">
      <c r="A1194" s="115" t="s">
        <v>3177</v>
      </c>
      <c r="B1194" s="115" t="s">
        <v>3178</v>
      </c>
    </row>
    <row r="1195" spans="1:3" ht="17.25" thickBot="1">
      <c r="A1195" s="126" t="s">
        <v>1874</v>
      </c>
    </row>
    <row r="1196" spans="1:3" ht="17.25" thickBot="1">
      <c r="A1196" s="102" t="s">
        <v>1963</v>
      </c>
      <c r="B1196" s="103" t="s">
        <v>1635</v>
      </c>
      <c r="C1196" s="103" t="s">
        <v>1593</v>
      </c>
    </row>
    <row r="1197" spans="1:3" ht="17.25" thickBot="1">
      <c r="A1197" s="104" t="s">
        <v>2892</v>
      </c>
      <c r="B1197" s="5" t="s">
        <v>3179</v>
      </c>
      <c r="C1197" s="6" t="s">
        <v>3180</v>
      </c>
    </row>
    <row r="1198" spans="1:3" ht="17.25" thickBot="1">
      <c r="A1198" s="104" t="s">
        <v>3181</v>
      </c>
      <c r="B1198" s="5" t="s">
        <v>3182</v>
      </c>
      <c r="C1198" s="5" t="s">
        <v>3183</v>
      </c>
    </row>
    <row r="1199" spans="1:3" ht="17.25" thickBot="1">
      <c r="A1199" s="104" t="s">
        <v>3184</v>
      </c>
      <c r="B1199" s="5" t="s">
        <v>3185</v>
      </c>
      <c r="C1199" s="6" t="s">
        <v>3186</v>
      </c>
    </row>
    <row r="1200" spans="1:3" ht="17.25" thickBot="1">
      <c r="A1200" s="104" t="s">
        <v>3187</v>
      </c>
      <c r="B1200" s="5" t="s">
        <v>3188</v>
      </c>
      <c r="C1200" s="5" t="s">
        <v>3189</v>
      </c>
    </row>
    <row r="1201" spans="1:3" ht="17.25" thickBot="1">
      <c r="A1201" s="104" t="s">
        <v>3190</v>
      </c>
      <c r="B1201" s="5" t="s">
        <v>3188</v>
      </c>
      <c r="C1201" s="5" t="s">
        <v>3191</v>
      </c>
    </row>
    <row r="1202" spans="1:3">
      <c r="B1202" s="114" t="s">
        <v>3192</v>
      </c>
      <c r="C1202" s="114" t="s">
        <v>3193</v>
      </c>
    </row>
    <row r="1203" spans="1:3" ht="17.25" thickBot="1">
      <c r="A1203" s="126" t="s">
        <v>1646</v>
      </c>
    </row>
    <row r="1204" spans="1:3" ht="17.25" thickBot="1">
      <c r="A1204" s="102" t="s">
        <v>2189</v>
      </c>
      <c r="B1204" s="103" t="s">
        <v>1592</v>
      </c>
      <c r="C1204" s="103" t="s">
        <v>1593</v>
      </c>
    </row>
    <row r="1205" spans="1:3" ht="39" thickBot="1">
      <c r="A1205" s="135" t="s">
        <v>3194</v>
      </c>
      <c r="B1205" s="5" t="s">
        <v>1632</v>
      </c>
      <c r="C1205" s="6" t="s">
        <v>3195</v>
      </c>
    </row>
    <row r="1206" spans="1:3">
      <c r="B1206" s="114" t="s">
        <v>3196</v>
      </c>
      <c r="C1206" s="114" t="s">
        <v>3197</v>
      </c>
    </row>
    <row r="1207" spans="1:3">
      <c r="A1207" s="115" t="s">
        <v>3202</v>
      </c>
      <c r="B1207" s="115" t="s">
        <v>1602</v>
      </c>
    </row>
    <row r="1208" spans="1:3" ht="17.25" thickBot="1">
      <c r="A1208" s="126" t="s">
        <v>3203</v>
      </c>
    </row>
    <row r="1209" spans="1:3" ht="17.25" thickBot="1">
      <c r="A1209" s="102" t="s">
        <v>1591</v>
      </c>
      <c r="B1209" s="103" t="s">
        <v>1592</v>
      </c>
      <c r="C1209" s="103" t="s">
        <v>1593</v>
      </c>
    </row>
    <row r="1210" spans="1:3" ht="17.25" thickBot="1">
      <c r="A1210" s="4" t="s">
        <v>3204</v>
      </c>
      <c r="B1210" s="5" t="s">
        <v>1603</v>
      </c>
      <c r="C1210" s="6" t="s">
        <v>3205</v>
      </c>
    </row>
    <row r="1211" spans="1:3">
      <c r="B1211" s="114" t="s">
        <v>3206</v>
      </c>
      <c r="C1211" s="114" t="s">
        <v>3207</v>
      </c>
    </row>
    <row r="1212" spans="1:3">
      <c r="A1212" s="115" t="s">
        <v>3208</v>
      </c>
      <c r="B1212" s="115" t="s">
        <v>3209</v>
      </c>
    </row>
    <row r="1213" spans="1:3" ht="17.25" thickBot="1">
      <c r="A1213" s="126" t="s">
        <v>1874</v>
      </c>
    </row>
    <row r="1214" spans="1:3" ht="17.25" thickBot="1">
      <c r="A1214" s="102" t="s">
        <v>1591</v>
      </c>
      <c r="B1214" s="103" t="s">
        <v>1635</v>
      </c>
      <c r="C1214" s="103" t="s">
        <v>1593</v>
      </c>
    </row>
    <row r="1215" spans="1:3">
      <c r="A1215" s="92" t="s">
        <v>2115</v>
      </c>
      <c r="B1215" s="8" t="s">
        <v>2116</v>
      </c>
      <c r="C1215" s="91" t="s">
        <v>2117</v>
      </c>
    </row>
    <row r="1216" spans="1:3">
      <c r="A1216" s="171"/>
      <c r="B1216" s="8" t="s">
        <v>1603</v>
      </c>
      <c r="C1216" s="170"/>
    </row>
    <row r="1217" spans="1:3" ht="17.25" thickBot="1">
      <c r="A1217" s="98"/>
      <c r="B1217" s="5" t="s">
        <v>1550</v>
      </c>
      <c r="C1217" s="97"/>
    </row>
    <row r="1218" spans="1:3">
      <c r="A1218" s="92" t="s">
        <v>2118</v>
      </c>
      <c r="B1218" s="8" t="s">
        <v>3210</v>
      </c>
      <c r="C1218" s="91" t="s">
        <v>2120</v>
      </c>
    </row>
    <row r="1219" spans="1:3" ht="17.25" thickBot="1">
      <c r="A1219" s="98"/>
      <c r="B1219" s="5" t="s">
        <v>2523</v>
      </c>
      <c r="C1219" s="97"/>
    </row>
    <row r="1220" spans="1:3">
      <c r="A1220" s="92" t="s">
        <v>2121</v>
      </c>
      <c r="B1220" s="8" t="s">
        <v>2116</v>
      </c>
      <c r="C1220" s="91" t="s">
        <v>2122</v>
      </c>
    </row>
    <row r="1221" spans="1:3">
      <c r="A1221" s="171"/>
      <c r="B1221" s="8" t="s">
        <v>1603</v>
      </c>
      <c r="C1221" s="170"/>
    </row>
    <row r="1222" spans="1:3" ht="17.25" thickBot="1">
      <c r="A1222" s="98"/>
      <c r="B1222" s="5" t="s">
        <v>1550</v>
      </c>
      <c r="C1222" s="97"/>
    </row>
    <row r="1223" spans="1:3" ht="17.25" thickBot="1">
      <c r="A1223" s="4" t="s">
        <v>2123</v>
      </c>
      <c r="B1223" s="5" t="s">
        <v>3211</v>
      </c>
      <c r="C1223" s="6" t="s">
        <v>2126</v>
      </c>
    </row>
    <row r="1224" spans="1:3">
      <c r="A1224" s="176" t="s">
        <v>2132</v>
      </c>
      <c r="B1224" s="8" t="s">
        <v>0</v>
      </c>
      <c r="C1224" s="91" t="s">
        <v>2134</v>
      </c>
    </row>
    <row r="1225" spans="1:3" ht="17.25" thickBot="1">
      <c r="A1225" s="177"/>
      <c r="B1225" s="5" t="s">
        <v>2133</v>
      </c>
      <c r="C1225" s="97"/>
    </row>
    <row r="1226" spans="1:3" ht="25.5">
      <c r="A1226" s="176" t="s">
        <v>2002</v>
      </c>
      <c r="B1226" s="8" t="s">
        <v>0</v>
      </c>
      <c r="C1226" s="91" t="s">
        <v>2135</v>
      </c>
    </row>
    <row r="1227" spans="1:3" ht="17.25" thickBot="1">
      <c r="A1227" s="177"/>
      <c r="B1227" s="5" t="s">
        <v>1550</v>
      </c>
      <c r="C1227" s="97"/>
    </row>
    <row r="1228" spans="1:3">
      <c r="B1228" s="114" t="s">
        <v>3212</v>
      </c>
      <c r="C1228" s="114" t="s">
        <v>3213</v>
      </c>
    </row>
    <row r="1229" spans="1:3" ht="17.25" thickBot="1">
      <c r="A1229" s="126" t="s">
        <v>1646</v>
      </c>
    </row>
    <row r="1230" spans="1:3" ht="17.25" thickBot="1">
      <c r="A1230" s="102" t="s">
        <v>1591</v>
      </c>
      <c r="B1230" s="103" t="s">
        <v>1592</v>
      </c>
      <c r="C1230" s="103" t="s">
        <v>1593</v>
      </c>
    </row>
    <row r="1231" spans="1:3" ht="26.25" thickBot="1">
      <c r="A1231" s="4" t="s">
        <v>2138</v>
      </c>
      <c r="B1231" s="6" t="s">
        <v>1632</v>
      </c>
      <c r="C1231" s="6" t="s">
        <v>2139</v>
      </c>
    </row>
    <row r="1232" spans="1:3" ht="39" thickBot="1">
      <c r="A1232" s="4" t="s">
        <v>2140</v>
      </c>
      <c r="B1232" s="6" t="s">
        <v>1632</v>
      </c>
      <c r="C1232" s="6" t="s">
        <v>2141</v>
      </c>
    </row>
    <row r="1233" spans="1:3" ht="17.25" thickBot="1">
      <c r="A1233" s="4" t="s">
        <v>1775</v>
      </c>
      <c r="B1233" s="6" t="s">
        <v>1632</v>
      </c>
      <c r="C1233" s="5" t="s">
        <v>2142</v>
      </c>
    </row>
    <row r="1234" spans="1:3" ht="17.25" thickBot="1">
      <c r="A1234" s="4" t="s">
        <v>2143</v>
      </c>
      <c r="B1234" s="6" t="s">
        <v>1632</v>
      </c>
      <c r="C1234" s="6" t="s">
        <v>2144</v>
      </c>
    </row>
    <row r="1235" spans="1:3" ht="17.25" thickBot="1">
      <c r="A1235" s="109"/>
    </row>
    <row r="1236" spans="1:3" ht="17.25" thickBot="1">
      <c r="A1236" s="102" t="s">
        <v>1591</v>
      </c>
      <c r="B1236" s="103" t="s">
        <v>1592</v>
      </c>
      <c r="C1236" s="103" t="s">
        <v>1593</v>
      </c>
    </row>
    <row r="1237" spans="1:3" ht="17.25" thickBot="1">
      <c r="A1237" s="4" t="s">
        <v>1903</v>
      </c>
      <c r="B1237" s="5" t="s">
        <v>1603</v>
      </c>
      <c r="C1237" s="5" t="s">
        <v>2145</v>
      </c>
    </row>
    <row r="1238" spans="1:3" ht="17.25" thickBot="1">
      <c r="A1238" s="4" t="s">
        <v>1912</v>
      </c>
      <c r="B1238" s="5" t="s">
        <v>1603</v>
      </c>
      <c r="C1238" s="5" t="s">
        <v>2146</v>
      </c>
    </row>
    <row r="1239" spans="1:3" ht="17.25" thickBot="1">
      <c r="A1239" s="4" t="s">
        <v>1915</v>
      </c>
      <c r="B1239" s="5" t="s">
        <v>1624</v>
      </c>
      <c r="C1239" s="5" t="s">
        <v>2014</v>
      </c>
    </row>
    <row r="1240" spans="1:3" ht="27">
      <c r="A1240" s="134" t="s">
        <v>2147</v>
      </c>
      <c r="B1240" s="91" t="s">
        <v>1632</v>
      </c>
      <c r="C1240" s="91" t="s">
        <v>2149</v>
      </c>
    </row>
    <row r="1241" spans="1:3" ht="17.25" thickBot="1">
      <c r="A1241" s="4" t="s">
        <v>2148</v>
      </c>
      <c r="B1241" s="97"/>
      <c r="C1241" s="97"/>
    </row>
    <row r="1242" spans="1:3" ht="17.25" thickBot="1">
      <c r="A1242" s="4" t="s">
        <v>2150</v>
      </c>
      <c r="B1242" s="5" t="s">
        <v>1603</v>
      </c>
      <c r="C1242" s="5" t="s">
        <v>2151</v>
      </c>
    </row>
    <row r="1243" spans="1:3" ht="17.25" thickBot="1">
      <c r="A1243" s="4" t="s">
        <v>2152</v>
      </c>
      <c r="B1243" s="5" t="s">
        <v>1603</v>
      </c>
      <c r="C1243" s="6" t="s">
        <v>2153</v>
      </c>
    </row>
    <row r="1244" spans="1:3" ht="17.25" thickBot="1">
      <c r="A1244" s="4" t="s">
        <v>2015</v>
      </c>
      <c r="B1244" s="6" t="s">
        <v>1632</v>
      </c>
      <c r="C1244" s="6" t="s">
        <v>2156</v>
      </c>
    </row>
    <row r="1245" spans="1:3">
      <c r="A1245" s="92" t="s">
        <v>2023</v>
      </c>
      <c r="B1245" s="8" t="s">
        <v>66</v>
      </c>
      <c r="C1245" s="91" t="s">
        <v>2158</v>
      </c>
    </row>
    <row r="1246" spans="1:3" ht="17.25" thickBot="1">
      <c r="A1246" s="98"/>
      <c r="B1246" s="5" t="s">
        <v>2157</v>
      </c>
      <c r="C1246" s="97"/>
    </row>
    <row r="1247" spans="1:3" ht="17.25" thickBot="1">
      <c r="A1247" s="4" t="s">
        <v>2021</v>
      </c>
      <c r="B1247" s="6" t="s">
        <v>1632</v>
      </c>
      <c r="C1247" s="5" t="s">
        <v>2022</v>
      </c>
    </row>
    <row r="1248" spans="1:3" ht="17.25" thickBot="1">
      <c r="A1248" s="4" t="s">
        <v>2017</v>
      </c>
      <c r="B1248" s="6" t="s">
        <v>1632</v>
      </c>
      <c r="C1248" s="6" t="s">
        <v>2159</v>
      </c>
    </row>
    <row r="1249" spans="1:3" ht="17.25" thickBot="1">
      <c r="A1249" s="4" t="s">
        <v>2019</v>
      </c>
      <c r="B1249" s="5" t="s">
        <v>1625</v>
      </c>
      <c r="C1249" s="6" t="s">
        <v>2160</v>
      </c>
    </row>
    <row r="1250" spans="1:3" ht="17.25" thickBot="1">
      <c r="A1250" s="4" t="s">
        <v>1922</v>
      </c>
      <c r="B1250" s="5" t="s">
        <v>1566</v>
      </c>
      <c r="C1250" s="5" t="s">
        <v>2161</v>
      </c>
    </row>
    <row r="1251" spans="1:3" ht="17.25" thickBot="1">
      <c r="A1251" s="4" t="s">
        <v>1924</v>
      </c>
      <c r="B1251" s="5" t="s">
        <v>1603</v>
      </c>
      <c r="C1251" s="5" t="s">
        <v>2162</v>
      </c>
    </row>
    <row r="1252" spans="1:3">
      <c r="A1252" s="92" t="s">
        <v>2025</v>
      </c>
      <c r="B1252" s="91" t="s">
        <v>1603</v>
      </c>
      <c r="C1252" s="8" t="s">
        <v>2026</v>
      </c>
    </row>
    <row r="1253" spans="1:3" ht="39" thickBot="1">
      <c r="A1253" s="98"/>
      <c r="B1253" s="97"/>
      <c r="C1253" s="6" t="s">
        <v>2027</v>
      </c>
    </row>
    <row r="1254" spans="1:3" ht="17.25" thickBot="1">
      <c r="A1254" s="4" t="s">
        <v>2163</v>
      </c>
      <c r="B1254" s="5" t="s">
        <v>1603</v>
      </c>
      <c r="C1254" s="6" t="s">
        <v>2164</v>
      </c>
    </row>
    <row r="1255" spans="1:3" ht="17.25" thickBot="1">
      <c r="A1255" s="99" t="s">
        <v>1591</v>
      </c>
      <c r="B1255" s="100" t="s">
        <v>1592</v>
      </c>
      <c r="C1255" s="100" t="s">
        <v>1593</v>
      </c>
    </row>
    <row r="1256" spans="1:3" ht="17.25" thickBot="1">
      <c r="A1256" s="4" t="s">
        <v>2165</v>
      </c>
      <c r="B1256" s="6" t="s">
        <v>1632</v>
      </c>
      <c r="C1256" s="6" t="s">
        <v>2166</v>
      </c>
    </row>
    <row r="1257" spans="1:3" ht="17.25" thickBot="1">
      <c r="A1257" s="4" t="s">
        <v>2167</v>
      </c>
      <c r="B1257" s="6" t="s">
        <v>1632</v>
      </c>
      <c r="C1257" s="6" t="s">
        <v>2168</v>
      </c>
    </row>
    <row r="1258" spans="1:3" ht="17.25" thickBot="1">
      <c r="A1258" s="4" t="s">
        <v>2169</v>
      </c>
      <c r="B1258" s="6" t="s">
        <v>1632</v>
      </c>
      <c r="C1258" s="5" t="s">
        <v>2170</v>
      </c>
    </row>
    <row r="1259" spans="1:3">
      <c r="B1259" s="114" t="s">
        <v>3214</v>
      </c>
      <c r="C1259" s="114" t="s">
        <v>3215</v>
      </c>
    </row>
    <row r="1260" spans="1:3">
      <c r="A1260" s="115" t="s">
        <v>3216</v>
      </c>
      <c r="B1260" s="115" t="s">
        <v>3217</v>
      </c>
    </row>
    <row r="1261" spans="1:3" ht="17.25" thickBot="1">
      <c r="A1261" s="126" t="s">
        <v>1874</v>
      </c>
    </row>
    <row r="1262" spans="1:3" ht="17.25" thickBot="1">
      <c r="A1262" s="102" t="s">
        <v>1591</v>
      </c>
      <c r="B1262" s="103" t="s">
        <v>1635</v>
      </c>
      <c r="C1262" s="103" t="s">
        <v>1593</v>
      </c>
    </row>
    <row r="1263" spans="1:3" ht="17.25" thickBot="1">
      <c r="A1263" s="4" t="s">
        <v>3218</v>
      </c>
      <c r="B1263" s="5" t="s">
        <v>1559</v>
      </c>
      <c r="C1263" s="5" t="s">
        <v>3219</v>
      </c>
    </row>
    <row r="1264" spans="1:3" ht="17.25" thickBot="1">
      <c r="A1264" s="4" t="s">
        <v>3220</v>
      </c>
      <c r="B1264" s="5" t="s">
        <v>1559</v>
      </c>
      <c r="C1264" s="5" t="s">
        <v>3221</v>
      </c>
    </row>
    <row r="1265" spans="1:3" ht="17.25" thickBot="1">
      <c r="A1265" s="4" t="s">
        <v>3222</v>
      </c>
      <c r="B1265" s="5" t="s">
        <v>1559</v>
      </c>
      <c r="C1265" s="5" t="s">
        <v>3223</v>
      </c>
    </row>
    <row r="1266" spans="1:3">
      <c r="A1266" s="92" t="s">
        <v>1556</v>
      </c>
      <c r="B1266" s="8" t="s">
        <v>3224</v>
      </c>
      <c r="C1266" s="91" t="s">
        <v>3225</v>
      </c>
    </row>
    <row r="1267" spans="1:3" ht="17.25" thickBot="1">
      <c r="A1267" s="98"/>
      <c r="B1267" s="5" t="s">
        <v>1550</v>
      </c>
      <c r="C1267" s="97"/>
    </row>
    <row r="1268" spans="1:3">
      <c r="B1268" s="114" t="s">
        <v>3226</v>
      </c>
      <c r="C1268" s="114" t="s">
        <v>3227</v>
      </c>
    </row>
    <row r="1269" spans="1:3" ht="17.25" thickBot="1">
      <c r="A1269" s="126" t="s">
        <v>1646</v>
      </c>
    </row>
    <row r="1270" spans="1:3" ht="17.25" thickBot="1">
      <c r="A1270" s="102" t="s">
        <v>1591</v>
      </c>
      <c r="B1270" s="103" t="s">
        <v>1592</v>
      </c>
      <c r="C1270" s="103" t="s">
        <v>1593</v>
      </c>
    </row>
    <row r="1271" spans="1:3" ht="17.25" thickBot="1">
      <c r="A1271" s="4" t="s">
        <v>3228</v>
      </c>
      <c r="B1271" s="6" t="s">
        <v>1619</v>
      </c>
      <c r="C1271" s="5" t="s">
        <v>3229</v>
      </c>
    </row>
    <row r="1272" spans="1:3" ht="17.25" thickBot="1">
      <c r="A1272" s="4" t="s">
        <v>3230</v>
      </c>
      <c r="B1272" s="6" t="s">
        <v>1619</v>
      </c>
      <c r="C1272" s="6" t="s">
        <v>3231</v>
      </c>
    </row>
    <row r="1273" spans="1:3" ht="17.25" thickBot="1">
      <c r="A1273" s="4" t="s">
        <v>3232</v>
      </c>
      <c r="B1273" s="5" t="s">
        <v>1566</v>
      </c>
      <c r="C1273" s="5" t="s">
        <v>3233</v>
      </c>
    </row>
    <row r="1274" spans="1:3" ht="17.25" thickBot="1">
      <c r="A1274" s="4" t="s">
        <v>3234</v>
      </c>
      <c r="B1274" s="5" t="s">
        <v>1566</v>
      </c>
      <c r="C1274" s="6" t="s">
        <v>3235</v>
      </c>
    </row>
    <row r="1275" spans="1:3" ht="17.25" thickBot="1">
      <c r="A1275" s="4" t="s">
        <v>2352</v>
      </c>
      <c r="B1275" s="5" t="s">
        <v>1603</v>
      </c>
      <c r="C1275" s="5" t="s">
        <v>3236</v>
      </c>
    </row>
    <row r="1276" spans="1:3" ht="17.25" thickBot="1">
      <c r="A1276" s="4" t="s">
        <v>3237</v>
      </c>
      <c r="B1276" s="6" t="s">
        <v>1619</v>
      </c>
      <c r="C1276" s="6" t="s">
        <v>3238</v>
      </c>
    </row>
    <row r="1277" spans="1:3">
      <c r="A1277" s="92" t="s">
        <v>3239</v>
      </c>
      <c r="B1277" s="91" t="s">
        <v>1561</v>
      </c>
      <c r="C1277" s="7" t="s">
        <v>3240</v>
      </c>
    </row>
    <row r="1278" spans="1:3" ht="17.25" thickBot="1">
      <c r="A1278" s="98"/>
      <c r="B1278" s="97"/>
      <c r="C1278" s="5" t="s">
        <v>3241</v>
      </c>
    </row>
    <row r="1279" spans="1:3">
      <c r="A1279" s="92" t="s">
        <v>3242</v>
      </c>
      <c r="B1279" s="91" t="s">
        <v>1561</v>
      </c>
      <c r="C1279" s="7" t="s">
        <v>3243</v>
      </c>
    </row>
    <row r="1280" spans="1:3" ht="17.25" thickBot="1">
      <c r="A1280" s="98"/>
      <c r="B1280" s="97"/>
      <c r="C1280" s="5" t="s">
        <v>3241</v>
      </c>
    </row>
    <row r="1281" spans="1:3">
      <c r="A1281" s="92" t="s">
        <v>3244</v>
      </c>
      <c r="B1281" s="91" t="s">
        <v>1561</v>
      </c>
      <c r="C1281" s="7" t="s">
        <v>3245</v>
      </c>
    </row>
    <row r="1282" spans="1:3">
      <c r="A1282" s="171"/>
      <c r="B1282" s="170"/>
      <c r="C1282" s="8" t="s">
        <v>3246</v>
      </c>
    </row>
    <row r="1283" spans="1:3" ht="17.25" thickBot="1">
      <c r="A1283" s="98"/>
      <c r="B1283" s="97"/>
      <c r="C1283" s="5" t="s">
        <v>3247</v>
      </c>
    </row>
    <row r="1284" spans="1:3">
      <c r="B1284" s="114" t="s">
        <v>3248</v>
      </c>
      <c r="C1284" s="114" t="s">
        <v>3249</v>
      </c>
    </row>
    <row r="1285" spans="1:3">
      <c r="A1285" s="115" t="s">
        <v>3250</v>
      </c>
      <c r="B1285" s="115" t="s">
        <v>3251</v>
      </c>
    </row>
    <row r="1286" spans="1:3" ht="17.25" thickBot="1">
      <c r="A1286" s="126" t="s">
        <v>1874</v>
      </c>
    </row>
    <row r="1287" spans="1:3" ht="17.25" thickBot="1">
      <c r="A1287" s="102" t="s">
        <v>1591</v>
      </c>
      <c r="B1287" s="103" t="s">
        <v>1635</v>
      </c>
      <c r="C1287" s="103" t="s">
        <v>1593</v>
      </c>
    </row>
    <row r="1288" spans="1:3">
      <c r="A1288" s="92" t="s">
        <v>2111</v>
      </c>
      <c r="B1288" s="8" t="s">
        <v>1603</v>
      </c>
      <c r="C1288" s="7" t="s">
        <v>3252</v>
      </c>
    </row>
    <row r="1289" spans="1:3" ht="26.25" thickBot="1">
      <c r="A1289" s="98"/>
      <c r="B1289" s="5" t="s">
        <v>1550</v>
      </c>
      <c r="C1289" s="6" t="s">
        <v>3253</v>
      </c>
    </row>
    <row r="1290" spans="1:3" ht="17.25" thickBot="1">
      <c r="A1290" s="4" t="s">
        <v>1996</v>
      </c>
      <c r="B1290" s="5" t="s">
        <v>1559</v>
      </c>
      <c r="C1290" s="6" t="s">
        <v>3254</v>
      </c>
    </row>
    <row r="1291" spans="1:3">
      <c r="A1291" s="92" t="s">
        <v>1996</v>
      </c>
      <c r="B1291" s="8" t="s">
        <v>1603</v>
      </c>
      <c r="C1291" s="91" t="s">
        <v>3255</v>
      </c>
    </row>
    <row r="1292" spans="1:3" ht="17.25" thickBot="1">
      <c r="A1292" s="98"/>
      <c r="B1292" s="5" t="s">
        <v>1550</v>
      </c>
      <c r="C1292" s="97"/>
    </row>
    <row r="1293" spans="1:3">
      <c r="B1293" s="114" t="s">
        <v>3256</v>
      </c>
      <c r="C1293" s="114" t="s">
        <v>3257</v>
      </c>
    </row>
    <row r="1294" spans="1:3" ht="17.25" thickBot="1">
      <c r="A1294" s="126" t="s">
        <v>1646</v>
      </c>
    </row>
    <row r="1295" spans="1:3" ht="17.25" thickBot="1">
      <c r="A1295" s="102" t="s">
        <v>1591</v>
      </c>
      <c r="B1295" s="103" t="s">
        <v>1592</v>
      </c>
      <c r="C1295" s="103" t="s">
        <v>1593</v>
      </c>
    </row>
    <row r="1296" spans="1:3">
      <c r="A1296" s="96" t="s">
        <v>3258</v>
      </c>
      <c r="B1296" s="91" t="s">
        <v>1632</v>
      </c>
      <c r="C1296" s="91" t="s">
        <v>3261</v>
      </c>
    </row>
    <row r="1297" spans="1:3">
      <c r="A1297" s="96" t="s">
        <v>3259</v>
      </c>
      <c r="B1297" s="170"/>
      <c r="C1297" s="170"/>
    </row>
    <row r="1298" spans="1:3">
      <c r="A1298" s="96" t="s">
        <v>3260</v>
      </c>
      <c r="B1298" s="170"/>
      <c r="C1298" s="170"/>
    </row>
    <row r="1299" spans="1:3" ht="17.25" thickBot="1">
      <c r="A1299" s="4" t="s">
        <v>2428</v>
      </c>
      <c r="B1299" s="97"/>
      <c r="C1299" s="97"/>
    </row>
    <row r="1300" spans="1:3" ht="17.25" thickBot="1">
      <c r="A1300" s="4" t="s">
        <v>1903</v>
      </c>
      <c r="B1300" s="5" t="s">
        <v>1603</v>
      </c>
      <c r="C1300" s="5" t="s">
        <v>2012</v>
      </c>
    </row>
    <row r="1301" spans="1:3" ht="17.25" thickBot="1">
      <c r="A1301" s="4" t="s">
        <v>1912</v>
      </c>
      <c r="B1301" s="5" t="s">
        <v>1603</v>
      </c>
      <c r="C1301" s="5" t="s">
        <v>2013</v>
      </c>
    </row>
    <row r="1302" spans="1:3" ht="17.25" thickBot="1">
      <c r="A1302" s="4" t="s">
        <v>1915</v>
      </c>
      <c r="B1302" s="5" t="s">
        <v>1624</v>
      </c>
      <c r="C1302" s="5" t="s">
        <v>2014</v>
      </c>
    </row>
    <row r="1303" spans="1:3" ht="17.25" thickBot="1">
      <c r="A1303" s="4" t="s">
        <v>3262</v>
      </c>
      <c r="B1303" s="6" t="s">
        <v>1632</v>
      </c>
      <c r="C1303" s="6" t="s">
        <v>2016</v>
      </c>
    </row>
    <row r="1304" spans="1:3" ht="17.25" thickBot="1">
      <c r="A1304" s="4" t="s">
        <v>2554</v>
      </c>
      <c r="B1304" s="6" t="s">
        <v>1632</v>
      </c>
      <c r="C1304" s="6" t="s">
        <v>2018</v>
      </c>
    </row>
    <row r="1305" spans="1:3" ht="17.25" thickBot="1">
      <c r="A1305" s="4" t="s">
        <v>2019</v>
      </c>
      <c r="B1305" s="5" t="s">
        <v>1625</v>
      </c>
      <c r="C1305" s="6" t="s">
        <v>2160</v>
      </c>
    </row>
    <row r="1306" spans="1:3" ht="17.25" thickBot="1">
      <c r="A1306" s="4" t="s">
        <v>1922</v>
      </c>
      <c r="B1306" s="5" t="s">
        <v>1566</v>
      </c>
      <c r="C1306" s="5" t="s">
        <v>2161</v>
      </c>
    </row>
    <row r="1307" spans="1:3" ht="17.25" thickBot="1">
      <c r="A1307" s="99" t="s">
        <v>1591</v>
      </c>
      <c r="B1307" s="100" t="s">
        <v>1592</v>
      </c>
      <c r="C1307" s="100" t="s">
        <v>1593</v>
      </c>
    </row>
    <row r="1308" spans="1:3" ht="17.25" thickBot="1">
      <c r="A1308" s="4" t="s">
        <v>1924</v>
      </c>
      <c r="B1308" s="5" t="s">
        <v>1603</v>
      </c>
      <c r="C1308" s="5" t="s">
        <v>3263</v>
      </c>
    </row>
    <row r="1309" spans="1:3">
      <c r="A1309" s="92" t="s">
        <v>2025</v>
      </c>
      <c r="B1309" s="91" t="s">
        <v>1603</v>
      </c>
      <c r="C1309" s="8" t="s">
        <v>2026</v>
      </c>
    </row>
    <row r="1310" spans="1:3" ht="39" thickBot="1">
      <c r="A1310" s="98"/>
      <c r="B1310" s="97"/>
      <c r="C1310" s="6" t="s">
        <v>2027</v>
      </c>
    </row>
    <row r="1311" spans="1:3">
      <c r="B1311" s="114" t="s">
        <v>3264</v>
      </c>
      <c r="C1311" s="114" t="s">
        <v>3265</v>
      </c>
    </row>
    <row r="1312" spans="1:3">
      <c r="A1312" s="115" t="s">
        <v>3267</v>
      </c>
      <c r="B1312" s="115" t="s">
        <v>3268</v>
      </c>
    </row>
    <row r="1313" spans="1:3" ht="17.25" thickBot="1">
      <c r="A1313" s="126" t="s">
        <v>1874</v>
      </c>
    </row>
    <row r="1314" spans="1:3" ht="17.25" thickBot="1">
      <c r="A1314" s="102" t="s">
        <v>1591</v>
      </c>
      <c r="B1314" s="103" t="s">
        <v>1635</v>
      </c>
      <c r="C1314" s="103" t="s">
        <v>1593</v>
      </c>
    </row>
    <row r="1315" spans="1:3" ht="17.25" thickBot="1">
      <c r="A1315" s="4" t="s">
        <v>1674</v>
      </c>
      <c r="B1315" s="5" t="s">
        <v>2831</v>
      </c>
      <c r="C1315" s="5" t="s">
        <v>3269</v>
      </c>
    </row>
    <row r="1316" spans="1:3">
      <c r="A1316" s="92" t="s">
        <v>1677</v>
      </c>
      <c r="B1316" s="8" t="s">
        <v>1620</v>
      </c>
      <c r="C1316" s="91" t="s">
        <v>3270</v>
      </c>
    </row>
    <row r="1317" spans="1:3" ht="17.25" thickBot="1">
      <c r="A1317" s="98"/>
      <c r="B1317" s="5" t="s">
        <v>1550</v>
      </c>
      <c r="C1317" s="97"/>
    </row>
    <row r="1318" spans="1:3" ht="17.25" thickBot="1">
      <c r="B1318" s="114" t="s">
        <v>3271</v>
      </c>
      <c r="C1318" s="114" t="s">
        <v>3272</v>
      </c>
    </row>
    <row r="1319" spans="1:3" ht="17.25" thickBot="1">
      <c r="A1319" s="102" t="s">
        <v>1591</v>
      </c>
      <c r="B1319" s="103" t="s">
        <v>1592</v>
      </c>
      <c r="C1319" s="103" t="s">
        <v>1593</v>
      </c>
    </row>
    <row r="1320" spans="1:3" ht="17.25" thickBot="1">
      <c r="A1320" s="4" t="s">
        <v>3273</v>
      </c>
      <c r="B1320" s="5" t="s">
        <v>1611</v>
      </c>
      <c r="C1320" s="6" t="s">
        <v>3274</v>
      </c>
    </row>
    <row r="1321" spans="1:3" ht="17.25" thickBot="1">
      <c r="A1321" s="4" t="s">
        <v>1634</v>
      </c>
      <c r="B1321" s="5" t="s">
        <v>1603</v>
      </c>
      <c r="C1321" s="6" t="s">
        <v>3275</v>
      </c>
    </row>
    <row r="1322" spans="1:3" ht="26.25" thickBot="1">
      <c r="A1322" s="4" t="s">
        <v>3276</v>
      </c>
      <c r="B1322" s="6" t="s">
        <v>1561</v>
      </c>
      <c r="C1322" s="6" t="s">
        <v>3277</v>
      </c>
    </row>
    <row r="1323" spans="1:3" ht="26.25" thickBot="1">
      <c r="A1323" s="4" t="s">
        <v>3278</v>
      </c>
      <c r="B1323" s="6" t="s">
        <v>1632</v>
      </c>
      <c r="C1323" s="6" t="s">
        <v>3279</v>
      </c>
    </row>
    <row r="1324" spans="1:3">
      <c r="B1324" s="114" t="s">
        <v>3280</v>
      </c>
      <c r="C1324" s="114" t="s">
        <v>3281</v>
      </c>
    </row>
    <row r="1325" spans="1:3" ht="17.25" thickBot="1">
      <c r="A1325" s="126" t="s">
        <v>3282</v>
      </c>
    </row>
    <row r="1326" spans="1:3" ht="17.25" thickBot="1">
      <c r="A1326" s="102" t="s">
        <v>1591</v>
      </c>
      <c r="B1326" s="103" t="s">
        <v>1592</v>
      </c>
      <c r="C1326" s="103" t="s">
        <v>1593</v>
      </c>
    </row>
    <row r="1327" spans="1:3" ht="17.25" thickBot="1">
      <c r="A1327" s="4" t="s">
        <v>3283</v>
      </c>
      <c r="B1327" s="5" t="s">
        <v>1620</v>
      </c>
      <c r="C1327" s="6" t="s">
        <v>3284</v>
      </c>
    </row>
    <row r="1328" spans="1:3">
      <c r="A1328" s="96" t="s">
        <v>3285</v>
      </c>
      <c r="B1328" s="91" t="s">
        <v>1620</v>
      </c>
      <c r="C1328" s="91" t="s">
        <v>3287</v>
      </c>
    </row>
    <row r="1329" spans="1:3" ht="17.25" thickBot="1">
      <c r="A1329" s="4" t="s">
        <v>3286</v>
      </c>
      <c r="B1329" s="97"/>
      <c r="C1329" s="97"/>
    </row>
    <row r="1330" spans="1:3">
      <c r="A1330" s="92" t="s">
        <v>1749</v>
      </c>
      <c r="B1330" s="7" t="s">
        <v>2116</v>
      </c>
      <c r="C1330" s="91" t="s">
        <v>3288</v>
      </c>
    </row>
    <row r="1331" spans="1:3" ht="17.25" thickBot="1">
      <c r="A1331" s="98"/>
      <c r="B1331" s="5" t="s">
        <v>2607</v>
      </c>
      <c r="C1331" s="97"/>
    </row>
    <row r="1332" spans="1:3" ht="17.25" thickBot="1">
      <c r="A1332" s="4" t="s">
        <v>3289</v>
      </c>
      <c r="B1332" s="5" t="s">
        <v>1620</v>
      </c>
      <c r="C1332" s="6" t="s">
        <v>3290</v>
      </c>
    </row>
    <row r="1333" spans="1:3" ht="25.5">
      <c r="A1333" s="92" t="s">
        <v>3291</v>
      </c>
      <c r="B1333" s="8" t="s">
        <v>3292</v>
      </c>
      <c r="C1333" s="91" t="s">
        <v>3294</v>
      </c>
    </row>
    <row r="1334" spans="1:3" ht="17.25" thickBot="1">
      <c r="A1334" s="98"/>
      <c r="B1334" s="5" t="s">
        <v>3293</v>
      </c>
      <c r="C1334" s="97"/>
    </row>
    <row r="1335" spans="1:3" ht="17.25" thickBot="1">
      <c r="A1335" s="4" t="s">
        <v>3295</v>
      </c>
      <c r="B1335" s="5" t="s">
        <v>1620</v>
      </c>
      <c r="C1335" s="6" t="s">
        <v>3296</v>
      </c>
    </row>
    <row r="1336" spans="1:3" ht="17.25" thickBot="1">
      <c r="A1336" s="4" t="s">
        <v>1735</v>
      </c>
      <c r="B1336" s="5" t="s">
        <v>1620</v>
      </c>
      <c r="C1336" s="6" t="s">
        <v>3297</v>
      </c>
    </row>
    <row r="1337" spans="1:3">
      <c r="B1337" s="114" t="s">
        <v>3298</v>
      </c>
      <c r="C1337" s="114" t="s">
        <v>3299</v>
      </c>
    </row>
    <row r="1338" spans="1:3" ht="17.25" thickBot="1">
      <c r="A1338" s="126" t="s">
        <v>3300</v>
      </c>
    </row>
    <row r="1339" spans="1:3" ht="17.25" thickBot="1">
      <c r="A1339" s="102" t="s">
        <v>1591</v>
      </c>
      <c r="B1339" s="103" t="s">
        <v>1592</v>
      </c>
      <c r="C1339" s="103" t="s">
        <v>1593</v>
      </c>
    </row>
    <row r="1340" spans="1:3" ht="17.25" thickBot="1">
      <c r="A1340" s="4" t="s">
        <v>3301</v>
      </c>
      <c r="B1340" s="5" t="s">
        <v>1608</v>
      </c>
      <c r="C1340" s="6" t="s">
        <v>3302</v>
      </c>
    </row>
    <row r="1341" spans="1:3" ht="77.25" thickBot="1">
      <c r="A1341" s="4" t="s">
        <v>3303</v>
      </c>
      <c r="B1341" s="5" t="s">
        <v>1608</v>
      </c>
      <c r="C1341" s="6" t="s">
        <v>3304</v>
      </c>
    </row>
    <row r="1342" spans="1:3">
      <c r="B1342" s="114" t="s">
        <v>3305</v>
      </c>
      <c r="C1342" s="114" t="s">
        <v>3306</v>
      </c>
    </row>
    <row r="1343" spans="1:3" ht="17.25" thickBot="1">
      <c r="A1343" s="126" t="s">
        <v>3307</v>
      </c>
    </row>
    <row r="1344" spans="1:3" ht="17.25" thickBot="1">
      <c r="A1344" s="102" t="s">
        <v>1591</v>
      </c>
      <c r="B1344" s="103" t="s">
        <v>1592</v>
      </c>
      <c r="C1344" s="103" t="s">
        <v>1593</v>
      </c>
    </row>
    <row r="1345" spans="1:3" ht="25.5">
      <c r="A1345" s="92" t="s">
        <v>3308</v>
      </c>
      <c r="B1345" s="8" t="s">
        <v>3309</v>
      </c>
      <c r="C1345" s="91" t="s">
        <v>3310</v>
      </c>
    </row>
    <row r="1346" spans="1:3" ht="17.25" thickBot="1">
      <c r="A1346" s="98"/>
      <c r="B1346" s="5" t="s">
        <v>501</v>
      </c>
      <c r="C1346" s="97"/>
    </row>
    <row r="1347" spans="1:3">
      <c r="A1347" s="115" t="s">
        <v>3311</v>
      </c>
      <c r="B1347" s="115" t="s">
        <v>3312</v>
      </c>
    </row>
    <row r="1348" spans="1:3" ht="17.25" thickBot="1">
      <c r="A1348" s="126" t="s">
        <v>1874</v>
      </c>
    </row>
    <row r="1349" spans="1:3" ht="17.25" thickBot="1">
      <c r="A1349" s="102" t="s">
        <v>1591</v>
      </c>
      <c r="B1349" s="103" t="s">
        <v>1635</v>
      </c>
      <c r="C1349" s="103" t="s">
        <v>1593</v>
      </c>
    </row>
    <row r="1350" spans="1:3">
      <c r="A1350" s="92" t="s">
        <v>1677</v>
      </c>
      <c r="B1350" s="8" t="s">
        <v>1620</v>
      </c>
      <c r="C1350" s="91" t="s">
        <v>3313</v>
      </c>
    </row>
    <row r="1351" spans="1:3" ht="17.25" thickBot="1">
      <c r="A1351" s="98"/>
      <c r="B1351" s="5" t="s">
        <v>1550</v>
      </c>
      <c r="C1351" s="97"/>
    </row>
    <row r="1352" spans="1:3">
      <c r="A1352" s="92" t="s">
        <v>1674</v>
      </c>
      <c r="B1352" s="7" t="s">
        <v>1619</v>
      </c>
      <c r="C1352" s="91" t="s">
        <v>3314</v>
      </c>
    </row>
    <row r="1353" spans="1:3" ht="17.25" thickBot="1">
      <c r="A1353" s="98"/>
      <c r="B1353" s="5" t="s">
        <v>1550</v>
      </c>
      <c r="C1353" s="97"/>
    </row>
    <row r="1354" spans="1:3">
      <c r="A1354" s="92" t="s">
        <v>3315</v>
      </c>
      <c r="B1354" s="8" t="s">
        <v>1745</v>
      </c>
      <c r="C1354" s="91" t="s">
        <v>3316</v>
      </c>
    </row>
    <row r="1355" spans="1:3" ht="17.25" thickBot="1">
      <c r="A1355" s="98"/>
      <c r="B1355" s="5" t="s">
        <v>1550</v>
      </c>
      <c r="C1355" s="97"/>
    </row>
    <row r="1356" spans="1:3">
      <c r="A1356" s="92" t="s">
        <v>3317</v>
      </c>
      <c r="B1356" s="8" t="s">
        <v>1745</v>
      </c>
      <c r="C1356" s="91" t="s">
        <v>3318</v>
      </c>
    </row>
    <row r="1357" spans="1:3" ht="17.25" thickBot="1">
      <c r="A1357" s="98"/>
      <c r="B1357" s="5" t="s">
        <v>1550</v>
      </c>
      <c r="C1357" s="97"/>
    </row>
    <row r="1358" spans="1:3" ht="17.25" thickBot="1">
      <c r="A1358" s="126" t="s">
        <v>1646</v>
      </c>
    </row>
    <row r="1359" spans="1:3" ht="17.25" thickBot="1">
      <c r="A1359" s="102" t="s">
        <v>1591</v>
      </c>
      <c r="B1359" s="103" t="s">
        <v>1592</v>
      </c>
      <c r="C1359" s="103" t="s">
        <v>1593</v>
      </c>
    </row>
    <row r="1360" spans="1:3">
      <c r="A1360" s="96" t="s">
        <v>3319</v>
      </c>
      <c r="B1360" s="91" t="s">
        <v>1612</v>
      </c>
      <c r="C1360" s="7" t="s">
        <v>3321</v>
      </c>
    </row>
    <row r="1361" spans="1:3">
      <c r="A1361" s="96" t="s">
        <v>3320</v>
      </c>
      <c r="B1361" s="170"/>
      <c r="C1361" s="8" t="s">
        <v>3322</v>
      </c>
    </row>
    <row r="1362" spans="1:3" ht="17.25" thickBot="1">
      <c r="A1362" s="113"/>
      <c r="B1362" s="97"/>
      <c r="C1362" s="6" t="s">
        <v>3323</v>
      </c>
    </row>
    <row r="1363" spans="1:3" ht="17.25" thickBot="1">
      <c r="A1363" s="4" t="s">
        <v>3324</v>
      </c>
      <c r="B1363" s="5" t="s">
        <v>0</v>
      </c>
      <c r="C1363" s="5" t="s">
        <v>3325</v>
      </c>
    </row>
    <row r="1364" spans="1:3" ht="17.25" thickBot="1">
      <c r="A1364" s="4" t="s">
        <v>3326</v>
      </c>
      <c r="B1364" s="5" t="s">
        <v>0</v>
      </c>
      <c r="C1364" s="5" t="s">
        <v>3327</v>
      </c>
    </row>
    <row r="1365" spans="1:3" ht="17.25" thickBot="1">
      <c r="A1365" s="4" t="s">
        <v>3328</v>
      </c>
      <c r="B1365" s="5" t="s">
        <v>1566</v>
      </c>
      <c r="C1365" s="6" t="s">
        <v>3329</v>
      </c>
    </row>
    <row r="1366" spans="1:3">
      <c r="B1366" s="114" t="s">
        <v>3330</v>
      </c>
      <c r="C1366" s="114" t="s">
        <v>3331</v>
      </c>
    </row>
    <row r="1367" spans="1:3" ht="17.25" thickBot="1">
      <c r="A1367" s="115" t="s">
        <v>3332</v>
      </c>
      <c r="B1367" s="115" t="s">
        <v>3333</v>
      </c>
    </row>
    <row r="1368" spans="1:3" ht="17.25" thickBot="1">
      <c r="A1368" s="102" t="s">
        <v>1591</v>
      </c>
      <c r="B1368" s="103" t="s">
        <v>1592</v>
      </c>
      <c r="C1368" s="103" t="s">
        <v>1593</v>
      </c>
    </row>
    <row r="1369" spans="1:3">
      <c r="A1369" s="176" t="s">
        <v>3334</v>
      </c>
      <c r="B1369" s="91" t="s">
        <v>1632</v>
      </c>
      <c r="C1369" s="7" t="s">
        <v>3335</v>
      </c>
    </row>
    <row r="1370" spans="1:3" ht="17.25" thickBot="1">
      <c r="A1370" s="177"/>
      <c r="B1370" s="97"/>
      <c r="C1370" s="5" t="s">
        <v>3336</v>
      </c>
    </row>
    <row r="1371" spans="1:3" ht="17.25" thickBot="1">
      <c r="A1371" s="145" t="s">
        <v>3337</v>
      </c>
      <c r="B1371" s="5" t="s">
        <v>0</v>
      </c>
      <c r="C1371" s="5" t="s">
        <v>3338</v>
      </c>
    </row>
    <row r="1372" spans="1:3" ht="17.25" thickBot="1">
      <c r="A1372" s="145" t="s">
        <v>3339</v>
      </c>
      <c r="B1372" s="5" t="s">
        <v>1632</v>
      </c>
      <c r="C1372" s="5" t="s">
        <v>3340</v>
      </c>
    </row>
    <row r="1373" spans="1:3">
      <c r="A1373" s="176" t="s">
        <v>3341</v>
      </c>
      <c r="B1373" s="91" t="s">
        <v>1632</v>
      </c>
      <c r="C1373" s="7" t="s">
        <v>3342</v>
      </c>
    </row>
    <row r="1374" spans="1:3" ht="17.25" thickBot="1">
      <c r="A1374" s="177"/>
      <c r="B1374" s="97"/>
      <c r="C1374" s="6" t="s">
        <v>3343</v>
      </c>
    </row>
    <row r="1375" spans="1:3" ht="17.25" thickBot="1">
      <c r="A1375" s="145" t="s">
        <v>3344</v>
      </c>
      <c r="B1375" s="5" t="s">
        <v>1620</v>
      </c>
      <c r="C1375" s="5" t="s">
        <v>3345</v>
      </c>
    </row>
    <row r="1376" spans="1:3" ht="17.25" thickBot="1">
      <c r="A1376" s="145" t="s">
        <v>3346</v>
      </c>
      <c r="B1376" s="5" t="s">
        <v>1599</v>
      </c>
      <c r="C1376" s="6" t="s">
        <v>3347</v>
      </c>
    </row>
    <row r="1377" spans="1:3" ht="17.25" thickBot="1">
      <c r="A1377" s="145" t="s">
        <v>3348</v>
      </c>
      <c r="B1377" s="5" t="s">
        <v>1632</v>
      </c>
      <c r="C1377" s="5" t="s">
        <v>3349</v>
      </c>
    </row>
    <row r="1378" spans="1:3" ht="17.25" thickBot="1">
      <c r="A1378" s="145" t="s">
        <v>3350</v>
      </c>
      <c r="B1378" s="5" t="s">
        <v>1615</v>
      </c>
      <c r="C1378" s="5" t="s">
        <v>3351</v>
      </c>
    </row>
    <row r="1379" spans="1:3" ht="17.25" thickBot="1">
      <c r="A1379" s="145" t="s">
        <v>3352</v>
      </c>
      <c r="B1379" s="5" t="s">
        <v>1632</v>
      </c>
      <c r="C1379" s="5" t="s">
        <v>3353</v>
      </c>
    </row>
    <row r="1380" spans="1:3" ht="17.25" thickBot="1">
      <c r="A1380" s="145" t="s">
        <v>3354</v>
      </c>
      <c r="B1380" s="5" t="s">
        <v>1745</v>
      </c>
      <c r="C1380" s="6" t="s">
        <v>3355</v>
      </c>
    </row>
    <row r="1381" spans="1:3" ht="17.25" thickBot="1">
      <c r="A1381" s="145" t="s">
        <v>3356</v>
      </c>
      <c r="B1381" s="5" t="s">
        <v>1745</v>
      </c>
      <c r="C1381" s="6" t="s">
        <v>3357</v>
      </c>
    </row>
    <row r="1382" spans="1:3" ht="17.25" thickBot="1">
      <c r="A1382" s="145" t="s">
        <v>3358</v>
      </c>
      <c r="B1382" s="5" t="s">
        <v>1632</v>
      </c>
      <c r="C1382" s="5" t="s">
        <v>3359</v>
      </c>
    </row>
    <row r="1383" spans="1:3" ht="17.25" thickBot="1">
      <c r="A1383" s="145" t="s">
        <v>3360</v>
      </c>
      <c r="B1383" s="5" t="s">
        <v>0</v>
      </c>
      <c r="C1383" s="6" t="s">
        <v>3361</v>
      </c>
    </row>
    <row r="1384" spans="1:3" ht="17.25" thickBot="1">
      <c r="A1384" s="145" t="s">
        <v>3362</v>
      </c>
      <c r="B1384" s="5" t="s">
        <v>0</v>
      </c>
      <c r="C1384" s="5" t="s">
        <v>3363</v>
      </c>
    </row>
    <row r="1385" spans="1:3">
      <c r="A1385" s="176" t="s">
        <v>3364</v>
      </c>
      <c r="B1385" s="91" t="s">
        <v>1619</v>
      </c>
      <c r="C1385" s="8" t="s">
        <v>3365</v>
      </c>
    </row>
    <row r="1386" spans="1:3" ht="17.25" thickBot="1">
      <c r="A1386" s="177"/>
      <c r="B1386" s="97"/>
      <c r="C1386" s="5" t="s">
        <v>3366</v>
      </c>
    </row>
    <row r="1387" spans="1:3">
      <c r="A1387" s="176" t="s">
        <v>3367</v>
      </c>
      <c r="B1387" s="91" t="s">
        <v>1632</v>
      </c>
      <c r="C1387" s="8" t="s">
        <v>3368</v>
      </c>
    </row>
    <row r="1388" spans="1:3" ht="17.25" thickBot="1">
      <c r="A1388" s="177"/>
      <c r="B1388" s="97"/>
      <c r="C1388" s="5" t="s">
        <v>3369</v>
      </c>
    </row>
    <row r="1389" spans="1:3" ht="25.5">
      <c r="A1389" s="176" t="s">
        <v>3370</v>
      </c>
      <c r="B1389" s="91" t="s">
        <v>1611</v>
      </c>
      <c r="C1389" s="7" t="s">
        <v>3371</v>
      </c>
    </row>
    <row r="1390" spans="1:3" ht="17.25" thickBot="1">
      <c r="A1390" s="177"/>
      <c r="B1390" s="97"/>
      <c r="C1390" s="5" t="s">
        <v>3372</v>
      </c>
    </row>
    <row r="1391" spans="1:3" ht="17.25" thickBot="1">
      <c r="A1391" s="145" t="s">
        <v>3373</v>
      </c>
      <c r="B1391" s="6" t="s">
        <v>3333</v>
      </c>
      <c r="C1391" s="5" t="s">
        <v>3374</v>
      </c>
    </row>
    <row r="1392" spans="1:3">
      <c r="A1392" s="176" t="s">
        <v>3375</v>
      </c>
      <c r="B1392" s="91" t="s">
        <v>3333</v>
      </c>
      <c r="C1392" s="7" t="s">
        <v>3376</v>
      </c>
    </row>
    <row r="1393" spans="1:3" ht="39" thickBot="1">
      <c r="A1393" s="177"/>
      <c r="B1393" s="97"/>
      <c r="C1393" s="6" t="s">
        <v>3377</v>
      </c>
    </row>
    <row r="1394" spans="1:3" ht="17.25" thickBot="1">
      <c r="A1394" s="145" t="s">
        <v>3378</v>
      </c>
      <c r="B1394" s="5" t="s">
        <v>1620</v>
      </c>
      <c r="C1394" s="5" t="s">
        <v>3379</v>
      </c>
    </row>
    <row r="1395" spans="1:3" ht="17.25" thickBot="1">
      <c r="A1395" s="145" t="s">
        <v>3380</v>
      </c>
      <c r="B1395" s="5" t="s">
        <v>1632</v>
      </c>
      <c r="C1395" s="5" t="s">
        <v>3381</v>
      </c>
    </row>
    <row r="1396" spans="1:3" ht="26.25" thickBot="1">
      <c r="A1396" s="145" t="s">
        <v>3382</v>
      </c>
      <c r="B1396" s="5" t="s">
        <v>1599</v>
      </c>
      <c r="C1396" s="6" t="s">
        <v>3383</v>
      </c>
    </row>
    <row r="1397" spans="1:3" ht="17.25" thickBot="1">
      <c r="A1397" s="145" t="s">
        <v>3384</v>
      </c>
      <c r="B1397" s="5" t="s">
        <v>1632</v>
      </c>
      <c r="C1397" s="6" t="s">
        <v>3385</v>
      </c>
    </row>
    <row r="1398" spans="1:3" ht="17.25" thickBot="1">
      <c r="A1398" s="145" t="s">
        <v>3386</v>
      </c>
      <c r="B1398" s="5" t="s">
        <v>1632</v>
      </c>
      <c r="C1398" s="6" t="s">
        <v>3387</v>
      </c>
    </row>
    <row r="1399" spans="1:3">
      <c r="A1399" s="176" t="s">
        <v>3388</v>
      </c>
      <c r="B1399" s="91" t="s">
        <v>3389</v>
      </c>
      <c r="C1399" s="8" t="s">
        <v>3390</v>
      </c>
    </row>
    <row r="1400" spans="1:3" ht="17.25" thickBot="1">
      <c r="A1400" s="177"/>
      <c r="B1400" s="97"/>
      <c r="C1400" s="5" t="s">
        <v>3391</v>
      </c>
    </row>
    <row r="1401" spans="1:3" ht="17.25" thickBot="1">
      <c r="A1401" s="145" t="s">
        <v>3392</v>
      </c>
      <c r="B1401" s="5" t="s">
        <v>1632</v>
      </c>
      <c r="C1401" s="5" t="s">
        <v>3393</v>
      </c>
    </row>
    <row r="1402" spans="1:3" ht="17.25" thickBot="1">
      <c r="A1402" s="145" t="s">
        <v>3394</v>
      </c>
      <c r="B1402" s="5" t="s">
        <v>1614</v>
      </c>
      <c r="C1402" s="6" t="s">
        <v>3395</v>
      </c>
    </row>
    <row r="1403" spans="1:3">
      <c r="A1403" s="176" t="s">
        <v>3396</v>
      </c>
      <c r="B1403" s="91" t="s">
        <v>0</v>
      </c>
      <c r="C1403" s="7" t="s">
        <v>3397</v>
      </c>
    </row>
    <row r="1404" spans="1:3" ht="17.25" thickBot="1">
      <c r="A1404" s="177"/>
      <c r="B1404" s="97"/>
      <c r="C1404" s="5" t="s">
        <v>3398</v>
      </c>
    </row>
    <row r="1405" spans="1:3">
      <c r="A1405" s="176" t="s">
        <v>3399</v>
      </c>
      <c r="B1405" s="91" t="s">
        <v>1614</v>
      </c>
      <c r="C1405" s="7" t="s">
        <v>3400</v>
      </c>
    </row>
    <row r="1406" spans="1:3" ht="17.25" thickBot="1">
      <c r="A1406" s="177"/>
      <c r="B1406" s="97"/>
      <c r="C1406" s="5" t="s">
        <v>3401</v>
      </c>
    </row>
    <row r="1407" spans="1:3">
      <c r="A1407" s="144" t="s">
        <v>3402</v>
      </c>
      <c r="B1407" s="91" t="s">
        <v>1619</v>
      </c>
      <c r="C1407" s="91" t="s">
        <v>3404</v>
      </c>
    </row>
    <row r="1408" spans="1:3" ht="17.25" thickBot="1">
      <c r="A1408" s="145" t="s">
        <v>3403</v>
      </c>
      <c r="B1408" s="97"/>
      <c r="C1408" s="97"/>
    </row>
    <row r="1409" spans="1:3" ht="17.25" thickBot="1">
      <c r="A1409" s="145" t="s">
        <v>3405</v>
      </c>
      <c r="B1409" s="5" t="s">
        <v>1620</v>
      </c>
      <c r="C1409" s="6" t="s">
        <v>3406</v>
      </c>
    </row>
    <row r="1410" spans="1:3" ht="17.25" thickBot="1">
      <c r="A1410" s="145" t="s">
        <v>3407</v>
      </c>
      <c r="B1410" s="5" t="s">
        <v>1614</v>
      </c>
      <c r="C1410" s="6" t="s">
        <v>3408</v>
      </c>
    </row>
    <row r="1411" spans="1:3" ht="17.25" thickBot="1">
      <c r="A1411" s="145" t="s">
        <v>3409</v>
      </c>
      <c r="B1411" s="5" t="s">
        <v>1745</v>
      </c>
      <c r="C1411" s="6" t="s">
        <v>3410</v>
      </c>
    </row>
    <row r="1412" spans="1:3">
      <c r="A1412" s="144" t="s">
        <v>3411</v>
      </c>
      <c r="B1412" s="91" t="s">
        <v>1620</v>
      </c>
      <c r="C1412" s="91" t="s">
        <v>3412</v>
      </c>
    </row>
    <row r="1413" spans="1:3" ht="17.25" thickBot="1">
      <c r="A1413" s="145" t="s">
        <v>3403</v>
      </c>
      <c r="B1413" s="97"/>
      <c r="C1413" s="97"/>
    </row>
    <row r="1414" spans="1:3">
      <c r="A1414" s="144" t="s">
        <v>3413</v>
      </c>
      <c r="B1414" s="91" t="s">
        <v>3414</v>
      </c>
      <c r="C1414" s="91" t="s">
        <v>3415</v>
      </c>
    </row>
    <row r="1415" spans="1:3" ht="17.25" thickBot="1">
      <c r="A1415" s="145" t="s">
        <v>3403</v>
      </c>
      <c r="B1415" s="97"/>
      <c r="C1415" s="97"/>
    </row>
    <row r="1416" spans="1:3">
      <c r="A1416" s="144" t="s">
        <v>3416</v>
      </c>
      <c r="B1416" s="91" t="s">
        <v>3414</v>
      </c>
      <c r="C1416" s="91" t="s">
        <v>3417</v>
      </c>
    </row>
    <row r="1417" spans="1:3" ht="17.25" thickBot="1">
      <c r="A1417" s="145" t="s">
        <v>3403</v>
      </c>
      <c r="B1417" s="97"/>
      <c r="C1417" s="97"/>
    </row>
    <row r="1418" spans="1:3" ht="17.25" thickBot="1">
      <c r="A1418" s="145" t="s">
        <v>3418</v>
      </c>
      <c r="B1418" s="5" t="s">
        <v>3414</v>
      </c>
      <c r="C1418" s="5" t="s">
        <v>3419</v>
      </c>
    </row>
    <row r="1419" spans="1:3" ht="17.25" thickBot="1">
      <c r="A1419" s="145" t="s">
        <v>3420</v>
      </c>
      <c r="B1419" s="5" t="s">
        <v>1599</v>
      </c>
      <c r="C1419" s="6" t="s">
        <v>3421</v>
      </c>
    </row>
    <row r="1420" spans="1:3" ht="17.25" thickBot="1">
      <c r="A1420" s="145" t="s">
        <v>3422</v>
      </c>
      <c r="B1420" s="5" t="s">
        <v>1599</v>
      </c>
      <c r="C1420" s="6" t="s">
        <v>3423</v>
      </c>
    </row>
    <row r="1421" spans="1:3" ht="17.25" thickBot="1">
      <c r="A1421" s="145" t="s">
        <v>3424</v>
      </c>
      <c r="B1421" s="5" t="s">
        <v>1599</v>
      </c>
      <c r="C1421" s="6" t="s">
        <v>3425</v>
      </c>
    </row>
    <row r="1422" spans="1:3" ht="17.25" thickBot="1">
      <c r="A1422" s="145" t="s">
        <v>3426</v>
      </c>
      <c r="B1422" s="5" t="s">
        <v>0</v>
      </c>
      <c r="C1422" s="6" t="s">
        <v>3427</v>
      </c>
    </row>
    <row r="1423" spans="1:3">
      <c r="A1423" s="144" t="s">
        <v>3428</v>
      </c>
      <c r="B1423" s="91" t="s">
        <v>1599</v>
      </c>
      <c r="C1423" s="91" t="s">
        <v>3429</v>
      </c>
    </row>
    <row r="1424" spans="1:3" ht="17.25" thickBot="1">
      <c r="A1424" s="145" t="s">
        <v>3403</v>
      </c>
      <c r="B1424" s="97"/>
      <c r="C1424" s="97"/>
    </row>
    <row r="1425" spans="1:3" ht="17.25" thickBot="1">
      <c r="A1425" s="145" t="s">
        <v>3430</v>
      </c>
      <c r="B1425" s="5" t="s">
        <v>1599</v>
      </c>
      <c r="C1425" s="5" t="s">
        <v>3431</v>
      </c>
    </row>
    <row r="1426" spans="1:3" ht="17.25" thickBot="1">
      <c r="A1426" s="145" t="s">
        <v>3432</v>
      </c>
      <c r="B1426" s="5" t="s">
        <v>1599</v>
      </c>
      <c r="C1426" s="6" t="s">
        <v>3433</v>
      </c>
    </row>
    <row r="1427" spans="1:3" ht="17.25" thickBot="1">
      <c r="A1427" s="145" t="s">
        <v>3434</v>
      </c>
      <c r="B1427" s="5" t="s">
        <v>1599</v>
      </c>
      <c r="C1427" s="5" t="s">
        <v>3435</v>
      </c>
    </row>
    <row r="1428" spans="1:3" ht="17.25" thickBot="1">
      <c r="A1428" s="145" t="s">
        <v>3436</v>
      </c>
      <c r="B1428" s="5" t="s">
        <v>1599</v>
      </c>
      <c r="C1428" s="6" t="s">
        <v>3437</v>
      </c>
    </row>
    <row r="1429" spans="1:3">
      <c r="A1429" s="115" t="s">
        <v>3438</v>
      </c>
      <c r="B1429" s="115" t="s">
        <v>3439</v>
      </c>
    </row>
    <row r="1430" spans="1:3" ht="17.25" thickBot="1">
      <c r="A1430" s="126" t="s">
        <v>1646</v>
      </c>
    </row>
    <row r="1431" spans="1:3" ht="17.25" thickBot="1">
      <c r="A1431" s="102" t="s">
        <v>1591</v>
      </c>
      <c r="B1431" s="103" t="s">
        <v>1592</v>
      </c>
      <c r="C1431" s="103" t="s">
        <v>1593</v>
      </c>
    </row>
    <row r="1432" spans="1:3" ht="30.75" thickBot="1">
      <c r="A1432" s="145" t="s">
        <v>3440</v>
      </c>
      <c r="B1432" s="5" t="s">
        <v>2698</v>
      </c>
      <c r="C1432" s="6" t="s">
        <v>3441</v>
      </c>
    </row>
    <row r="1433" spans="1:3" ht="45.75" thickBot="1">
      <c r="A1433" s="145" t="s">
        <v>3442</v>
      </c>
      <c r="B1433" s="5" t="s">
        <v>2698</v>
      </c>
      <c r="C1433" s="6" t="s">
        <v>3443</v>
      </c>
    </row>
    <row r="1434" spans="1:3" ht="51">
      <c r="A1434" s="144" t="s">
        <v>3444</v>
      </c>
      <c r="B1434" s="91" t="s">
        <v>3453</v>
      </c>
      <c r="C1434" s="91" t="s">
        <v>3454</v>
      </c>
    </row>
    <row r="1435" spans="1:3">
      <c r="A1435" s="144" t="s">
        <v>3445</v>
      </c>
      <c r="B1435" s="170"/>
      <c r="C1435" s="170"/>
    </row>
    <row r="1436" spans="1:3">
      <c r="A1436" s="144" t="s">
        <v>3446</v>
      </c>
      <c r="B1436" s="170"/>
      <c r="C1436" s="170"/>
    </row>
    <row r="1437" spans="1:3">
      <c r="A1437" s="144" t="s">
        <v>3447</v>
      </c>
      <c r="B1437" s="170"/>
      <c r="C1437" s="170"/>
    </row>
    <row r="1438" spans="1:3">
      <c r="A1438" s="144" t="s">
        <v>3448</v>
      </c>
      <c r="B1438" s="170"/>
      <c r="C1438" s="170"/>
    </row>
    <row r="1439" spans="1:3">
      <c r="A1439" s="144" t="s">
        <v>3449</v>
      </c>
      <c r="B1439" s="170"/>
      <c r="C1439" s="170"/>
    </row>
    <row r="1440" spans="1:3">
      <c r="A1440" s="144" t="s">
        <v>3450</v>
      </c>
      <c r="B1440" s="170"/>
      <c r="C1440" s="170"/>
    </row>
    <row r="1441" spans="1:3">
      <c r="A1441" s="144" t="s">
        <v>3451</v>
      </c>
      <c r="B1441" s="170"/>
      <c r="C1441" s="170"/>
    </row>
    <row r="1442" spans="1:3" ht="17.25" thickBot="1">
      <c r="A1442" s="145" t="s">
        <v>3452</v>
      </c>
      <c r="B1442" s="97"/>
      <c r="C1442" s="97"/>
    </row>
    <row r="1443" spans="1:3" ht="45.75" thickBot="1">
      <c r="A1443" s="145" t="s">
        <v>3455</v>
      </c>
      <c r="B1443" s="5" t="s">
        <v>2698</v>
      </c>
      <c r="C1443" s="5" t="s">
        <v>3456</v>
      </c>
    </row>
    <row r="1444" spans="1:3" ht="45.75" thickBot="1">
      <c r="A1444" s="145" t="s">
        <v>3457</v>
      </c>
      <c r="B1444" s="5" t="s">
        <v>2698</v>
      </c>
      <c r="C1444" s="5" t="s">
        <v>3458</v>
      </c>
    </row>
    <row r="1445" spans="1:3" ht="45.75" thickBot="1">
      <c r="A1445" s="145" t="s">
        <v>3459</v>
      </c>
      <c r="B1445" s="5" t="s">
        <v>2698</v>
      </c>
      <c r="C1445" s="5" t="s">
        <v>3460</v>
      </c>
    </row>
    <row r="1446" spans="1:3" ht="45.75" thickBot="1">
      <c r="A1446" s="145" t="s">
        <v>3461</v>
      </c>
      <c r="B1446" s="5" t="s">
        <v>2698</v>
      </c>
      <c r="C1446" s="5" t="s">
        <v>3462</v>
      </c>
    </row>
    <row r="1447" spans="1:3">
      <c r="A1447" s="149" t="s">
        <v>3463</v>
      </c>
      <c r="B1447" s="91" t="s">
        <v>2698</v>
      </c>
      <c r="C1447" s="91" t="s">
        <v>3465</v>
      </c>
    </row>
    <row r="1448" spans="1:3" ht="17.25" thickBot="1">
      <c r="A1448" s="145" t="s">
        <v>3464</v>
      </c>
      <c r="B1448" s="97"/>
      <c r="C1448" s="97"/>
    </row>
    <row r="1449" spans="1:3" ht="17.25" thickBot="1">
      <c r="A1449" s="145" t="s">
        <v>3466</v>
      </c>
      <c r="B1449" s="5" t="s">
        <v>3453</v>
      </c>
      <c r="C1449" s="5" t="s">
        <v>3467</v>
      </c>
    </row>
    <row r="1450" spans="1:3" ht="30">
      <c r="A1450" s="176" t="s">
        <v>3468</v>
      </c>
      <c r="B1450" s="91" t="s">
        <v>3453</v>
      </c>
      <c r="C1450" s="7" t="s">
        <v>3469</v>
      </c>
    </row>
    <row r="1451" spans="1:3" ht="17.25" thickBot="1">
      <c r="A1451" s="177"/>
      <c r="B1451" s="97"/>
      <c r="C1451" s="5" t="s">
        <v>3470</v>
      </c>
    </row>
    <row r="1452" spans="1:3" ht="30.75" thickBot="1">
      <c r="A1452" s="145" t="s">
        <v>3471</v>
      </c>
      <c r="B1452" s="5" t="s">
        <v>2698</v>
      </c>
      <c r="C1452" s="5" t="s">
        <v>3472</v>
      </c>
    </row>
    <row r="1453" spans="1:3" ht="45">
      <c r="A1453" s="176" t="s">
        <v>3473</v>
      </c>
      <c r="B1453" s="91" t="s">
        <v>2698</v>
      </c>
      <c r="C1453" s="7" t="s">
        <v>3474</v>
      </c>
    </row>
    <row r="1454" spans="1:3" ht="17.25" thickBot="1">
      <c r="A1454" s="177"/>
      <c r="B1454" s="97"/>
      <c r="C1454" s="5" t="s">
        <v>3475</v>
      </c>
    </row>
    <row r="1455" spans="1:3" ht="17.25" thickBot="1">
      <c r="A1455" s="145" t="s">
        <v>3476</v>
      </c>
      <c r="B1455" s="5" t="s">
        <v>2698</v>
      </c>
      <c r="C1455" s="5" t="s">
        <v>3477</v>
      </c>
    </row>
    <row r="1456" spans="1:3" ht="17.25" thickBot="1">
      <c r="A1456" s="145" t="s">
        <v>3478</v>
      </c>
      <c r="B1456" s="5" t="s">
        <v>2698</v>
      </c>
      <c r="C1456" s="5" t="s">
        <v>3479</v>
      </c>
    </row>
    <row r="1457" spans="1:3">
      <c r="A1457" s="115" t="s">
        <v>3480</v>
      </c>
      <c r="B1457" s="115" t="s">
        <v>3481</v>
      </c>
    </row>
    <row r="1458" spans="1:3" ht="17.25" thickBot="1">
      <c r="A1458" s="126" t="s">
        <v>1646</v>
      </c>
    </row>
    <row r="1459" spans="1:3" ht="17.25" thickBot="1">
      <c r="A1459" s="102" t="s">
        <v>1591</v>
      </c>
      <c r="B1459" s="103" t="s">
        <v>1592</v>
      </c>
      <c r="C1459" s="103" t="s">
        <v>1593</v>
      </c>
    </row>
    <row r="1460" spans="1:3" ht="17.25" thickBot="1">
      <c r="A1460" s="145" t="s">
        <v>3482</v>
      </c>
      <c r="B1460" s="5" t="s">
        <v>3483</v>
      </c>
      <c r="C1460" s="5" t="s">
        <v>3484</v>
      </c>
    </row>
    <row r="1461" spans="1:3" ht="17.25" thickBot="1">
      <c r="A1461" s="145" t="s">
        <v>3485</v>
      </c>
      <c r="B1461" s="5" t="s">
        <v>1632</v>
      </c>
      <c r="C1461" s="5" t="s">
        <v>3486</v>
      </c>
    </row>
    <row r="1462" spans="1:3">
      <c r="A1462" s="149" t="s">
        <v>3487</v>
      </c>
      <c r="B1462" s="91" t="s">
        <v>1566</v>
      </c>
      <c r="C1462" s="91" t="s">
        <v>3488</v>
      </c>
    </row>
    <row r="1463" spans="1:3" ht="17.25" thickBot="1">
      <c r="A1463" s="145" t="s">
        <v>2148</v>
      </c>
      <c r="B1463" s="97"/>
      <c r="C1463" s="97"/>
    </row>
    <row r="1464" spans="1:3">
      <c r="A1464" s="176" t="s">
        <v>3489</v>
      </c>
      <c r="B1464" s="91" t="s">
        <v>1632</v>
      </c>
      <c r="C1464" s="7" t="s">
        <v>3490</v>
      </c>
    </row>
    <row r="1465" spans="1:3" ht="17.25" thickBot="1">
      <c r="A1465" s="177"/>
      <c r="B1465" s="97"/>
      <c r="C1465" s="6" t="s">
        <v>3491</v>
      </c>
    </row>
    <row r="1466" spans="1:3" ht="17.25" thickBot="1">
      <c r="A1466" s="145" t="s">
        <v>3019</v>
      </c>
      <c r="B1466" s="5" t="s">
        <v>1632</v>
      </c>
      <c r="C1466" s="5" t="s">
        <v>3492</v>
      </c>
    </row>
    <row r="1467" spans="1:3" ht="17.25" thickBot="1">
      <c r="A1467" s="145" t="s">
        <v>3493</v>
      </c>
      <c r="B1467" s="5" t="s">
        <v>1632</v>
      </c>
      <c r="C1467" s="5" t="s">
        <v>3494</v>
      </c>
    </row>
    <row r="1468" spans="1:3" ht="17.25" thickBot="1">
      <c r="A1468" s="145" t="s">
        <v>3495</v>
      </c>
      <c r="B1468" s="5" t="s">
        <v>1632</v>
      </c>
      <c r="C1468" s="5" t="s">
        <v>3496</v>
      </c>
    </row>
    <row r="1469" spans="1:3" ht="17.25" thickBot="1">
      <c r="A1469" s="145" t="s">
        <v>3497</v>
      </c>
      <c r="B1469" s="5" t="s">
        <v>1632</v>
      </c>
      <c r="C1469" s="5" t="s">
        <v>3498</v>
      </c>
    </row>
    <row r="1470" spans="1:3" ht="17.25" thickBot="1">
      <c r="A1470" s="145" t="s">
        <v>3499</v>
      </c>
      <c r="B1470" s="5" t="s">
        <v>1632</v>
      </c>
      <c r="C1470" s="5" t="s">
        <v>3500</v>
      </c>
    </row>
    <row r="1471" spans="1:3" ht="17.25" thickBot="1">
      <c r="A1471" s="145" t="s">
        <v>3501</v>
      </c>
      <c r="B1471" s="5" t="s">
        <v>1632</v>
      </c>
      <c r="C1471" s="5" t="s">
        <v>3502</v>
      </c>
    </row>
    <row r="1472" spans="1:3" ht="17.25" thickBot="1">
      <c r="A1472" s="145" t="s">
        <v>3503</v>
      </c>
      <c r="B1472" s="5" t="s">
        <v>1632</v>
      </c>
      <c r="C1472" s="5" t="s">
        <v>3504</v>
      </c>
    </row>
    <row r="1473" spans="1:3">
      <c r="A1473" s="176" t="s">
        <v>3505</v>
      </c>
      <c r="B1473" s="91" t="s">
        <v>1632</v>
      </c>
      <c r="C1473" s="7" t="s">
        <v>3506</v>
      </c>
    </row>
    <row r="1474" spans="1:3" ht="17.25" thickBot="1">
      <c r="A1474" s="177"/>
      <c r="B1474" s="97"/>
      <c r="C1474" s="5" t="s">
        <v>3507</v>
      </c>
    </row>
    <row r="1475" spans="1:3" ht="17.25" thickBot="1">
      <c r="A1475" s="145" t="s">
        <v>3508</v>
      </c>
      <c r="B1475" s="5" t="s">
        <v>1632</v>
      </c>
      <c r="C1475" s="6" t="s">
        <v>3509</v>
      </c>
    </row>
    <row r="1476" spans="1:3">
      <c r="B1476" s="114" t="s">
        <v>3510</v>
      </c>
      <c r="C1476" s="114" t="s">
        <v>3511</v>
      </c>
    </row>
    <row r="1477" spans="1:3">
      <c r="A1477" s="115" t="s">
        <v>3512</v>
      </c>
      <c r="B1477" s="115" t="s">
        <v>3513</v>
      </c>
    </row>
    <row r="1478" spans="1:3" ht="17.25" thickBot="1">
      <c r="A1478" s="126" t="s">
        <v>1646</v>
      </c>
    </row>
    <row r="1479" spans="1:3" ht="17.25" thickBot="1">
      <c r="A1479" s="102" t="s">
        <v>1591</v>
      </c>
      <c r="B1479" s="103" t="s">
        <v>1592</v>
      </c>
      <c r="C1479" s="103" t="s">
        <v>1593</v>
      </c>
    </row>
    <row r="1480" spans="1:3" ht="17.25" thickBot="1">
      <c r="A1480" s="145" t="s">
        <v>3514</v>
      </c>
      <c r="B1480" s="5" t="s">
        <v>3515</v>
      </c>
      <c r="C1480" s="5" t="s">
        <v>3484</v>
      </c>
    </row>
    <row r="1481" spans="1:3">
      <c r="A1481" s="176" t="s">
        <v>3489</v>
      </c>
      <c r="B1481" s="91" t="s">
        <v>1632</v>
      </c>
      <c r="C1481" s="7" t="s">
        <v>3490</v>
      </c>
    </row>
    <row r="1482" spans="1:3">
      <c r="A1482" s="178"/>
      <c r="B1482" s="170"/>
      <c r="C1482" s="7" t="s">
        <v>3516</v>
      </c>
    </row>
    <row r="1483" spans="1:3" ht="17.25" thickBot="1">
      <c r="A1483" s="177"/>
      <c r="B1483" s="97"/>
      <c r="C1483" s="5" t="s">
        <v>3517</v>
      </c>
    </row>
    <row r="1484" spans="1:3" ht="17.25" thickBot="1">
      <c r="A1484" s="145" t="s">
        <v>3019</v>
      </c>
      <c r="B1484" s="5" t="s">
        <v>1632</v>
      </c>
      <c r="C1484" s="5" t="s">
        <v>3492</v>
      </c>
    </row>
    <row r="1485" spans="1:3" ht="17.25" thickBot="1">
      <c r="A1485" s="145" t="s">
        <v>3495</v>
      </c>
      <c r="B1485" s="5" t="s">
        <v>1632</v>
      </c>
      <c r="C1485" s="5" t="s">
        <v>3496</v>
      </c>
    </row>
    <row r="1486" spans="1:3" ht="17.25" thickBot="1">
      <c r="A1486" s="145" t="s">
        <v>3497</v>
      </c>
      <c r="B1486" s="5" t="s">
        <v>1632</v>
      </c>
      <c r="C1486" s="6" t="s">
        <v>3498</v>
      </c>
    </row>
    <row r="1487" spans="1:3" ht="25.5">
      <c r="A1487" s="144" t="s">
        <v>3518</v>
      </c>
      <c r="B1487" s="91" t="s">
        <v>1632</v>
      </c>
      <c r="C1487" s="91" t="s">
        <v>3520</v>
      </c>
    </row>
    <row r="1488" spans="1:3" ht="17.25" thickBot="1">
      <c r="A1488" s="145" t="s">
        <v>3519</v>
      </c>
      <c r="B1488" s="97"/>
      <c r="C1488" s="97"/>
    </row>
    <row r="1489" spans="1:3">
      <c r="B1489" s="114" t="s">
        <v>3521</v>
      </c>
      <c r="C1489" s="114" t="s">
        <v>3522</v>
      </c>
    </row>
    <row r="1490" spans="1:3">
      <c r="A1490" s="115" t="s">
        <v>3523</v>
      </c>
      <c r="B1490" s="115" t="s">
        <v>3524</v>
      </c>
    </row>
    <row r="1491" spans="1:3" ht="17.25" thickBot="1">
      <c r="A1491" s="126" t="s">
        <v>1874</v>
      </c>
    </row>
    <row r="1492" spans="1:3" ht="17.25" thickBot="1">
      <c r="A1492" s="102" t="s">
        <v>1591</v>
      </c>
      <c r="B1492" s="103" t="s">
        <v>1635</v>
      </c>
      <c r="C1492" s="103" t="s">
        <v>1593</v>
      </c>
    </row>
    <row r="1493" spans="1:3">
      <c r="A1493" s="92" t="s">
        <v>3525</v>
      </c>
      <c r="B1493" s="7" t="s">
        <v>1561</v>
      </c>
      <c r="C1493" s="91" t="s">
        <v>3526</v>
      </c>
    </row>
    <row r="1494" spans="1:3" ht="17.25" thickBot="1">
      <c r="A1494" s="98"/>
      <c r="B1494" s="5" t="s">
        <v>1550</v>
      </c>
      <c r="C1494" s="97"/>
    </row>
    <row r="1495" spans="1:3">
      <c r="A1495" s="92" t="s">
        <v>1677</v>
      </c>
      <c r="B1495" s="8" t="s">
        <v>1620</v>
      </c>
      <c r="C1495" s="91" t="s">
        <v>3527</v>
      </c>
    </row>
    <row r="1496" spans="1:3" ht="17.25" thickBot="1">
      <c r="A1496" s="98"/>
      <c r="B1496" s="5" t="s">
        <v>1550</v>
      </c>
      <c r="C1496" s="97"/>
    </row>
    <row r="1497" spans="1:3">
      <c r="A1497" s="96" t="s">
        <v>3528</v>
      </c>
      <c r="B1497" s="91" t="s">
        <v>1613</v>
      </c>
      <c r="C1497" s="91" t="s">
        <v>3530</v>
      </c>
    </row>
    <row r="1498" spans="1:3" ht="17.25" thickBot="1">
      <c r="A1498" s="4" t="s">
        <v>3529</v>
      </c>
      <c r="B1498" s="97"/>
      <c r="C1498" s="97"/>
    </row>
    <row r="1499" spans="1:3" ht="17.25" thickBot="1">
      <c r="A1499" s="4" t="s">
        <v>1634</v>
      </c>
      <c r="B1499" s="5" t="s">
        <v>1603</v>
      </c>
      <c r="C1499" s="5" t="s">
        <v>3531</v>
      </c>
    </row>
    <row r="1500" spans="1:3" ht="17.25" thickBot="1">
      <c r="A1500" s="4" t="s">
        <v>3532</v>
      </c>
      <c r="B1500" s="5" t="s">
        <v>1613</v>
      </c>
      <c r="C1500" s="6" t="s">
        <v>3533</v>
      </c>
    </row>
    <row r="1501" spans="1:3" ht="26.25" thickBot="1">
      <c r="A1501" s="4" t="s">
        <v>3278</v>
      </c>
      <c r="B1501" s="5" t="s">
        <v>1613</v>
      </c>
      <c r="C1501" s="6" t="s">
        <v>3534</v>
      </c>
    </row>
    <row r="1502" spans="1:3" ht="26.25" thickBot="1">
      <c r="A1502" s="4" t="s">
        <v>1699</v>
      </c>
      <c r="B1502" s="5" t="s">
        <v>1613</v>
      </c>
      <c r="C1502" s="6" t="s">
        <v>3535</v>
      </c>
    </row>
    <row r="1503" spans="1:3" ht="17.25" thickBot="1">
      <c r="A1503" s="4" t="s">
        <v>3536</v>
      </c>
      <c r="B1503" s="5" t="s">
        <v>1620</v>
      </c>
      <c r="C1503" s="6" t="s">
        <v>3537</v>
      </c>
    </row>
    <row r="1504" spans="1:3" ht="17.25" thickBot="1">
      <c r="A1504" s="4" t="s">
        <v>3283</v>
      </c>
      <c r="B1504" s="5" t="s">
        <v>1620</v>
      </c>
      <c r="C1504" s="6" t="s">
        <v>3538</v>
      </c>
    </row>
    <row r="1505" spans="1:3" ht="26.25" thickBot="1">
      <c r="A1505" s="4" t="s">
        <v>3303</v>
      </c>
      <c r="B1505" s="5" t="s">
        <v>1620</v>
      </c>
      <c r="C1505" s="6" t="s">
        <v>3539</v>
      </c>
    </row>
    <row r="1506" spans="1:3" ht="25.5">
      <c r="A1506" s="92" t="s">
        <v>1749</v>
      </c>
      <c r="B1506" s="7" t="s">
        <v>2116</v>
      </c>
      <c r="C1506" s="91" t="s">
        <v>3540</v>
      </c>
    </row>
    <row r="1507" spans="1:3" ht="17.25" thickBot="1">
      <c r="A1507" s="98"/>
      <c r="B1507" s="5" t="s">
        <v>2607</v>
      </c>
      <c r="C1507" s="97"/>
    </row>
    <row r="1508" spans="1:3" ht="26.25" thickBot="1">
      <c r="A1508" s="4" t="s">
        <v>2787</v>
      </c>
      <c r="B1508" s="5" t="s">
        <v>1611</v>
      </c>
      <c r="C1508" s="6" t="s">
        <v>3541</v>
      </c>
    </row>
    <row r="1509" spans="1:3" ht="39" thickBot="1">
      <c r="A1509" s="4" t="s">
        <v>3301</v>
      </c>
      <c r="B1509" s="5" t="s">
        <v>1608</v>
      </c>
      <c r="C1509" s="6" t="s">
        <v>3542</v>
      </c>
    </row>
    <row r="1510" spans="1:3">
      <c r="B1510" s="114" t="s">
        <v>3543</v>
      </c>
      <c r="C1510" s="114" t="s">
        <v>3544</v>
      </c>
    </row>
    <row r="1511" spans="1:3">
      <c r="A1511" s="115" t="s">
        <v>3545</v>
      </c>
      <c r="B1511" s="115" t="s">
        <v>3546</v>
      </c>
    </row>
    <row r="1512" spans="1:3" ht="17.25" thickBot="1">
      <c r="A1512" s="126" t="s">
        <v>1874</v>
      </c>
    </row>
    <row r="1513" spans="1:3" ht="17.25" thickBot="1">
      <c r="A1513" s="102" t="s">
        <v>1591</v>
      </c>
      <c r="B1513" s="103" t="s">
        <v>1635</v>
      </c>
      <c r="C1513" s="103" t="s">
        <v>3547</v>
      </c>
    </row>
    <row r="1514" spans="1:3">
      <c r="A1514" s="92" t="s">
        <v>1549</v>
      </c>
      <c r="B1514" s="8" t="s">
        <v>1738</v>
      </c>
      <c r="C1514" s="91" t="s">
        <v>3548</v>
      </c>
    </row>
    <row r="1515" spans="1:3" ht="17.25" thickBot="1">
      <c r="A1515" s="98"/>
      <c r="B1515" s="5" t="s">
        <v>2349</v>
      </c>
      <c r="C1515" s="97"/>
    </row>
    <row r="1516" spans="1:3" ht="17.25" thickBot="1">
      <c r="A1516" s="4" t="s">
        <v>1552</v>
      </c>
      <c r="B1516" s="5" t="s">
        <v>1559</v>
      </c>
      <c r="C1516" s="5" t="s">
        <v>3549</v>
      </c>
    </row>
    <row r="1517" spans="1:3" ht="17.25" thickBot="1">
      <c r="A1517" s="4" t="s">
        <v>1554</v>
      </c>
      <c r="B1517" s="5" t="s">
        <v>1559</v>
      </c>
      <c r="C1517" s="5" t="s">
        <v>3550</v>
      </c>
    </row>
    <row r="1518" spans="1:3">
      <c r="A1518" s="92" t="s">
        <v>1556</v>
      </c>
      <c r="B1518" s="8" t="s">
        <v>3224</v>
      </c>
      <c r="C1518" s="91" t="s">
        <v>3551</v>
      </c>
    </row>
    <row r="1519" spans="1:3" ht="17.25" thickBot="1">
      <c r="A1519" s="98"/>
      <c r="B1519" s="5" t="s">
        <v>1550</v>
      </c>
      <c r="C1519" s="97"/>
    </row>
    <row r="1520" spans="1:3">
      <c r="B1520" s="114" t="s">
        <v>3552</v>
      </c>
      <c r="C1520" s="114" t="s">
        <v>3553</v>
      </c>
    </row>
    <row r="1521" spans="1:3" ht="17.25" thickBot="1">
      <c r="A1521" s="126" t="s">
        <v>1646</v>
      </c>
    </row>
    <row r="1522" spans="1:3" ht="17.25" thickBot="1">
      <c r="A1522" s="102" t="s">
        <v>1591</v>
      </c>
      <c r="B1522" s="103" t="s">
        <v>1592</v>
      </c>
      <c r="C1522" s="103" t="s">
        <v>1593</v>
      </c>
    </row>
    <row r="1523" spans="1:3" ht="17.25" thickBot="1">
      <c r="A1523" s="4" t="s">
        <v>3554</v>
      </c>
      <c r="B1523" s="5" t="s">
        <v>1620</v>
      </c>
      <c r="C1523" s="6" t="s">
        <v>3555</v>
      </c>
    </row>
    <row r="1524" spans="1:3" ht="26.25" thickBot="1">
      <c r="A1524" s="4" t="s">
        <v>3556</v>
      </c>
      <c r="B1524" s="5" t="s">
        <v>1620</v>
      </c>
      <c r="C1524" s="6" t="s">
        <v>3557</v>
      </c>
    </row>
    <row r="1525" spans="1:3" ht="17.25" thickBot="1">
      <c r="A1525" s="4" t="s">
        <v>3558</v>
      </c>
      <c r="B1525" s="5" t="s">
        <v>0</v>
      </c>
      <c r="C1525" s="6" t="s">
        <v>3559</v>
      </c>
    </row>
    <row r="1526" spans="1:3" ht="17.25" thickBot="1">
      <c r="A1526" s="4" t="s">
        <v>3560</v>
      </c>
      <c r="B1526" s="5" t="s">
        <v>1566</v>
      </c>
      <c r="C1526" s="5" t="s">
        <v>3561</v>
      </c>
    </row>
    <row r="1527" spans="1:3" ht="17.25" thickBot="1">
      <c r="A1527" s="4" t="s">
        <v>3562</v>
      </c>
      <c r="B1527" s="5" t="s">
        <v>1566</v>
      </c>
      <c r="C1527" s="6" t="s">
        <v>3563</v>
      </c>
    </row>
    <row r="1528" spans="1:3" ht="17.25" thickBot="1">
      <c r="A1528" s="4" t="s">
        <v>2327</v>
      </c>
      <c r="B1528" s="5" t="s">
        <v>1603</v>
      </c>
      <c r="C1528" s="5" t="s">
        <v>3564</v>
      </c>
    </row>
    <row r="1529" spans="1:3" ht="17.25" thickBot="1">
      <c r="A1529" s="4" t="s">
        <v>1570</v>
      </c>
      <c r="B1529" s="5" t="s">
        <v>1620</v>
      </c>
      <c r="C1529" s="6" t="s">
        <v>3565</v>
      </c>
    </row>
    <row r="1530" spans="1:3" ht="17.25" thickBot="1">
      <c r="A1530" s="4" t="s">
        <v>3566</v>
      </c>
      <c r="B1530" s="5" t="s">
        <v>0</v>
      </c>
      <c r="C1530" s="6" t="s">
        <v>3567</v>
      </c>
    </row>
    <row r="1531" spans="1:3" ht="17.25" thickBot="1">
      <c r="A1531" s="99" t="s">
        <v>1591</v>
      </c>
      <c r="B1531" s="100" t="s">
        <v>1592</v>
      </c>
      <c r="C1531" s="100" t="s">
        <v>1593</v>
      </c>
    </row>
    <row r="1532" spans="1:3" ht="25.5">
      <c r="A1532" s="96" t="s">
        <v>3568</v>
      </c>
      <c r="B1532" s="91" t="s">
        <v>1607</v>
      </c>
      <c r="C1532" s="91" t="s">
        <v>3570</v>
      </c>
    </row>
    <row r="1533" spans="1:3" ht="17.25" thickBot="1">
      <c r="A1533" s="4" t="s">
        <v>3569</v>
      </c>
      <c r="B1533" s="97"/>
      <c r="C1533" s="97"/>
    </row>
    <row r="1534" spans="1:3" ht="25.5">
      <c r="A1534" s="96" t="s">
        <v>3568</v>
      </c>
      <c r="B1534" s="91" t="s">
        <v>1607</v>
      </c>
      <c r="C1534" s="91" t="s">
        <v>3572</v>
      </c>
    </row>
    <row r="1535" spans="1:3" ht="17.25" thickBot="1">
      <c r="A1535" s="4" t="s">
        <v>3571</v>
      </c>
      <c r="B1535" s="97"/>
      <c r="C1535" s="97"/>
    </row>
    <row r="1536" spans="1:3" ht="27">
      <c r="A1536" s="96" t="s">
        <v>3573</v>
      </c>
      <c r="B1536" s="91" t="s">
        <v>1607</v>
      </c>
      <c r="C1536" s="91" t="s">
        <v>3575</v>
      </c>
    </row>
    <row r="1537" spans="1:3" ht="17.25" thickBot="1">
      <c r="A1537" s="4" t="s">
        <v>3574</v>
      </c>
      <c r="B1537" s="97"/>
      <c r="C1537" s="97"/>
    </row>
    <row r="1538" spans="1:3" ht="38.25">
      <c r="A1538" s="96" t="s">
        <v>3576</v>
      </c>
      <c r="B1538" s="91" t="s">
        <v>1607</v>
      </c>
      <c r="C1538" s="91" t="s">
        <v>3578</v>
      </c>
    </row>
    <row r="1539" spans="1:3" ht="17.25" thickBot="1">
      <c r="A1539" s="4" t="s">
        <v>3577</v>
      </c>
      <c r="B1539" s="97"/>
      <c r="C1539" s="97"/>
    </row>
    <row r="1540" spans="1:3" ht="25.5">
      <c r="A1540" s="96" t="s">
        <v>3579</v>
      </c>
      <c r="B1540" s="91" t="s">
        <v>1607</v>
      </c>
      <c r="C1540" s="91" t="s">
        <v>3581</v>
      </c>
    </row>
    <row r="1541" spans="1:3" ht="17.25" thickBot="1">
      <c r="A1541" s="4" t="s">
        <v>3580</v>
      </c>
      <c r="B1541" s="97"/>
      <c r="C1541" s="97"/>
    </row>
    <row r="1542" spans="1:3" ht="25.5">
      <c r="A1542" s="96" t="s">
        <v>3579</v>
      </c>
      <c r="B1542" s="91" t="s">
        <v>1607</v>
      </c>
      <c r="C1542" s="91" t="s">
        <v>3582</v>
      </c>
    </row>
    <row r="1543" spans="1:3" ht="17.25" thickBot="1">
      <c r="A1543" s="4" t="s">
        <v>3574</v>
      </c>
      <c r="B1543" s="97"/>
      <c r="C1543" s="97"/>
    </row>
    <row r="1544" spans="1:3" ht="25.5">
      <c r="A1544" s="96" t="s">
        <v>3583</v>
      </c>
      <c r="B1544" s="91" t="s">
        <v>1607</v>
      </c>
      <c r="C1544" s="91" t="s">
        <v>3584</v>
      </c>
    </row>
    <row r="1545" spans="1:3" ht="17.25" thickBot="1">
      <c r="A1545" s="4" t="s">
        <v>3580</v>
      </c>
      <c r="B1545" s="97"/>
      <c r="C1545" s="97"/>
    </row>
    <row r="1546" spans="1:3" ht="17.25" thickBot="1">
      <c r="A1546" s="4" t="s">
        <v>3585</v>
      </c>
      <c r="B1546" s="5" t="s">
        <v>1566</v>
      </c>
      <c r="C1546" s="5" t="s">
        <v>3586</v>
      </c>
    </row>
    <row r="1547" spans="1:3" ht="26.25" thickBot="1">
      <c r="A1547" s="4" t="s">
        <v>3587</v>
      </c>
      <c r="B1547" s="5" t="s">
        <v>0</v>
      </c>
      <c r="C1547" s="6" t="s">
        <v>3588</v>
      </c>
    </row>
    <row r="1548" spans="1:3">
      <c r="A1548" s="92" t="s">
        <v>3589</v>
      </c>
      <c r="B1548" s="91" t="s">
        <v>1620</v>
      </c>
      <c r="C1548" s="8" t="s">
        <v>3590</v>
      </c>
    </row>
    <row r="1549" spans="1:3" ht="17.25" thickBot="1">
      <c r="A1549" s="98"/>
      <c r="B1549" s="97"/>
      <c r="C1549" s="5" t="s">
        <v>3591</v>
      </c>
    </row>
    <row r="1550" spans="1:3" ht="26.25" thickBot="1">
      <c r="A1550" s="4" t="s">
        <v>3592</v>
      </c>
      <c r="B1550" s="5" t="s">
        <v>1566</v>
      </c>
      <c r="C1550" s="6" t="s">
        <v>3593</v>
      </c>
    </row>
    <row r="1551" spans="1:3" ht="17.25" thickBot="1">
      <c r="A1551" s="4" t="s">
        <v>3594</v>
      </c>
      <c r="B1551" s="5" t="s">
        <v>1620</v>
      </c>
      <c r="C1551" s="6" t="s">
        <v>3595</v>
      </c>
    </row>
    <row r="1552" spans="1:3" ht="17.25" thickBot="1">
      <c r="A1552" s="4" t="s">
        <v>3596</v>
      </c>
      <c r="B1552" s="5" t="s">
        <v>1611</v>
      </c>
      <c r="C1552" s="6" t="s">
        <v>3597</v>
      </c>
    </row>
    <row r="1553" spans="1:3" ht="25.5">
      <c r="A1553" s="92" t="s">
        <v>3598</v>
      </c>
      <c r="B1553" s="91" t="s">
        <v>0</v>
      </c>
      <c r="C1553" s="7" t="s">
        <v>3599</v>
      </c>
    </row>
    <row r="1554" spans="1:3" ht="17.25" thickBot="1">
      <c r="A1554" s="98"/>
      <c r="B1554" s="97"/>
      <c r="C1554" s="5" t="s">
        <v>2767</v>
      </c>
    </row>
    <row r="1555" spans="1:3" ht="25.5">
      <c r="A1555" s="92" t="s">
        <v>3600</v>
      </c>
      <c r="B1555" s="91" t="s">
        <v>0</v>
      </c>
      <c r="C1555" s="7" t="s">
        <v>3601</v>
      </c>
    </row>
    <row r="1556" spans="1:3" ht="17.25" thickBot="1">
      <c r="A1556" s="98"/>
      <c r="B1556" s="97"/>
      <c r="C1556" s="5" t="s">
        <v>3602</v>
      </c>
    </row>
    <row r="1557" spans="1:3" ht="17.25" thickBot="1">
      <c r="A1557" s="4" t="s">
        <v>3603</v>
      </c>
      <c r="B1557" s="5" t="s">
        <v>0</v>
      </c>
      <c r="C1557" s="6" t="s">
        <v>3604</v>
      </c>
    </row>
    <row r="1558" spans="1:3" ht="17.25" thickBot="1">
      <c r="A1558" s="4" t="s">
        <v>3605</v>
      </c>
      <c r="B1558" s="5" t="s">
        <v>1608</v>
      </c>
      <c r="C1558" s="6" t="s">
        <v>3606</v>
      </c>
    </row>
    <row r="1559" spans="1:3">
      <c r="A1559" s="92" t="s">
        <v>3589</v>
      </c>
      <c r="B1559" s="91" t="s">
        <v>1620</v>
      </c>
      <c r="C1559" s="8" t="s">
        <v>3590</v>
      </c>
    </row>
    <row r="1560" spans="1:3" ht="17.25" thickBot="1">
      <c r="A1560" s="98"/>
      <c r="B1560" s="97"/>
      <c r="C1560" s="5" t="s">
        <v>3591</v>
      </c>
    </row>
    <row r="1561" spans="1:3" ht="26.25" thickBot="1">
      <c r="A1561" s="4" t="s">
        <v>3592</v>
      </c>
      <c r="B1561" s="5" t="s">
        <v>1566</v>
      </c>
      <c r="C1561" s="6" t="s">
        <v>3593</v>
      </c>
    </row>
    <row r="1562" spans="1:3" ht="17.25" thickBot="1">
      <c r="A1562" s="99" t="s">
        <v>1591</v>
      </c>
      <c r="B1562" s="100" t="s">
        <v>1592</v>
      </c>
      <c r="C1562" s="100" t="s">
        <v>1593</v>
      </c>
    </row>
    <row r="1563" spans="1:3">
      <c r="A1563" s="96" t="s">
        <v>3607</v>
      </c>
      <c r="B1563" s="91" t="s">
        <v>1620</v>
      </c>
      <c r="C1563" s="91" t="s">
        <v>3595</v>
      </c>
    </row>
    <row r="1564" spans="1:3" ht="17.25" thickBot="1">
      <c r="A1564" s="4" t="s">
        <v>3608</v>
      </c>
      <c r="B1564" s="97"/>
      <c r="C1564" s="97"/>
    </row>
    <row r="1565" spans="1:3" ht="17.25" thickBot="1">
      <c r="A1565" s="4" t="s">
        <v>3596</v>
      </c>
      <c r="B1565" s="5" t="s">
        <v>1611</v>
      </c>
      <c r="C1565" s="6" t="s">
        <v>3597</v>
      </c>
    </row>
    <row r="1566" spans="1:3">
      <c r="B1566" s="114" t="s">
        <v>3609</v>
      </c>
      <c r="C1566" s="114" t="s">
        <v>3610</v>
      </c>
    </row>
    <row r="1567" spans="1:3" ht="17.25" thickBot="1">
      <c r="A1567" s="115" t="s">
        <v>3611</v>
      </c>
      <c r="B1567" s="115" t="s">
        <v>3612</v>
      </c>
    </row>
    <row r="1568" spans="1:3" ht="17.25" thickBot="1">
      <c r="A1568" s="102" t="s">
        <v>1591</v>
      </c>
      <c r="B1568" s="103" t="s">
        <v>1592</v>
      </c>
      <c r="C1568" s="103" t="s">
        <v>1593</v>
      </c>
    </row>
    <row r="1569" spans="1:3" ht="26.25" thickBot="1">
      <c r="A1569" s="4" t="s">
        <v>3613</v>
      </c>
      <c r="B1569" s="6" t="s">
        <v>1632</v>
      </c>
      <c r="C1569" s="6" t="s">
        <v>3614</v>
      </c>
    </row>
    <row r="1570" spans="1:3" ht="26.25" thickBot="1">
      <c r="A1570" s="4" t="s">
        <v>3615</v>
      </c>
      <c r="B1570" s="6" t="s">
        <v>1632</v>
      </c>
      <c r="C1570" s="6" t="s">
        <v>3616</v>
      </c>
    </row>
    <row r="1571" spans="1:3" ht="26.25" thickBot="1">
      <c r="A1571" s="4" t="s">
        <v>3617</v>
      </c>
      <c r="B1571" s="6" t="s">
        <v>1632</v>
      </c>
      <c r="C1571" s="6" t="s">
        <v>3618</v>
      </c>
    </row>
    <row r="1572" spans="1:3" ht="17.25" thickBot="1">
      <c r="A1572" s="4" t="s">
        <v>3619</v>
      </c>
      <c r="B1572" s="6" t="s">
        <v>1632</v>
      </c>
      <c r="C1572" s="6" t="s">
        <v>3620</v>
      </c>
    </row>
    <row r="1573" spans="1:3" ht="17.25" thickBot="1">
      <c r="A1573" s="4" t="s">
        <v>3621</v>
      </c>
      <c r="B1573" s="6" t="s">
        <v>1632</v>
      </c>
      <c r="C1573" s="5" t="s">
        <v>3622</v>
      </c>
    </row>
    <row r="1574" spans="1:3">
      <c r="B1574" s="114" t="s">
        <v>3623</v>
      </c>
      <c r="C1574" s="114" t="s">
        <v>3624</v>
      </c>
    </row>
    <row r="1575" spans="1:3">
      <c r="A1575" s="115" t="s">
        <v>3625</v>
      </c>
      <c r="B1575" s="115" t="s">
        <v>3626</v>
      </c>
    </row>
    <row r="1576" spans="1:3" ht="17.25" thickBot="1">
      <c r="A1576" s="126" t="s">
        <v>1874</v>
      </c>
    </row>
    <row r="1577" spans="1:3" ht="17.25" thickBot="1">
      <c r="A1577" s="102" t="s">
        <v>1591</v>
      </c>
      <c r="B1577" s="103" t="s">
        <v>1635</v>
      </c>
      <c r="C1577" s="103" t="s">
        <v>1593</v>
      </c>
    </row>
    <row r="1578" spans="1:3" ht="17.25" thickBot="1">
      <c r="A1578" s="4" t="s">
        <v>2269</v>
      </c>
      <c r="B1578" s="5" t="s">
        <v>1603</v>
      </c>
      <c r="C1578" s="6" t="s">
        <v>3627</v>
      </c>
    </row>
    <row r="1579" spans="1:3" ht="17.25" thickBot="1">
      <c r="A1579" s="4" t="s">
        <v>3628</v>
      </c>
      <c r="B1579" s="5" t="s">
        <v>1603</v>
      </c>
      <c r="C1579" s="6" t="s">
        <v>3629</v>
      </c>
    </row>
    <row r="1580" spans="1:3" ht="17.25" thickBot="1">
      <c r="B1580" s="114" t="s">
        <v>3630</v>
      </c>
      <c r="C1580" s="114" t="s">
        <v>3631</v>
      </c>
    </row>
    <row r="1581" spans="1:3" ht="17.25" thickBot="1">
      <c r="A1581" s="102" t="s">
        <v>1591</v>
      </c>
      <c r="B1581" s="103" t="s">
        <v>1592</v>
      </c>
      <c r="C1581" s="103" t="s">
        <v>1593</v>
      </c>
    </row>
    <row r="1582" spans="1:3" ht="17.25" thickBot="1">
      <c r="A1582" s="4" t="s">
        <v>3632</v>
      </c>
      <c r="B1582" s="5" t="s">
        <v>0</v>
      </c>
      <c r="C1582" s="5" t="s">
        <v>3633</v>
      </c>
    </row>
    <row r="1583" spans="1:3">
      <c r="A1583" s="92" t="s">
        <v>3634</v>
      </c>
      <c r="B1583" s="91" t="s">
        <v>1603</v>
      </c>
      <c r="C1583" s="8" t="s">
        <v>3635</v>
      </c>
    </row>
    <row r="1584" spans="1:3" ht="17.25" thickBot="1">
      <c r="A1584" s="98"/>
      <c r="B1584" s="97"/>
      <c r="C1584" s="5" t="s">
        <v>3636</v>
      </c>
    </row>
    <row r="1585" spans="1:3" ht="17.25" thickBot="1">
      <c r="A1585" s="4" t="s">
        <v>3048</v>
      </c>
      <c r="B1585" s="5" t="s">
        <v>1603</v>
      </c>
      <c r="C1585" s="5" t="s">
        <v>3637</v>
      </c>
    </row>
    <row r="1586" spans="1:3" ht="17.25" thickBot="1">
      <c r="A1586" s="4" t="s">
        <v>3638</v>
      </c>
      <c r="B1586" s="5" t="s">
        <v>1603</v>
      </c>
      <c r="C1586" s="5" t="s">
        <v>3639</v>
      </c>
    </row>
    <row r="1587" spans="1:3" ht="17.25" thickBot="1">
      <c r="A1587" s="4" t="s">
        <v>3640</v>
      </c>
      <c r="B1587" s="5" t="s">
        <v>1603</v>
      </c>
      <c r="C1587" s="6" t="s">
        <v>3641</v>
      </c>
    </row>
    <row r="1588" spans="1:3" ht="17.25" thickBot="1">
      <c r="A1588" s="4" t="s">
        <v>1912</v>
      </c>
      <c r="B1588" s="5" t="s">
        <v>1603</v>
      </c>
      <c r="C1588" s="5" t="s">
        <v>3642</v>
      </c>
    </row>
    <row r="1589" spans="1:3" ht="17.25" thickBot="1">
      <c r="A1589" s="4" t="s">
        <v>3643</v>
      </c>
      <c r="B1589" s="5" t="s">
        <v>1603</v>
      </c>
      <c r="C1589" s="5" t="s">
        <v>3644</v>
      </c>
    </row>
    <row r="1590" spans="1:3" ht="17.25" thickBot="1">
      <c r="A1590" s="4" t="s">
        <v>3645</v>
      </c>
      <c r="B1590" s="5" t="s">
        <v>1566</v>
      </c>
      <c r="C1590" s="5" t="s">
        <v>3646</v>
      </c>
    </row>
    <row r="1591" spans="1:3">
      <c r="A1591" s="92" t="s">
        <v>3647</v>
      </c>
      <c r="B1591" s="7" t="s">
        <v>2116</v>
      </c>
      <c r="C1591" s="91" t="s">
        <v>3648</v>
      </c>
    </row>
    <row r="1592" spans="1:3" ht="17.25" thickBot="1">
      <c r="A1592" s="98"/>
      <c r="B1592" s="5" t="s">
        <v>1610</v>
      </c>
      <c r="C1592" s="97"/>
    </row>
    <row r="1593" spans="1:3" ht="17.25" thickBot="1">
      <c r="A1593" s="4" t="s">
        <v>3649</v>
      </c>
      <c r="B1593" s="5" t="s">
        <v>1610</v>
      </c>
      <c r="C1593" s="5" t="s">
        <v>3650</v>
      </c>
    </row>
    <row r="1594" spans="1:3" ht="17.25" thickBot="1">
      <c r="A1594" s="4" t="s">
        <v>2299</v>
      </c>
      <c r="B1594" s="5" t="s">
        <v>3651</v>
      </c>
      <c r="C1594" s="6" t="s">
        <v>3652</v>
      </c>
    </row>
    <row r="1595" spans="1:3" ht="17.25" thickBot="1">
      <c r="A1595" s="4" t="s">
        <v>3653</v>
      </c>
      <c r="B1595" s="5" t="s">
        <v>1621</v>
      </c>
      <c r="C1595" s="6" t="s">
        <v>3654</v>
      </c>
    </row>
    <row r="1596" spans="1:3">
      <c r="A1596" s="92" t="s">
        <v>2981</v>
      </c>
      <c r="B1596" s="7" t="s">
        <v>2116</v>
      </c>
      <c r="C1596" s="91" t="s">
        <v>3656</v>
      </c>
    </row>
    <row r="1597" spans="1:3">
      <c r="A1597" s="171"/>
      <c r="B1597" s="8" t="s">
        <v>626</v>
      </c>
      <c r="C1597" s="170"/>
    </row>
    <row r="1598" spans="1:3" ht="17.25" thickBot="1">
      <c r="A1598" s="98"/>
      <c r="B1598" s="5" t="s">
        <v>3655</v>
      </c>
      <c r="C1598" s="97"/>
    </row>
    <row r="1599" spans="1:3" ht="17.25" thickBot="1">
      <c r="A1599" s="99" t="s">
        <v>1591</v>
      </c>
      <c r="B1599" s="100" t="s">
        <v>1592</v>
      </c>
      <c r="C1599" s="100" t="s">
        <v>1593</v>
      </c>
    </row>
    <row r="1600" spans="1:3" ht="17.25" thickBot="1">
      <c r="A1600" s="4" t="s">
        <v>2296</v>
      </c>
      <c r="B1600" s="5" t="s">
        <v>3657</v>
      </c>
      <c r="C1600" s="6" t="s">
        <v>3658</v>
      </c>
    </row>
    <row r="1601" spans="1:3" ht="17.25" thickBot="1">
      <c r="A1601" s="4" t="s">
        <v>3659</v>
      </c>
      <c r="B1601" s="5" t="s">
        <v>3660</v>
      </c>
      <c r="C1601" s="6" t="s">
        <v>3661</v>
      </c>
    </row>
    <row r="1602" spans="1:3" ht="17.25" thickBot="1">
      <c r="A1602" s="4" t="s">
        <v>3662</v>
      </c>
      <c r="B1602" s="5" t="s">
        <v>3663</v>
      </c>
      <c r="C1602" s="6" t="s">
        <v>3664</v>
      </c>
    </row>
    <row r="1603" spans="1:3" ht="17.25" thickBot="1">
      <c r="A1603" s="4" t="s">
        <v>3665</v>
      </c>
      <c r="B1603" s="5" t="s">
        <v>1630</v>
      </c>
      <c r="C1603" s="6" t="s">
        <v>3666</v>
      </c>
    </row>
    <row r="1604" spans="1:3">
      <c r="B1604" s="114" t="s">
        <v>3667</v>
      </c>
      <c r="C1604" s="114" t="s">
        <v>3668</v>
      </c>
    </row>
    <row r="1605" spans="1:3">
      <c r="A1605" s="115" t="s">
        <v>3669</v>
      </c>
      <c r="B1605" s="115" t="s">
        <v>3670</v>
      </c>
    </row>
    <row r="1606" spans="1:3" ht="17.25" thickBot="1">
      <c r="A1606" s="126" t="s">
        <v>1874</v>
      </c>
    </row>
    <row r="1607" spans="1:3" ht="17.25" thickBot="1">
      <c r="A1607" s="102" t="s">
        <v>1591</v>
      </c>
      <c r="B1607" s="103" t="s">
        <v>1635</v>
      </c>
      <c r="C1607" s="103" t="s">
        <v>1593</v>
      </c>
    </row>
    <row r="1608" spans="1:3">
      <c r="A1608" s="92" t="s">
        <v>1677</v>
      </c>
      <c r="B1608" s="8" t="s">
        <v>1620</v>
      </c>
      <c r="C1608" s="91" t="s">
        <v>3671</v>
      </c>
    </row>
    <row r="1609" spans="1:3" ht="17.25" thickBot="1">
      <c r="A1609" s="98"/>
      <c r="B1609" s="5" t="s">
        <v>1550</v>
      </c>
      <c r="C1609" s="97"/>
    </row>
    <row r="1610" spans="1:3">
      <c r="A1610" s="92" t="s">
        <v>1674</v>
      </c>
      <c r="B1610" s="7" t="s">
        <v>1619</v>
      </c>
      <c r="C1610" s="91" t="s">
        <v>3672</v>
      </c>
    </row>
    <row r="1611" spans="1:3" ht="17.25" thickBot="1">
      <c r="A1611" s="98"/>
      <c r="B1611" s="5" t="s">
        <v>1550</v>
      </c>
      <c r="C1611" s="97"/>
    </row>
    <row r="1612" spans="1:3">
      <c r="A1612" s="92" t="s">
        <v>3673</v>
      </c>
      <c r="B1612" s="8" t="s">
        <v>3674</v>
      </c>
      <c r="C1612" s="91" t="s">
        <v>3675</v>
      </c>
    </row>
    <row r="1613" spans="1:3" ht="17.25" thickBot="1">
      <c r="A1613" s="98"/>
      <c r="B1613" s="5" t="s">
        <v>2523</v>
      </c>
      <c r="C1613" s="97"/>
    </row>
    <row r="1614" spans="1:3">
      <c r="B1614" s="114" t="s">
        <v>3676</v>
      </c>
      <c r="C1614" s="114" t="s">
        <v>3677</v>
      </c>
    </row>
    <row r="1615" spans="1:3" ht="17.25" thickBot="1">
      <c r="A1615" s="126" t="s">
        <v>1646</v>
      </c>
    </row>
    <row r="1616" spans="1:3" ht="17.25" thickBot="1">
      <c r="A1616" s="102" t="s">
        <v>1591</v>
      </c>
      <c r="B1616" s="103" t="s">
        <v>1592</v>
      </c>
      <c r="C1616" s="103" t="s">
        <v>1593</v>
      </c>
    </row>
    <row r="1617" spans="1:3">
      <c r="A1617" s="134" t="s">
        <v>3678</v>
      </c>
      <c r="B1617" s="91" t="s">
        <v>3679</v>
      </c>
      <c r="C1617" s="7" t="s">
        <v>3680</v>
      </c>
    </row>
    <row r="1618" spans="1:3">
      <c r="A1618" s="96" t="s">
        <v>2920</v>
      </c>
      <c r="B1618" s="170"/>
      <c r="C1618" s="8" t="s">
        <v>3681</v>
      </c>
    </row>
    <row r="1619" spans="1:3" ht="26.25" thickBot="1">
      <c r="A1619" s="113"/>
      <c r="B1619" s="97"/>
      <c r="C1619" s="6" t="s">
        <v>3682</v>
      </c>
    </row>
    <row r="1620" spans="1:3" ht="25.5">
      <c r="A1620" s="92" t="s">
        <v>3683</v>
      </c>
      <c r="B1620" s="91" t="s">
        <v>1614</v>
      </c>
      <c r="C1620" s="7" t="s">
        <v>3684</v>
      </c>
    </row>
    <row r="1621" spans="1:3">
      <c r="A1621" s="171"/>
      <c r="B1621" s="170"/>
      <c r="C1621" s="8" t="s">
        <v>3685</v>
      </c>
    </row>
    <row r="1622" spans="1:3" ht="26.25" thickBot="1">
      <c r="A1622" s="98"/>
      <c r="B1622" s="97"/>
      <c r="C1622" s="6" t="s">
        <v>3686</v>
      </c>
    </row>
    <row r="1623" spans="1:3" ht="39" thickBot="1">
      <c r="A1623" s="4" t="s">
        <v>3687</v>
      </c>
      <c r="B1623" s="5" t="s">
        <v>1614</v>
      </c>
      <c r="C1623" s="6" t="s">
        <v>3688</v>
      </c>
    </row>
    <row r="1624" spans="1:3" ht="17.25" thickBot="1">
      <c r="A1624" s="4" t="s">
        <v>3689</v>
      </c>
      <c r="B1624" s="5" t="s">
        <v>1614</v>
      </c>
      <c r="C1624" s="5" t="s">
        <v>3690</v>
      </c>
    </row>
    <row r="1625" spans="1:3" ht="25.5">
      <c r="A1625" s="92" t="s">
        <v>2787</v>
      </c>
      <c r="B1625" s="91" t="s">
        <v>1611</v>
      </c>
      <c r="C1625" s="7" t="s">
        <v>3691</v>
      </c>
    </row>
    <row r="1626" spans="1:3" ht="17.25" thickBot="1">
      <c r="A1626" s="98"/>
      <c r="B1626" s="97"/>
      <c r="C1626" s="5" t="s">
        <v>3372</v>
      </c>
    </row>
    <row r="1627" spans="1:3" ht="17.25" thickBot="1">
      <c r="A1627" s="4" t="s">
        <v>3692</v>
      </c>
      <c r="B1627" s="5" t="s">
        <v>1566</v>
      </c>
      <c r="C1627" s="5" t="s">
        <v>3693</v>
      </c>
    </row>
    <row r="1628" spans="1:3" ht="26.25" thickBot="1">
      <c r="A1628" s="4" t="s">
        <v>3694</v>
      </c>
      <c r="B1628" s="5" t="s">
        <v>1566</v>
      </c>
      <c r="C1628" s="6" t="s">
        <v>3695</v>
      </c>
    </row>
    <row r="1629" spans="1:3" ht="17.25" thickBot="1">
      <c r="A1629" s="4" t="s">
        <v>3696</v>
      </c>
      <c r="B1629" s="5" t="s">
        <v>1566</v>
      </c>
      <c r="C1629" s="6" t="s">
        <v>3697</v>
      </c>
    </row>
    <row r="1630" spans="1:3" ht="17.25" thickBot="1">
      <c r="A1630" s="99" t="s">
        <v>1591</v>
      </c>
      <c r="B1630" s="100" t="s">
        <v>1592</v>
      </c>
      <c r="C1630" s="100" t="s">
        <v>1593</v>
      </c>
    </row>
    <row r="1631" spans="1:3" ht="17.25" thickBot="1">
      <c r="A1631" s="4" t="s">
        <v>3698</v>
      </c>
      <c r="B1631" s="5" t="s">
        <v>0</v>
      </c>
      <c r="C1631" s="6" t="s">
        <v>3699</v>
      </c>
    </row>
    <row r="1632" spans="1:3" ht="17.25" thickBot="1">
      <c r="A1632" s="4" t="s">
        <v>1740</v>
      </c>
      <c r="B1632" s="5" t="s">
        <v>0</v>
      </c>
      <c r="C1632" s="6" t="s">
        <v>3700</v>
      </c>
    </row>
    <row r="1633" spans="1:3" ht="17.25" thickBot="1">
      <c r="A1633" s="4" t="s">
        <v>3701</v>
      </c>
      <c r="B1633" s="5" t="s">
        <v>1566</v>
      </c>
      <c r="C1633" s="5" t="s">
        <v>3702</v>
      </c>
    </row>
    <row r="1634" spans="1:3" ht="39" thickBot="1">
      <c r="A1634" s="4" t="s">
        <v>3703</v>
      </c>
      <c r="B1634" s="5" t="s">
        <v>1566</v>
      </c>
      <c r="C1634" s="6" t="s">
        <v>3704</v>
      </c>
    </row>
    <row r="1635" spans="1:3">
      <c r="B1635" s="114" t="s">
        <v>3705</v>
      </c>
      <c r="C1635" s="114" t="s">
        <v>3706</v>
      </c>
    </row>
    <row r="1636" spans="1:3">
      <c r="B1636" s="114"/>
    </row>
    <row r="1637" spans="1:3">
      <c r="B1637" s="114" t="s">
        <v>3707</v>
      </c>
      <c r="C1637" s="114" t="s">
        <v>3708</v>
      </c>
    </row>
    <row r="1638" spans="1:3" ht="17.25" thickBot="1">
      <c r="A1638" s="126" t="s">
        <v>3709</v>
      </c>
    </row>
    <row r="1639" spans="1:3" ht="17.25" thickBot="1">
      <c r="A1639" s="102" t="s">
        <v>1591</v>
      </c>
      <c r="B1639" s="103" t="s">
        <v>1592</v>
      </c>
      <c r="C1639" s="103" t="s">
        <v>1593</v>
      </c>
    </row>
    <row r="1640" spans="1:3" ht="25.5">
      <c r="A1640" s="92" t="s">
        <v>3710</v>
      </c>
      <c r="B1640" s="91" t="s">
        <v>1599</v>
      </c>
      <c r="C1640" s="7" t="s">
        <v>3711</v>
      </c>
    </row>
    <row r="1641" spans="1:3" ht="26.25" thickBot="1">
      <c r="A1641" s="98"/>
      <c r="B1641" s="97"/>
      <c r="C1641" s="6" t="s">
        <v>3712</v>
      </c>
    </row>
    <row r="1642" spans="1:3">
      <c r="A1642" s="92" t="s">
        <v>3713</v>
      </c>
      <c r="B1642" s="91" t="s">
        <v>0</v>
      </c>
      <c r="C1642" s="7" t="s">
        <v>3714</v>
      </c>
    </row>
    <row r="1643" spans="1:3" ht="17.25" thickBot="1">
      <c r="A1643" s="98"/>
      <c r="B1643" s="97"/>
      <c r="C1643" s="5" t="s">
        <v>3715</v>
      </c>
    </row>
    <row r="1644" spans="1:3" ht="17.25" thickBot="1">
      <c r="A1644" s="99" t="s">
        <v>1591</v>
      </c>
      <c r="B1644" s="100" t="s">
        <v>1592</v>
      </c>
      <c r="C1644" s="100" t="s">
        <v>1593</v>
      </c>
    </row>
    <row r="1645" spans="1:3" ht="17.25" thickBot="1">
      <c r="A1645" s="4" t="s">
        <v>3716</v>
      </c>
      <c r="B1645" s="5" t="s">
        <v>3717</v>
      </c>
      <c r="C1645" s="6" t="s">
        <v>3718</v>
      </c>
    </row>
    <row r="1646" spans="1:3" ht="51">
      <c r="A1646" s="92" t="s">
        <v>3719</v>
      </c>
      <c r="B1646" s="91" t="s">
        <v>1614</v>
      </c>
      <c r="C1646" s="7" t="s">
        <v>3720</v>
      </c>
    </row>
    <row r="1647" spans="1:3" ht="17.25" thickBot="1">
      <c r="A1647" s="98"/>
      <c r="B1647" s="97"/>
      <c r="C1647" s="5" t="s">
        <v>3721</v>
      </c>
    </row>
    <row r="1648" spans="1:3">
      <c r="A1648" s="91"/>
      <c r="B1648" s="91"/>
      <c r="C1648" s="7" t="s">
        <v>3722</v>
      </c>
    </row>
    <row r="1649" spans="1:3" ht="25.5">
      <c r="A1649" s="170"/>
      <c r="B1649" s="170"/>
      <c r="C1649" s="7" t="s">
        <v>3723</v>
      </c>
    </row>
    <row r="1650" spans="1:3">
      <c r="A1650" s="170"/>
      <c r="B1650" s="170"/>
      <c r="C1650" s="8" t="s">
        <v>3724</v>
      </c>
    </row>
    <row r="1651" spans="1:3" ht="17.25" thickBot="1">
      <c r="A1651" s="97"/>
      <c r="B1651" s="97"/>
      <c r="C1651" s="5" t="s">
        <v>3725</v>
      </c>
    </row>
    <row r="1652" spans="1:3" ht="51">
      <c r="A1652" s="92" t="s">
        <v>3726</v>
      </c>
      <c r="B1652" s="91" t="s">
        <v>1614</v>
      </c>
      <c r="C1652" s="7" t="s">
        <v>3727</v>
      </c>
    </row>
    <row r="1653" spans="1:3">
      <c r="A1653" s="171"/>
      <c r="B1653" s="170"/>
      <c r="C1653" s="7" t="s">
        <v>3728</v>
      </c>
    </row>
    <row r="1654" spans="1:3" ht="17.25" thickBot="1">
      <c r="A1654" s="98"/>
      <c r="B1654" s="97"/>
      <c r="C1654" s="5" t="s">
        <v>3729</v>
      </c>
    </row>
    <row r="1655" spans="1:3">
      <c r="B1655" s="114" t="s">
        <v>3730</v>
      </c>
      <c r="C1655" s="114" t="s">
        <v>3709</v>
      </c>
    </row>
    <row r="1656" spans="1:3">
      <c r="A1656" s="126" t="s">
        <v>3731</v>
      </c>
    </row>
    <row r="1657" spans="1:3" ht="26.25" thickBot="1">
      <c r="A1657" s="105" t="s">
        <v>3732</v>
      </c>
    </row>
    <row r="1658" spans="1:3" ht="17.25" thickBot="1">
      <c r="A1658" s="102" t="s">
        <v>1591</v>
      </c>
      <c r="B1658" s="103" t="s">
        <v>1592</v>
      </c>
      <c r="C1658" s="103" t="s">
        <v>1593</v>
      </c>
    </row>
    <row r="1659" spans="1:3" ht="25.5">
      <c r="A1659" s="92" t="s">
        <v>3733</v>
      </c>
      <c r="B1659" s="91" t="s">
        <v>1614</v>
      </c>
      <c r="C1659" s="7" t="s">
        <v>3734</v>
      </c>
    </row>
    <row r="1660" spans="1:3" ht="17.25" thickBot="1">
      <c r="A1660" s="98"/>
      <c r="B1660" s="97"/>
      <c r="C1660" s="5" t="s">
        <v>3735</v>
      </c>
    </row>
    <row r="1661" spans="1:3" ht="26.25" thickBot="1">
      <c r="A1661" s="4" t="s">
        <v>3736</v>
      </c>
      <c r="B1661" s="5" t="s">
        <v>1614</v>
      </c>
      <c r="C1661" s="6" t="s">
        <v>3737</v>
      </c>
    </row>
    <row r="1662" spans="1:3" ht="26.25" thickBot="1">
      <c r="A1662" s="4" t="s">
        <v>3738</v>
      </c>
      <c r="B1662" s="5" t="s">
        <v>1614</v>
      </c>
      <c r="C1662" s="6" t="s">
        <v>3739</v>
      </c>
    </row>
    <row r="1663" spans="1:3" ht="26.25" thickBot="1">
      <c r="A1663" s="4" t="s">
        <v>3740</v>
      </c>
      <c r="B1663" s="5" t="s">
        <v>1614</v>
      </c>
      <c r="C1663" s="6" t="s">
        <v>3741</v>
      </c>
    </row>
    <row r="1664" spans="1:3" ht="17.25" thickBot="1">
      <c r="A1664" s="4" t="s">
        <v>3742</v>
      </c>
      <c r="B1664" s="5" t="s">
        <v>1614</v>
      </c>
      <c r="C1664" s="6" t="s">
        <v>3743</v>
      </c>
    </row>
    <row r="1665" spans="1:3" ht="39.75" thickBot="1">
      <c r="A1665" s="4" t="s">
        <v>3744</v>
      </c>
      <c r="B1665" s="5" t="s">
        <v>1614</v>
      </c>
      <c r="C1665" s="6" t="s">
        <v>3745</v>
      </c>
    </row>
    <row r="1666" spans="1:3" ht="17.25" thickBot="1">
      <c r="A1666" s="4" t="s">
        <v>3746</v>
      </c>
      <c r="B1666" s="5" t="s">
        <v>1614</v>
      </c>
      <c r="C1666" s="6" t="s">
        <v>3747</v>
      </c>
    </row>
    <row r="1667" spans="1:3">
      <c r="A1667" s="92" t="s">
        <v>3748</v>
      </c>
      <c r="B1667" s="91" t="s">
        <v>1614</v>
      </c>
      <c r="C1667" s="7" t="s">
        <v>3749</v>
      </c>
    </row>
    <row r="1668" spans="1:3" ht="17.25" thickBot="1">
      <c r="A1668" s="98"/>
      <c r="B1668" s="97"/>
      <c r="C1668" s="150" t="s">
        <v>3750</v>
      </c>
    </row>
    <row r="1669" spans="1:3" ht="17.25" thickBot="1">
      <c r="A1669" s="4" t="s">
        <v>3751</v>
      </c>
      <c r="B1669" s="5" t="s">
        <v>1614</v>
      </c>
      <c r="C1669" s="6" t="s">
        <v>3752</v>
      </c>
    </row>
    <row r="1670" spans="1:3" ht="17.25" thickBot="1">
      <c r="A1670" s="4" t="s">
        <v>3753</v>
      </c>
      <c r="B1670" s="5" t="s">
        <v>1614</v>
      </c>
      <c r="C1670" s="6" t="s">
        <v>3754</v>
      </c>
    </row>
    <row r="1671" spans="1:3">
      <c r="A1671" s="92" t="s">
        <v>3755</v>
      </c>
      <c r="B1671" s="91" t="s">
        <v>1614</v>
      </c>
      <c r="C1671" s="8" t="s">
        <v>3756</v>
      </c>
    </row>
    <row r="1672" spans="1:3" ht="17.25" thickBot="1">
      <c r="A1672" s="98"/>
      <c r="B1672" s="97"/>
      <c r="C1672" s="5" t="s">
        <v>3757</v>
      </c>
    </row>
    <row r="1673" spans="1:3" ht="17.25" thickBot="1">
      <c r="A1673" s="4" t="s">
        <v>3758</v>
      </c>
      <c r="B1673" s="5" t="s">
        <v>1614</v>
      </c>
      <c r="C1673" s="6" t="s">
        <v>3759</v>
      </c>
    </row>
    <row r="1674" spans="1:3" ht="17.25" thickBot="1">
      <c r="A1674" s="4" t="s">
        <v>3760</v>
      </c>
      <c r="B1674" s="5" t="s">
        <v>1614</v>
      </c>
      <c r="C1674" s="5" t="s">
        <v>3761</v>
      </c>
    </row>
    <row r="1675" spans="1:3" ht="51">
      <c r="A1675" s="92" t="s">
        <v>3762</v>
      </c>
      <c r="B1675" s="91" t="s">
        <v>1614</v>
      </c>
      <c r="C1675" s="7" t="s">
        <v>3763</v>
      </c>
    </row>
    <row r="1676" spans="1:3" ht="17.25" thickBot="1">
      <c r="A1676" s="98"/>
      <c r="B1676" s="97"/>
      <c r="C1676" s="5" t="s">
        <v>3764</v>
      </c>
    </row>
    <row r="1677" spans="1:3" ht="26.25" thickBot="1">
      <c r="A1677" s="4" t="s">
        <v>1735</v>
      </c>
      <c r="B1677" s="5" t="s">
        <v>1620</v>
      </c>
      <c r="C1677" s="6" t="s">
        <v>3765</v>
      </c>
    </row>
    <row r="1678" spans="1:3">
      <c r="A1678" s="92" t="s">
        <v>3766</v>
      </c>
      <c r="B1678" s="91" t="s">
        <v>1620</v>
      </c>
      <c r="C1678" s="7" t="s">
        <v>3767</v>
      </c>
    </row>
    <row r="1679" spans="1:3" ht="26.25">
      <c r="A1679" s="171"/>
      <c r="B1679" s="170"/>
      <c r="C1679" s="7" t="s">
        <v>3768</v>
      </c>
    </row>
    <row r="1680" spans="1:3" ht="17.25" thickBot="1">
      <c r="A1680" s="98"/>
      <c r="B1680" s="97"/>
      <c r="C1680" s="150" t="s">
        <v>3769</v>
      </c>
    </row>
    <row r="1681" spans="1:3" ht="39" thickBot="1">
      <c r="A1681" s="4" t="s">
        <v>3770</v>
      </c>
      <c r="B1681" s="5" t="s">
        <v>1599</v>
      </c>
      <c r="C1681" s="6" t="s">
        <v>3771</v>
      </c>
    </row>
    <row r="1682" spans="1:3" ht="26.25" thickBot="1">
      <c r="A1682" s="4" t="s">
        <v>3772</v>
      </c>
      <c r="B1682" s="5" t="s">
        <v>1566</v>
      </c>
      <c r="C1682" s="6" t="s">
        <v>3773</v>
      </c>
    </row>
    <row r="1683" spans="1:3" ht="26.25" thickBot="1">
      <c r="A1683" s="4" t="s">
        <v>3774</v>
      </c>
      <c r="B1683" s="5" t="s">
        <v>1566</v>
      </c>
      <c r="C1683" s="6" t="s">
        <v>3775</v>
      </c>
    </row>
    <row r="1684" spans="1:3" ht="26.25" thickBot="1">
      <c r="A1684" s="4" t="s">
        <v>3776</v>
      </c>
      <c r="B1684" s="5" t="s">
        <v>1566</v>
      </c>
      <c r="C1684" s="6" t="s">
        <v>3777</v>
      </c>
    </row>
    <row r="1685" spans="1:3" ht="26.25" thickBot="1">
      <c r="A1685" s="4" t="s">
        <v>3778</v>
      </c>
      <c r="B1685" s="5" t="s">
        <v>1566</v>
      </c>
      <c r="C1685" s="6" t="s">
        <v>3779</v>
      </c>
    </row>
    <row r="1686" spans="1:3" ht="26.25" thickBot="1">
      <c r="A1686" s="4" t="s">
        <v>3780</v>
      </c>
      <c r="B1686" s="5" t="s">
        <v>1566</v>
      </c>
      <c r="C1686" s="6" t="s">
        <v>3781</v>
      </c>
    </row>
    <row r="1687" spans="1:3" ht="26.25" thickBot="1">
      <c r="A1687" s="4" t="s">
        <v>3782</v>
      </c>
      <c r="B1687" s="5" t="s">
        <v>1566</v>
      </c>
      <c r="C1687" s="6" t="s">
        <v>3783</v>
      </c>
    </row>
    <row r="1688" spans="1:3" ht="38.25">
      <c r="A1688" s="92" t="s">
        <v>3784</v>
      </c>
      <c r="B1688" s="7" t="s">
        <v>2116</v>
      </c>
      <c r="C1688" s="91" t="s">
        <v>3786</v>
      </c>
    </row>
    <row r="1689" spans="1:3" ht="17.25" thickBot="1">
      <c r="A1689" s="98"/>
      <c r="B1689" s="5" t="s">
        <v>3785</v>
      </c>
      <c r="C1689" s="97"/>
    </row>
    <row r="1690" spans="1:3" ht="63.75">
      <c r="A1690" s="92" t="s">
        <v>3787</v>
      </c>
      <c r="B1690" s="7" t="s">
        <v>2116</v>
      </c>
      <c r="C1690" s="91" t="s">
        <v>3788</v>
      </c>
    </row>
    <row r="1691" spans="1:3" ht="17.25" thickBot="1">
      <c r="A1691" s="98"/>
      <c r="B1691" s="5" t="s">
        <v>3785</v>
      </c>
      <c r="C1691" s="97"/>
    </row>
    <row r="1692" spans="1:3" ht="25.5">
      <c r="A1692" s="92" t="s">
        <v>3789</v>
      </c>
      <c r="B1692" s="7" t="s">
        <v>2116</v>
      </c>
      <c r="C1692" s="91" t="s">
        <v>3790</v>
      </c>
    </row>
    <row r="1693" spans="1:3" ht="17.25" thickBot="1">
      <c r="A1693" s="98"/>
      <c r="B1693" s="5" t="s">
        <v>3785</v>
      </c>
      <c r="C1693" s="97"/>
    </row>
    <row r="1694" spans="1:3" ht="17.25" thickBot="1">
      <c r="A1694" s="4" t="s">
        <v>3791</v>
      </c>
      <c r="B1694" s="5" t="s">
        <v>3792</v>
      </c>
      <c r="C1694" s="5" t="s">
        <v>3793</v>
      </c>
    </row>
    <row r="1695" spans="1:3" ht="26.25" thickBot="1">
      <c r="A1695" s="4" t="s">
        <v>3794</v>
      </c>
      <c r="B1695" s="5" t="s">
        <v>3792</v>
      </c>
      <c r="C1695" s="6" t="s">
        <v>3795</v>
      </c>
    </row>
    <row r="1696" spans="1:3">
      <c r="A1696" s="92" t="s">
        <v>3796</v>
      </c>
      <c r="B1696" s="91" t="s">
        <v>3792</v>
      </c>
      <c r="C1696" s="7" t="s">
        <v>3797</v>
      </c>
    </row>
    <row r="1697" spans="1:3" ht="17.25" thickBot="1">
      <c r="A1697" s="98"/>
      <c r="B1697" s="97"/>
      <c r="C1697" s="5" t="s">
        <v>3798</v>
      </c>
    </row>
    <row r="1698" spans="1:3">
      <c r="A1698" s="92" t="s">
        <v>3799</v>
      </c>
      <c r="B1698" s="91" t="s">
        <v>3792</v>
      </c>
      <c r="C1698" s="7" t="s">
        <v>3800</v>
      </c>
    </row>
    <row r="1699" spans="1:3" ht="17.25" thickBot="1">
      <c r="A1699" s="98"/>
      <c r="B1699" s="97"/>
      <c r="C1699" s="5" t="s">
        <v>3801</v>
      </c>
    </row>
    <row r="1700" spans="1:3" ht="64.5" thickBot="1">
      <c r="A1700" s="4" t="s">
        <v>3802</v>
      </c>
      <c r="B1700" s="5" t="s">
        <v>3792</v>
      </c>
      <c r="C1700" s="6" t="s">
        <v>3803</v>
      </c>
    </row>
    <row r="1701" spans="1:3">
      <c r="A1701" s="117" t="s">
        <v>3804</v>
      </c>
    </row>
    <row r="1702" spans="1:3" ht="17.25" thickBot="1">
      <c r="A1702" s="115" t="s">
        <v>3805</v>
      </c>
      <c r="B1702" s="115" t="s">
        <v>3806</v>
      </c>
    </row>
    <row r="1703" spans="1:3" ht="17.25" thickBot="1">
      <c r="A1703" s="102" t="s">
        <v>1591</v>
      </c>
      <c r="B1703" s="103" t="s">
        <v>1635</v>
      </c>
      <c r="C1703" s="103" t="s">
        <v>1593</v>
      </c>
    </row>
    <row r="1704" spans="1:3">
      <c r="A1704" s="92" t="s">
        <v>1677</v>
      </c>
      <c r="B1704" s="8" t="s">
        <v>1620</v>
      </c>
      <c r="C1704" s="91" t="s">
        <v>3313</v>
      </c>
    </row>
    <row r="1705" spans="1:3" ht="17.25" thickBot="1">
      <c r="A1705" s="98"/>
      <c r="B1705" s="5" t="s">
        <v>1550</v>
      </c>
      <c r="C1705" s="97"/>
    </row>
    <row r="1706" spans="1:3">
      <c r="A1706" s="92" t="s">
        <v>1674</v>
      </c>
      <c r="B1706" s="7" t="s">
        <v>1619</v>
      </c>
      <c r="C1706" s="91" t="s">
        <v>3314</v>
      </c>
    </row>
    <row r="1707" spans="1:3" ht="17.25" thickBot="1">
      <c r="A1707" s="98"/>
      <c r="B1707" s="5" t="s">
        <v>1550</v>
      </c>
      <c r="C1707" s="97"/>
    </row>
    <row r="1708" spans="1:3">
      <c r="A1708" s="92" t="s">
        <v>3807</v>
      </c>
      <c r="B1708" s="8" t="s">
        <v>1745</v>
      </c>
      <c r="C1708" s="91" t="s">
        <v>3808</v>
      </c>
    </row>
    <row r="1709" spans="1:3" ht="17.25" thickBot="1">
      <c r="A1709" s="98"/>
      <c r="B1709" s="5" t="s">
        <v>1550</v>
      </c>
      <c r="C1709" s="97"/>
    </row>
    <row r="1710" spans="1:3">
      <c r="A1710" s="92" t="s">
        <v>3809</v>
      </c>
      <c r="B1710" s="8" t="s">
        <v>1745</v>
      </c>
      <c r="C1710" s="91" t="s">
        <v>3810</v>
      </c>
    </row>
    <row r="1711" spans="1:3" ht="17.25" thickBot="1">
      <c r="A1711" s="98"/>
      <c r="B1711" s="5" t="s">
        <v>1550</v>
      </c>
      <c r="C1711" s="97"/>
    </row>
    <row r="1712" spans="1:3" ht="25.5">
      <c r="A1712" s="96" t="s">
        <v>3811</v>
      </c>
      <c r="B1712" s="91" t="s">
        <v>3813</v>
      </c>
      <c r="C1712" s="91" t="s">
        <v>3814</v>
      </c>
    </row>
    <row r="1713" spans="1:3" ht="17.25" thickBot="1">
      <c r="A1713" s="4" t="s">
        <v>3812</v>
      </c>
      <c r="B1713" s="97"/>
      <c r="C1713" s="97"/>
    </row>
    <row r="1714" spans="1:3">
      <c r="A1714" s="117" t="s">
        <v>3815</v>
      </c>
    </row>
    <row r="1715" spans="1:3">
      <c r="A1715" s="115" t="s">
        <v>3816</v>
      </c>
      <c r="B1715" s="115" t="s">
        <v>3817</v>
      </c>
    </row>
    <row r="1716" spans="1:3" ht="17.25" thickBot="1">
      <c r="A1716" s="126" t="s">
        <v>1646</v>
      </c>
    </row>
    <row r="1717" spans="1:3" ht="17.25" thickBot="1">
      <c r="A1717" s="102" t="s">
        <v>1591</v>
      </c>
      <c r="B1717" s="103" t="s">
        <v>1592</v>
      </c>
      <c r="C1717" s="103" t="s">
        <v>1593</v>
      </c>
    </row>
    <row r="1718" spans="1:3" ht="17.25" thickBot="1">
      <c r="A1718" s="159" t="s">
        <v>3039</v>
      </c>
      <c r="B1718" s="111"/>
      <c r="C1718" s="5"/>
    </row>
    <row r="1719" spans="1:3" ht="17.25" thickBot="1">
      <c r="A1719" s="4" t="s">
        <v>3818</v>
      </c>
      <c r="B1719" s="5" t="s">
        <v>0</v>
      </c>
      <c r="C1719" s="6" t="s">
        <v>3819</v>
      </c>
    </row>
    <row r="1720" spans="1:3" ht="17.25" thickBot="1">
      <c r="A1720" s="4" t="s">
        <v>3820</v>
      </c>
      <c r="B1720" s="5" t="s">
        <v>0</v>
      </c>
      <c r="C1720" s="5" t="s">
        <v>3821</v>
      </c>
    </row>
    <row r="1721" spans="1:3">
      <c r="A1721" s="92" t="s">
        <v>3822</v>
      </c>
      <c r="B1721" s="91" t="s">
        <v>0</v>
      </c>
      <c r="C1721" s="8" t="s">
        <v>3823</v>
      </c>
    </row>
    <row r="1722" spans="1:3" ht="51.75" thickBot="1">
      <c r="A1722" s="98"/>
      <c r="B1722" s="97"/>
      <c r="C1722" s="6" t="s">
        <v>3824</v>
      </c>
    </row>
    <row r="1723" spans="1:3">
      <c r="A1723" s="92" t="s">
        <v>3825</v>
      </c>
      <c r="B1723" s="91" t="s">
        <v>0</v>
      </c>
      <c r="C1723" s="7" t="s">
        <v>3826</v>
      </c>
    </row>
    <row r="1724" spans="1:3">
      <c r="A1724" s="171"/>
      <c r="B1724" s="170"/>
      <c r="C1724" s="8" t="s">
        <v>3827</v>
      </c>
    </row>
    <row r="1725" spans="1:3" ht="38.25">
      <c r="A1725" s="171"/>
      <c r="B1725" s="170"/>
      <c r="C1725" s="7" t="s">
        <v>3828</v>
      </c>
    </row>
    <row r="1726" spans="1:3" ht="39" thickBot="1">
      <c r="A1726" s="98"/>
      <c r="B1726" s="97"/>
      <c r="C1726" s="6" t="s">
        <v>3829</v>
      </c>
    </row>
    <row r="1727" spans="1:3" ht="17.25" thickBot="1">
      <c r="A1727" s="109"/>
    </row>
    <row r="1728" spans="1:3" ht="17.25" thickBot="1">
      <c r="A1728" s="102" t="s">
        <v>1591</v>
      </c>
      <c r="B1728" s="172" t="s">
        <v>1592</v>
      </c>
      <c r="C1728" s="173"/>
    </row>
    <row r="1729" spans="1:3" ht="17.25" thickBot="1">
      <c r="A1729" s="145" t="s">
        <v>3830</v>
      </c>
      <c r="B1729" s="174" t="s">
        <v>3831</v>
      </c>
      <c r="C1729" s="175"/>
    </row>
    <row r="1730" spans="1:3" ht="17.25" thickBot="1">
      <c r="A1730" s="172" t="s">
        <v>3832</v>
      </c>
      <c r="B1730" s="183"/>
      <c r="C1730" s="183"/>
    </row>
    <row r="1731" spans="1:3" ht="17.25" thickBot="1">
      <c r="A1731" s="145" t="s">
        <v>3833</v>
      </c>
      <c r="B1731" s="174" t="s">
        <v>0</v>
      </c>
      <c r="C1731" s="175"/>
    </row>
    <row r="1732" spans="1:3" ht="17.25" thickBot="1">
      <c r="A1732" s="145" t="s">
        <v>3834</v>
      </c>
      <c r="B1732" s="174" t="s">
        <v>1606</v>
      </c>
      <c r="C1732" s="175"/>
    </row>
    <row r="1733" spans="1:3">
      <c r="A1733" s="144" t="s">
        <v>3835</v>
      </c>
      <c r="B1733" s="179" t="s">
        <v>1605</v>
      </c>
      <c r="C1733" s="180"/>
    </row>
    <row r="1734" spans="1:3" ht="17.25" thickBot="1">
      <c r="A1734" s="145" t="s">
        <v>3836</v>
      </c>
      <c r="B1734" s="181"/>
      <c r="C1734" s="182"/>
    </row>
    <row r="1735" spans="1:3" ht="17.25" thickBot="1">
      <c r="A1735" s="145" t="s">
        <v>3090</v>
      </c>
      <c r="B1735" s="174" t="s">
        <v>3837</v>
      </c>
      <c r="C1735" s="175"/>
    </row>
    <row r="1736" spans="1:3" ht="17.25" thickBot="1">
      <c r="A1736" s="145" t="s">
        <v>3093</v>
      </c>
      <c r="B1736" s="111" t="s">
        <v>3839</v>
      </c>
      <c r="C1736" s="6" t="s">
        <v>2716</v>
      </c>
    </row>
    <row r="1737" spans="1:3" ht="17.25" thickBot="1">
      <c r="A1737" s="172" t="s">
        <v>3840</v>
      </c>
      <c r="B1737" s="183"/>
      <c r="C1737" s="184"/>
    </row>
    <row r="1738" spans="1:3">
      <c r="A1738" s="176" t="s">
        <v>3841</v>
      </c>
      <c r="B1738" s="179" t="s">
        <v>0</v>
      </c>
      <c r="C1738" s="180"/>
    </row>
    <row r="1739" spans="1:3" ht="17.25" thickBot="1">
      <c r="A1739" s="177"/>
      <c r="B1739" s="181"/>
      <c r="C1739" s="182"/>
    </row>
    <row r="1740" spans="1:3">
      <c r="A1740" s="144" t="s">
        <v>3842</v>
      </c>
      <c r="B1740" s="179" t="s">
        <v>0</v>
      </c>
      <c r="C1740" s="180"/>
    </row>
    <row r="1741" spans="1:3">
      <c r="A1741" s="144" t="s">
        <v>3843</v>
      </c>
      <c r="B1741" s="185"/>
      <c r="C1741" s="186"/>
    </row>
    <row r="1742" spans="1:3" ht="17.25" thickBot="1">
      <c r="A1742" s="145" t="s">
        <v>3844</v>
      </c>
      <c r="B1742" s="181"/>
      <c r="C1742" s="182"/>
    </row>
    <row r="1743" spans="1:3" ht="17.25" thickBot="1">
      <c r="A1743" s="145" t="s">
        <v>3084</v>
      </c>
      <c r="B1743" s="111" t="s">
        <v>0</v>
      </c>
      <c r="C1743" s="5"/>
    </row>
    <row r="1744" spans="1:3" ht="17.25" thickBot="1">
      <c r="A1744" s="145" t="s">
        <v>3845</v>
      </c>
      <c r="B1744" s="174" t="s">
        <v>0</v>
      </c>
      <c r="C1744" s="175"/>
    </row>
    <row r="1745" spans="1:3" ht="17.25" thickBot="1">
      <c r="A1745" s="109"/>
    </row>
    <row r="1746" spans="1:3" ht="17.25" thickBot="1">
      <c r="A1746" s="102" t="s">
        <v>1591</v>
      </c>
      <c r="B1746" s="103" t="s">
        <v>1592</v>
      </c>
      <c r="C1746" s="103" t="s">
        <v>1593</v>
      </c>
    </row>
    <row r="1747" spans="1:3" ht="25.5">
      <c r="A1747" s="144" t="s">
        <v>3846</v>
      </c>
      <c r="B1747" s="91" t="s">
        <v>0</v>
      </c>
      <c r="C1747" s="7" t="s">
        <v>3849</v>
      </c>
    </row>
    <row r="1748" spans="1:3" ht="25.5">
      <c r="A1748" s="144" t="s">
        <v>3847</v>
      </c>
      <c r="B1748" s="170"/>
      <c r="C1748" s="7" t="s">
        <v>3850</v>
      </c>
    </row>
    <row r="1749" spans="1:3" ht="51">
      <c r="A1749" s="144" t="s">
        <v>3848</v>
      </c>
      <c r="B1749" s="170"/>
      <c r="C1749" s="7" t="s">
        <v>3851</v>
      </c>
    </row>
    <row r="1750" spans="1:3" ht="26.25" thickBot="1">
      <c r="A1750" s="113"/>
      <c r="B1750" s="97"/>
      <c r="C1750" s="6" t="s">
        <v>3852</v>
      </c>
    </row>
    <row r="1751" spans="1:3" ht="17.25" thickBot="1">
      <c r="A1751" s="172" t="s">
        <v>3853</v>
      </c>
      <c r="B1751" s="183"/>
      <c r="C1751" s="173"/>
    </row>
    <row r="1752" spans="1:3" ht="17.25" thickBot="1">
      <c r="A1752" s="4" t="s">
        <v>3854</v>
      </c>
      <c r="B1752" s="5" t="s">
        <v>0</v>
      </c>
      <c r="C1752" s="5" t="s">
        <v>3855</v>
      </c>
    </row>
    <row r="1753" spans="1:3" ht="17.25" thickBot="1">
      <c r="A1753" s="4" t="s">
        <v>3856</v>
      </c>
      <c r="B1753" s="5" t="s">
        <v>0</v>
      </c>
      <c r="C1753" s="5" t="s">
        <v>3857</v>
      </c>
    </row>
    <row r="1754" spans="1:3" ht="17.25" thickBot="1">
      <c r="A1754" s="4" t="s">
        <v>3858</v>
      </c>
      <c r="B1754" s="5" t="s">
        <v>0</v>
      </c>
      <c r="C1754" s="5" t="s">
        <v>3859</v>
      </c>
    </row>
    <row r="1755" spans="1:3" ht="17.25" thickBot="1">
      <c r="A1755" s="4" t="s">
        <v>3860</v>
      </c>
      <c r="B1755" s="5" t="s">
        <v>0</v>
      </c>
      <c r="C1755" s="5" t="s">
        <v>3861</v>
      </c>
    </row>
    <row r="1756" spans="1:3" ht="17.25" thickBot="1">
      <c r="A1756" s="4" t="s">
        <v>3862</v>
      </c>
      <c r="B1756" s="5" t="s">
        <v>0</v>
      </c>
      <c r="C1756" s="5" t="s">
        <v>3863</v>
      </c>
    </row>
    <row r="1757" spans="1:3" ht="17.25" thickBot="1">
      <c r="A1757" s="4" t="s">
        <v>3864</v>
      </c>
      <c r="B1757" s="5" t="s">
        <v>0</v>
      </c>
      <c r="C1757" s="5" t="s">
        <v>3865</v>
      </c>
    </row>
    <row r="1758" spans="1:3" ht="39" thickBot="1">
      <c r="A1758" s="4" t="s">
        <v>3866</v>
      </c>
      <c r="B1758" s="5" t="s">
        <v>1566</v>
      </c>
      <c r="C1758" s="6" t="s">
        <v>3867</v>
      </c>
    </row>
    <row r="1759" spans="1:3" ht="17.25" thickBot="1">
      <c r="A1759" s="4" t="s">
        <v>3868</v>
      </c>
      <c r="B1759" s="5" t="s">
        <v>1566</v>
      </c>
      <c r="C1759" s="5" t="s">
        <v>3869</v>
      </c>
    </row>
    <row r="1760" spans="1:3" ht="17.25" thickBot="1">
      <c r="A1760" s="4" t="s">
        <v>3870</v>
      </c>
      <c r="B1760" s="5" t="s">
        <v>1616</v>
      </c>
      <c r="C1760" s="6" t="s">
        <v>3871</v>
      </c>
    </row>
    <row r="1761" spans="1:3" ht="17.25" thickBot="1">
      <c r="A1761" s="4" t="s">
        <v>3872</v>
      </c>
      <c r="B1761" s="5" t="s">
        <v>0</v>
      </c>
      <c r="C1761" s="6" t="s">
        <v>3873</v>
      </c>
    </row>
    <row r="1762" spans="1:3" ht="17.25" thickBot="1">
      <c r="A1762" s="4" t="s">
        <v>3874</v>
      </c>
      <c r="B1762" s="5" t="s">
        <v>1603</v>
      </c>
      <c r="C1762" s="5" t="s">
        <v>3875</v>
      </c>
    </row>
    <row r="1763" spans="1:3" ht="17.25" thickBot="1">
      <c r="A1763" s="109"/>
    </row>
    <row r="1764" spans="1:3" ht="17.25" thickBot="1">
      <c r="A1764" s="102" t="s">
        <v>1591</v>
      </c>
      <c r="B1764" s="103" t="s">
        <v>1592</v>
      </c>
      <c r="C1764" s="103" t="s">
        <v>1593</v>
      </c>
    </row>
    <row r="1765" spans="1:3" ht="40.5">
      <c r="A1765" s="134" t="s">
        <v>3876</v>
      </c>
      <c r="B1765" s="91" t="s">
        <v>1603</v>
      </c>
      <c r="C1765" s="8" t="s">
        <v>3878</v>
      </c>
    </row>
    <row r="1766" spans="1:3">
      <c r="A1766" s="96" t="s">
        <v>3877</v>
      </c>
      <c r="B1766" s="170"/>
      <c r="C1766" s="8" t="s">
        <v>3879</v>
      </c>
    </row>
    <row r="1767" spans="1:3">
      <c r="A1767" s="112"/>
      <c r="B1767" s="170"/>
      <c r="C1767" s="8" t="s">
        <v>3880</v>
      </c>
    </row>
    <row r="1768" spans="1:3">
      <c r="A1768" s="112"/>
      <c r="B1768" s="170"/>
      <c r="C1768" s="8" t="s">
        <v>3881</v>
      </c>
    </row>
    <row r="1769" spans="1:3" ht="26.25" thickBot="1">
      <c r="A1769" s="113"/>
      <c r="B1769" s="97"/>
      <c r="C1769" s="6" t="s">
        <v>3882</v>
      </c>
    </row>
    <row r="1770" spans="1:3" ht="26.25" thickBot="1">
      <c r="A1770" s="4" t="s">
        <v>3883</v>
      </c>
      <c r="B1770" s="5" t="s">
        <v>1566</v>
      </c>
      <c r="C1770" s="6" t="s">
        <v>3884</v>
      </c>
    </row>
    <row r="1771" spans="1:3" ht="26.25" thickBot="1">
      <c r="A1771" s="4" t="s">
        <v>3885</v>
      </c>
      <c r="B1771" s="5" t="s">
        <v>1566</v>
      </c>
      <c r="C1771" s="6" t="s">
        <v>3886</v>
      </c>
    </row>
    <row r="1772" spans="1:3" ht="26.25" thickBot="1">
      <c r="A1772" s="4" t="s">
        <v>3887</v>
      </c>
      <c r="B1772" s="5" t="s">
        <v>1566</v>
      </c>
      <c r="C1772" s="6" t="s">
        <v>3884</v>
      </c>
    </row>
    <row r="1773" spans="1:3" ht="26.25" thickBot="1">
      <c r="A1773" s="4" t="s">
        <v>3888</v>
      </c>
      <c r="B1773" s="5" t="s">
        <v>1566</v>
      </c>
      <c r="C1773" s="6" t="s">
        <v>3889</v>
      </c>
    </row>
    <row r="1774" spans="1:3" ht="26.25" thickBot="1">
      <c r="A1774" s="4" t="s">
        <v>3890</v>
      </c>
      <c r="B1774" s="5" t="s">
        <v>1566</v>
      </c>
      <c r="C1774" s="6" t="s">
        <v>3884</v>
      </c>
    </row>
    <row r="1775" spans="1:3" ht="26.25" thickBot="1">
      <c r="A1775" s="4" t="s">
        <v>3891</v>
      </c>
      <c r="B1775" s="5" t="s">
        <v>1566</v>
      </c>
      <c r="C1775" s="6" t="s">
        <v>3892</v>
      </c>
    </row>
    <row r="1776" spans="1:3" ht="17.25" thickBot="1">
      <c r="A1776" s="4" t="s">
        <v>3893</v>
      </c>
      <c r="B1776" s="5" t="s">
        <v>0</v>
      </c>
      <c r="C1776" s="5" t="s">
        <v>3894</v>
      </c>
    </row>
    <row r="1777" spans="1:3" ht="26.25" thickBot="1">
      <c r="A1777" s="4" t="s">
        <v>3895</v>
      </c>
      <c r="B1777" s="5" t="s">
        <v>1566</v>
      </c>
      <c r="C1777" s="6" t="s">
        <v>3884</v>
      </c>
    </row>
    <row r="1778" spans="1:3" ht="26.25" thickBot="1">
      <c r="A1778" s="4" t="s">
        <v>3896</v>
      </c>
      <c r="B1778" s="5" t="s">
        <v>1566</v>
      </c>
      <c r="C1778" s="6" t="s">
        <v>3897</v>
      </c>
    </row>
    <row r="1779" spans="1:3" ht="17.25" thickBot="1">
      <c r="A1779" s="4" t="s">
        <v>3898</v>
      </c>
      <c r="B1779" s="5" t="s">
        <v>0</v>
      </c>
      <c r="C1779" s="5" t="s">
        <v>3899</v>
      </c>
    </row>
    <row r="1780" spans="1:3" ht="17.25" thickBot="1">
      <c r="A1780" s="99" t="s">
        <v>1591</v>
      </c>
      <c r="B1780" s="100" t="s">
        <v>1592</v>
      </c>
      <c r="C1780" s="100" t="s">
        <v>1593</v>
      </c>
    </row>
    <row r="1781" spans="1:3" ht="26.25" thickBot="1">
      <c r="A1781" s="4" t="s">
        <v>3900</v>
      </c>
      <c r="B1781" s="5" t="s">
        <v>1566</v>
      </c>
      <c r="C1781" s="6" t="s">
        <v>3884</v>
      </c>
    </row>
    <row r="1782" spans="1:3" ht="26.25" thickBot="1">
      <c r="A1782" s="4" t="s">
        <v>3901</v>
      </c>
      <c r="B1782" s="5" t="s">
        <v>1566</v>
      </c>
      <c r="C1782" s="6" t="s">
        <v>3902</v>
      </c>
    </row>
    <row r="1783" spans="1:3">
      <c r="A1783" s="176" t="s">
        <v>3903</v>
      </c>
      <c r="B1783" s="91" t="s">
        <v>0</v>
      </c>
      <c r="C1783" s="8" t="s">
        <v>3904</v>
      </c>
    </row>
    <row r="1784" spans="1:3" ht="17.25" thickBot="1">
      <c r="A1784" s="177"/>
      <c r="B1784" s="97"/>
      <c r="C1784" s="6" t="s">
        <v>3905</v>
      </c>
    </row>
    <row r="1785" spans="1:3" ht="17.25" thickBot="1">
      <c r="A1785" s="4" t="s">
        <v>3906</v>
      </c>
      <c r="B1785" s="5" t="s">
        <v>1616</v>
      </c>
      <c r="C1785" s="6" t="s">
        <v>3907</v>
      </c>
    </row>
    <row r="1786" spans="1:3" ht="17.25" thickBot="1">
      <c r="A1786" s="4" t="s">
        <v>3908</v>
      </c>
      <c r="B1786" s="5" t="s">
        <v>0</v>
      </c>
      <c r="C1786" s="6" t="s">
        <v>3909</v>
      </c>
    </row>
    <row r="1787" spans="1:3" ht="26.25" thickBot="1">
      <c r="A1787" s="4" t="s">
        <v>3910</v>
      </c>
      <c r="B1787" s="5" t="s">
        <v>0</v>
      </c>
      <c r="C1787" s="6" t="s">
        <v>3911</v>
      </c>
    </row>
    <row r="1788" spans="1:3" ht="17.25" thickBot="1">
      <c r="A1788" s="4" t="s">
        <v>3912</v>
      </c>
      <c r="B1788" s="5" t="s">
        <v>0</v>
      </c>
      <c r="C1788" s="5" t="s">
        <v>3913</v>
      </c>
    </row>
    <row r="1789" spans="1:3" ht="39" thickBot="1">
      <c r="A1789" s="4" t="s">
        <v>3914</v>
      </c>
      <c r="B1789" s="5" t="s">
        <v>1566</v>
      </c>
      <c r="C1789" s="6" t="s">
        <v>3915</v>
      </c>
    </row>
    <row r="1790" spans="1:3" ht="17.25" thickBot="1">
      <c r="A1790" s="4" t="s">
        <v>3916</v>
      </c>
      <c r="B1790" s="5" t="s">
        <v>0</v>
      </c>
      <c r="C1790" s="6" t="s">
        <v>3917</v>
      </c>
    </row>
    <row r="1791" spans="1:3" ht="17.25" thickBot="1">
      <c r="A1791" s="4" t="s">
        <v>3918</v>
      </c>
      <c r="B1791" s="5" t="s">
        <v>0</v>
      </c>
      <c r="C1791" s="6" t="s">
        <v>3919</v>
      </c>
    </row>
    <row r="1792" spans="1:3">
      <c r="A1792" s="92" t="s">
        <v>3920</v>
      </c>
      <c r="B1792" s="91" t="s">
        <v>1603</v>
      </c>
      <c r="C1792" s="7" t="s">
        <v>3921</v>
      </c>
    </row>
    <row r="1793" spans="1:3" ht="17.25" thickBot="1">
      <c r="A1793" s="98"/>
      <c r="B1793" s="97"/>
      <c r="C1793" s="5" t="s">
        <v>3922</v>
      </c>
    </row>
    <row r="1794" spans="1:3" ht="39" thickBot="1">
      <c r="A1794" s="4" t="s">
        <v>2327</v>
      </c>
      <c r="B1794" s="5" t="s">
        <v>1603</v>
      </c>
      <c r="C1794" s="6" t="s">
        <v>3923</v>
      </c>
    </row>
    <row r="1795" spans="1:3" ht="17.25" thickBot="1">
      <c r="A1795" s="4" t="s">
        <v>3924</v>
      </c>
      <c r="B1795" s="5" t="s">
        <v>0</v>
      </c>
      <c r="C1795" s="5" t="s">
        <v>3925</v>
      </c>
    </row>
    <row r="1796" spans="1:3">
      <c r="A1796" s="117" t="s">
        <v>3926</v>
      </c>
    </row>
    <row r="1797" spans="1:3">
      <c r="A1797" s="115" t="s">
        <v>3927</v>
      </c>
      <c r="B1797" s="115" t="s">
        <v>3928</v>
      </c>
    </row>
    <row r="1798" spans="1:3" ht="17.25" thickBot="1">
      <c r="A1798" s="126" t="s">
        <v>1646</v>
      </c>
    </row>
    <row r="1799" spans="1:3" ht="17.25" thickBot="1">
      <c r="A1799" s="102" t="s">
        <v>1591</v>
      </c>
      <c r="B1799" s="103" t="s">
        <v>1592</v>
      </c>
      <c r="C1799" s="103" t="s">
        <v>1593</v>
      </c>
    </row>
    <row r="1800" spans="1:3" ht="17.25" thickBot="1">
      <c r="A1800" s="4" t="s">
        <v>3929</v>
      </c>
      <c r="B1800" s="5"/>
      <c r="C1800" s="5" t="s">
        <v>3930</v>
      </c>
    </row>
    <row r="1801" spans="1:3" ht="17.25" thickBot="1">
      <c r="A1801" s="4" t="s">
        <v>3931</v>
      </c>
      <c r="B1801" s="5"/>
      <c r="C1801" s="6" t="s">
        <v>3932</v>
      </c>
    </row>
    <row r="1802" spans="1:3" ht="17.25" thickBot="1">
      <c r="A1802" s="4" t="s">
        <v>3933</v>
      </c>
      <c r="B1802" s="5"/>
      <c r="C1802" s="6" t="s">
        <v>3934</v>
      </c>
    </row>
    <row r="1803" spans="1:3" ht="25.5">
      <c r="A1803" s="96" t="s">
        <v>3935</v>
      </c>
      <c r="B1803" s="91"/>
      <c r="C1803" s="91" t="s">
        <v>3937</v>
      </c>
    </row>
    <row r="1804" spans="1:3" ht="17.25" thickBot="1">
      <c r="A1804" s="4" t="s">
        <v>3936</v>
      </c>
      <c r="B1804" s="97"/>
      <c r="C1804" s="97"/>
    </row>
    <row r="1805" spans="1:3" ht="27.75" thickBot="1">
      <c r="A1805" s="4" t="s">
        <v>3938</v>
      </c>
      <c r="B1805" s="5"/>
      <c r="C1805" s="6" t="s">
        <v>3939</v>
      </c>
    </row>
    <row r="1806" spans="1:3" ht="27.75" thickBot="1">
      <c r="A1806" s="4" t="s">
        <v>3940</v>
      </c>
      <c r="B1806" s="5"/>
      <c r="C1806" s="6" t="s">
        <v>3941</v>
      </c>
    </row>
    <row r="1807" spans="1:3" ht="27.75" thickBot="1">
      <c r="A1807" s="4" t="s">
        <v>3942</v>
      </c>
      <c r="B1807" s="5"/>
      <c r="C1807" s="6" t="s">
        <v>3943</v>
      </c>
    </row>
    <row r="1808" spans="1:3" ht="17.25" thickBot="1">
      <c r="A1808" s="109"/>
    </row>
    <row r="1809" spans="1:3" ht="17.25" thickBot="1">
      <c r="A1809" s="102" t="s">
        <v>1591</v>
      </c>
      <c r="B1809" s="103" t="s">
        <v>1592</v>
      </c>
      <c r="C1809" s="103" t="s">
        <v>1593</v>
      </c>
    </row>
    <row r="1810" spans="1:3" ht="17.25" thickBot="1">
      <c r="A1810" s="4" t="s">
        <v>1534</v>
      </c>
      <c r="B1810" s="5"/>
      <c r="C1810" s="5" t="s">
        <v>3944</v>
      </c>
    </row>
    <row r="1811" spans="1:3" ht="17.25" thickBot="1">
      <c r="A1811" s="4" t="s">
        <v>3945</v>
      </c>
      <c r="B1811" s="5"/>
      <c r="C1811" s="6" t="s">
        <v>3946</v>
      </c>
    </row>
    <row r="1812" spans="1:3" ht="17.25" thickBot="1">
      <c r="A1812" s="4" t="s">
        <v>3947</v>
      </c>
      <c r="B1812" s="5" t="s">
        <v>1540</v>
      </c>
      <c r="C1812" s="6" t="s">
        <v>3948</v>
      </c>
    </row>
    <row r="1813" spans="1:3" ht="17.25" thickBot="1">
      <c r="A1813" s="4" t="s">
        <v>3949</v>
      </c>
      <c r="B1813" s="5" t="s">
        <v>3950</v>
      </c>
      <c r="C1813" s="6" t="s">
        <v>3951</v>
      </c>
    </row>
    <row r="1814" spans="1:3" ht="17.25" thickBot="1">
      <c r="A1814" s="4" t="s">
        <v>3952</v>
      </c>
      <c r="B1814" s="5" t="s">
        <v>1603</v>
      </c>
      <c r="C1814" s="6" t="s">
        <v>3953</v>
      </c>
    </row>
    <row r="1815" spans="1:3" ht="17.25" thickBot="1">
      <c r="A1815" s="4" t="s">
        <v>3954</v>
      </c>
      <c r="B1815" s="5" t="s">
        <v>1626</v>
      </c>
      <c r="C1815" s="5" t="s">
        <v>3955</v>
      </c>
    </row>
    <row r="1816" spans="1:3" ht="27.75" thickBot="1">
      <c r="A1816" s="4" t="s">
        <v>3956</v>
      </c>
      <c r="B1816" s="5" t="s">
        <v>1566</v>
      </c>
      <c r="C1816" s="6" t="s">
        <v>3957</v>
      </c>
    </row>
    <row r="1817" spans="1:3" ht="38.25">
      <c r="A1817" s="96" t="s">
        <v>3958</v>
      </c>
      <c r="B1817" s="91" t="s">
        <v>1566</v>
      </c>
      <c r="C1817" s="7" t="s">
        <v>3960</v>
      </c>
    </row>
    <row r="1818" spans="1:3" ht="17.25" thickBot="1">
      <c r="A1818" s="4" t="s">
        <v>3959</v>
      </c>
      <c r="B1818" s="97"/>
      <c r="C1818" s="6" t="s">
        <v>3961</v>
      </c>
    </row>
    <row r="1819" spans="1:3" ht="17.25" thickBot="1">
      <c r="A1819" s="4" t="s">
        <v>3962</v>
      </c>
      <c r="B1819" s="5" t="s">
        <v>1566</v>
      </c>
      <c r="C1819" s="5" t="s">
        <v>3963</v>
      </c>
    </row>
    <row r="1820" spans="1:3" ht="26.25">
      <c r="A1820" s="96" t="s">
        <v>3964</v>
      </c>
      <c r="B1820" s="91" t="s">
        <v>1566</v>
      </c>
      <c r="C1820" s="91" t="s">
        <v>3965</v>
      </c>
    </row>
    <row r="1821" spans="1:3" ht="17.25" thickBot="1">
      <c r="A1821" s="4" t="s">
        <v>2920</v>
      </c>
      <c r="B1821" s="97"/>
      <c r="C1821" s="97"/>
    </row>
    <row r="1822" spans="1:3" ht="17.25" thickBot="1">
      <c r="A1822" s="4" t="s">
        <v>3966</v>
      </c>
      <c r="B1822" s="5" t="s">
        <v>1566</v>
      </c>
      <c r="C1822" s="5" t="s">
        <v>3967</v>
      </c>
    </row>
    <row r="1823" spans="1:3" ht="17.25" thickBot="1">
      <c r="A1823" s="99" t="s">
        <v>1591</v>
      </c>
      <c r="B1823" s="100" t="s">
        <v>1592</v>
      </c>
      <c r="C1823" s="100" t="s">
        <v>1593</v>
      </c>
    </row>
    <row r="1824" spans="1:3" ht="51">
      <c r="A1824" s="134" t="s">
        <v>3968</v>
      </c>
      <c r="B1824" s="91" t="s">
        <v>1566</v>
      </c>
      <c r="C1824" s="7" t="s">
        <v>3970</v>
      </c>
    </row>
    <row r="1825" spans="1:3" ht="17.25" thickBot="1">
      <c r="A1825" s="4" t="s">
        <v>3969</v>
      </c>
      <c r="B1825" s="97"/>
      <c r="C1825" s="6" t="s">
        <v>3971</v>
      </c>
    </row>
    <row r="1826" spans="1:3" ht="17.25" thickBot="1">
      <c r="A1826" s="4" t="s">
        <v>3972</v>
      </c>
      <c r="B1826" s="5" t="s">
        <v>1566</v>
      </c>
      <c r="C1826" s="5" t="s">
        <v>3963</v>
      </c>
    </row>
    <row r="1827" spans="1:3" ht="38.25">
      <c r="A1827" s="96" t="s">
        <v>3973</v>
      </c>
      <c r="B1827" s="91" t="s">
        <v>1566</v>
      </c>
      <c r="C1827" s="7" t="s">
        <v>3974</v>
      </c>
    </row>
    <row r="1828" spans="1:3" ht="17.25" thickBot="1">
      <c r="A1828" s="4" t="s">
        <v>3969</v>
      </c>
      <c r="B1828" s="97"/>
      <c r="C1828" s="6" t="s">
        <v>3971</v>
      </c>
    </row>
    <row r="1829" spans="1:3" ht="17.25" thickBot="1">
      <c r="A1829" s="4" t="s">
        <v>3975</v>
      </c>
      <c r="B1829" s="5" t="s">
        <v>1566</v>
      </c>
      <c r="C1829" s="5" t="s">
        <v>3963</v>
      </c>
    </row>
    <row r="1830" spans="1:3" ht="41.25" thickBot="1">
      <c r="A1830" s="135" t="s">
        <v>3976</v>
      </c>
      <c r="B1830" s="5" t="s">
        <v>1566</v>
      </c>
      <c r="C1830" s="6" t="s">
        <v>3977</v>
      </c>
    </row>
    <row r="1831" spans="1:3" ht="27.75" thickBot="1">
      <c r="A1831" s="4" t="s">
        <v>3978</v>
      </c>
      <c r="B1831" s="5" t="s">
        <v>1566</v>
      </c>
      <c r="C1831" s="5" t="s">
        <v>3963</v>
      </c>
    </row>
    <row r="1832" spans="1:3" ht="17.25" thickBot="1">
      <c r="A1832" s="4" t="s">
        <v>3979</v>
      </c>
      <c r="B1832" s="5" t="s">
        <v>0</v>
      </c>
      <c r="C1832" s="6" t="s">
        <v>3980</v>
      </c>
    </row>
    <row r="1833" spans="1:3" ht="17.25" thickBot="1">
      <c r="A1833" s="4" t="s">
        <v>3981</v>
      </c>
      <c r="B1833" s="5" t="s">
        <v>0</v>
      </c>
      <c r="C1833" s="6" t="s">
        <v>3980</v>
      </c>
    </row>
    <row r="1834" spans="1:3">
      <c r="A1834" s="92" t="s">
        <v>3982</v>
      </c>
      <c r="B1834" s="91" t="s">
        <v>0</v>
      </c>
      <c r="C1834" s="7" t="s">
        <v>3983</v>
      </c>
    </row>
    <row r="1835" spans="1:3" ht="17.25" thickBot="1">
      <c r="A1835" s="98"/>
      <c r="B1835" s="97"/>
      <c r="C1835" s="5" t="s">
        <v>3984</v>
      </c>
    </row>
    <row r="1836" spans="1:3">
      <c r="A1836" s="117" t="s">
        <v>3985</v>
      </c>
    </row>
    <row r="1837" spans="1:3">
      <c r="A1837" s="115" t="s">
        <v>3986</v>
      </c>
      <c r="B1837" s="115" t="s">
        <v>3987</v>
      </c>
    </row>
    <row r="1838" spans="1:3" ht="17.25" thickBot="1">
      <c r="A1838" s="126" t="s">
        <v>1874</v>
      </c>
    </row>
    <row r="1839" spans="1:3" ht="17.25" thickBot="1">
      <c r="A1839" s="102" t="s">
        <v>1591</v>
      </c>
      <c r="B1839" s="103" t="s">
        <v>1592</v>
      </c>
      <c r="C1839" s="103" t="s">
        <v>1593</v>
      </c>
    </row>
    <row r="1840" spans="1:3">
      <c r="A1840" s="92" t="s">
        <v>2892</v>
      </c>
      <c r="B1840" s="8" t="s">
        <v>1566</v>
      </c>
      <c r="C1840" s="91" t="s">
        <v>3988</v>
      </c>
    </row>
    <row r="1841" spans="1:3" ht="17.25" thickBot="1">
      <c r="A1841" s="98"/>
      <c r="B1841" s="5" t="s">
        <v>1550</v>
      </c>
      <c r="C1841" s="97"/>
    </row>
    <row r="1842" spans="1:3">
      <c r="A1842" s="92" t="s">
        <v>3989</v>
      </c>
      <c r="B1842" s="8" t="s">
        <v>2660</v>
      </c>
      <c r="C1842" s="91" t="s">
        <v>3990</v>
      </c>
    </row>
    <row r="1843" spans="1:3" ht="17.25" thickBot="1">
      <c r="A1843" s="98"/>
      <c r="B1843" s="5" t="s">
        <v>2884</v>
      </c>
      <c r="C1843" s="97"/>
    </row>
    <row r="1844" spans="1:3">
      <c r="A1844" s="92" t="s">
        <v>3991</v>
      </c>
      <c r="B1844" s="8" t="s">
        <v>1603</v>
      </c>
      <c r="C1844" s="91" t="s">
        <v>3992</v>
      </c>
    </row>
    <row r="1845" spans="1:3" ht="17.25" thickBot="1">
      <c r="A1845" s="98"/>
      <c r="B1845" s="5" t="s">
        <v>1550</v>
      </c>
      <c r="C1845" s="97"/>
    </row>
    <row r="1846" spans="1:3">
      <c r="A1846" s="92" t="s">
        <v>3993</v>
      </c>
      <c r="B1846" s="8" t="s">
        <v>1603</v>
      </c>
      <c r="C1846" s="91" t="s">
        <v>3994</v>
      </c>
    </row>
    <row r="1847" spans="1:3" ht="17.25" thickBot="1">
      <c r="A1847" s="98"/>
      <c r="B1847" s="5" t="s">
        <v>1550</v>
      </c>
      <c r="C1847" s="97"/>
    </row>
    <row r="1848" spans="1:3">
      <c r="A1848" s="92" t="s">
        <v>1636</v>
      </c>
      <c r="B1848" s="8" t="s">
        <v>1566</v>
      </c>
      <c r="C1848" s="91" t="s">
        <v>3995</v>
      </c>
    </row>
    <row r="1849" spans="1:3" ht="17.25" thickBot="1">
      <c r="A1849" s="98"/>
      <c r="B1849" s="5" t="s">
        <v>1550</v>
      </c>
      <c r="C1849" s="97"/>
    </row>
    <row r="1850" spans="1:3">
      <c r="A1850" s="92" t="s">
        <v>1637</v>
      </c>
      <c r="B1850" s="8" t="s">
        <v>1566</v>
      </c>
      <c r="C1850" s="91" t="s">
        <v>3996</v>
      </c>
    </row>
    <row r="1851" spans="1:3" ht="17.25" thickBot="1">
      <c r="A1851" s="98"/>
      <c r="B1851" s="5" t="s">
        <v>1550</v>
      </c>
      <c r="C1851" s="97"/>
    </row>
    <row r="1852" spans="1:3">
      <c r="A1852" s="92" t="s">
        <v>1638</v>
      </c>
      <c r="B1852" s="8" t="s">
        <v>1603</v>
      </c>
      <c r="C1852" s="91" t="s">
        <v>3997</v>
      </c>
    </row>
    <row r="1853" spans="1:3" ht="17.25" thickBot="1">
      <c r="A1853" s="98"/>
      <c r="B1853" s="5" t="s">
        <v>1550</v>
      </c>
      <c r="C1853" s="97"/>
    </row>
    <row r="1854" spans="1:3">
      <c r="A1854" s="92" t="s">
        <v>1639</v>
      </c>
      <c r="B1854" s="8" t="s">
        <v>1603</v>
      </c>
      <c r="C1854" s="91" t="s">
        <v>3998</v>
      </c>
    </row>
    <row r="1855" spans="1:3" ht="17.25" thickBot="1">
      <c r="A1855" s="98"/>
      <c r="B1855" s="5" t="s">
        <v>1550</v>
      </c>
      <c r="C1855" s="97"/>
    </row>
    <row r="1856" spans="1:3">
      <c r="A1856" s="161" t="s">
        <v>3999</v>
      </c>
    </row>
    <row r="1857" spans="1:3" ht="17.25" thickBot="1">
      <c r="A1857" s="126" t="s">
        <v>1646</v>
      </c>
    </row>
    <row r="1858" spans="1:3" ht="17.25" thickBot="1">
      <c r="A1858" s="102" t="s">
        <v>1591</v>
      </c>
      <c r="B1858" s="103" t="s">
        <v>1592</v>
      </c>
      <c r="C1858" s="103" t="s">
        <v>1593</v>
      </c>
    </row>
    <row r="1859" spans="1:3" ht="17.25" thickBot="1">
      <c r="A1859" s="4" t="s">
        <v>2192</v>
      </c>
      <c r="B1859" s="5" t="s">
        <v>1603</v>
      </c>
      <c r="C1859" s="5" t="s">
        <v>2012</v>
      </c>
    </row>
    <row r="1860" spans="1:3" ht="17.25" thickBot="1">
      <c r="A1860" s="4" t="s">
        <v>2194</v>
      </c>
      <c r="B1860" s="5" t="s">
        <v>1603</v>
      </c>
      <c r="C1860" s="5" t="s">
        <v>2013</v>
      </c>
    </row>
    <row r="1861" spans="1:3" ht="17.25" thickBot="1">
      <c r="A1861" s="4" t="s">
        <v>2196</v>
      </c>
      <c r="B1861" s="5" t="s">
        <v>1624</v>
      </c>
      <c r="C1861" s="5" t="s">
        <v>2014</v>
      </c>
    </row>
    <row r="1862" spans="1:3" ht="17.25" thickBot="1">
      <c r="A1862" s="4" t="s">
        <v>4000</v>
      </c>
      <c r="B1862" s="6" t="s">
        <v>1632</v>
      </c>
      <c r="C1862" s="6" t="s">
        <v>2016</v>
      </c>
    </row>
    <row r="1863" spans="1:3" ht="17.25" thickBot="1">
      <c r="A1863" s="4" t="s">
        <v>4001</v>
      </c>
      <c r="B1863" s="6" t="s">
        <v>1632</v>
      </c>
      <c r="C1863" s="6" t="s">
        <v>2018</v>
      </c>
    </row>
    <row r="1864" spans="1:3" ht="17.25" thickBot="1">
      <c r="A1864" s="4" t="s">
        <v>2198</v>
      </c>
      <c r="B1864" s="5" t="s">
        <v>1625</v>
      </c>
      <c r="C1864" s="6" t="s">
        <v>2160</v>
      </c>
    </row>
    <row r="1865" spans="1:3" ht="17.25" thickBot="1">
      <c r="A1865" s="4" t="s">
        <v>4002</v>
      </c>
      <c r="B1865" s="6" t="s">
        <v>1632</v>
      </c>
      <c r="C1865" s="5" t="s">
        <v>2158</v>
      </c>
    </row>
    <row r="1866" spans="1:3" ht="17.25" thickBot="1">
      <c r="A1866" s="4" t="s">
        <v>2199</v>
      </c>
      <c r="B1866" s="5" t="s">
        <v>1566</v>
      </c>
      <c r="C1866" s="5" t="s">
        <v>2161</v>
      </c>
    </row>
    <row r="1867" spans="1:3" ht="17.25" thickBot="1">
      <c r="A1867" s="4" t="s">
        <v>4003</v>
      </c>
      <c r="B1867" s="6" t="s">
        <v>1632</v>
      </c>
      <c r="C1867" s="5" t="s">
        <v>4004</v>
      </c>
    </row>
    <row r="1868" spans="1:3" ht="17.25" thickBot="1">
      <c r="A1868" s="4" t="s">
        <v>4005</v>
      </c>
      <c r="B1868" s="5" t="s">
        <v>1603</v>
      </c>
      <c r="C1868" s="5" t="s">
        <v>2162</v>
      </c>
    </row>
    <row r="1869" spans="1:3">
      <c r="A1869" s="92" t="s">
        <v>2025</v>
      </c>
      <c r="B1869" s="91" t="s">
        <v>1603</v>
      </c>
      <c r="C1869" s="8" t="s">
        <v>2026</v>
      </c>
    </row>
    <row r="1870" spans="1:3" ht="39" thickBot="1">
      <c r="A1870" s="98"/>
      <c r="B1870" s="97"/>
      <c r="C1870" s="6" t="s">
        <v>2027</v>
      </c>
    </row>
    <row r="1871" spans="1:3">
      <c r="A1871" s="117" t="s">
        <v>4006</v>
      </c>
    </row>
    <row r="1872" spans="1:3">
      <c r="A1872" s="126" t="s">
        <v>1888</v>
      </c>
    </row>
    <row r="1873" spans="1:3" ht="90.75">
      <c r="A1873" s="105" t="s">
        <v>4007</v>
      </c>
    </row>
    <row r="1874" spans="1:3" ht="89.25">
      <c r="A1874" s="105" t="s">
        <v>4008</v>
      </c>
    </row>
    <row r="1875" spans="1:3">
      <c r="A1875" s="121" t="s">
        <v>4009</v>
      </c>
    </row>
    <row r="1876" spans="1:3">
      <c r="B1876" s="120" t="s">
        <v>1640</v>
      </c>
      <c r="C1876" s="120" t="s">
        <v>1641</v>
      </c>
    </row>
    <row r="1877" spans="1:3">
      <c r="A1877" s="118" t="s">
        <v>4010</v>
      </c>
    </row>
    <row r="1878" spans="1:3">
      <c r="A1878" s="121" t="s">
        <v>4011</v>
      </c>
    </row>
    <row r="1879" spans="1:3">
      <c r="A1879" s="121" t="s">
        <v>4012</v>
      </c>
    </row>
    <row r="1880" spans="1:3">
      <c r="A1880" s="121" t="s">
        <v>4013</v>
      </c>
    </row>
    <row r="1881" spans="1:3">
      <c r="A1881" s="121" t="s">
        <v>4014</v>
      </c>
    </row>
    <row r="1882" spans="1:3">
      <c r="A1882" s="121" t="s">
        <v>4015</v>
      </c>
    </row>
    <row r="1883" spans="1:3">
      <c r="A1883" s="160" t="s">
        <v>4016</v>
      </c>
    </row>
    <row r="1884" spans="1:3">
      <c r="A1884" s="160" t="s">
        <v>1641</v>
      </c>
    </row>
    <row r="1885" spans="1:3">
      <c r="A1885" s="121" t="s">
        <v>4017</v>
      </c>
    </row>
    <row r="1886" spans="1:3">
      <c r="A1886" s="160" t="s">
        <v>4018</v>
      </c>
    </row>
    <row r="1887" spans="1:3">
      <c r="A1887" s="119" t="s">
        <v>4019</v>
      </c>
    </row>
    <row r="1888" spans="1:3" ht="38.25">
      <c r="A1888" s="106" t="s">
        <v>4020</v>
      </c>
    </row>
    <row r="1889" spans="1:3" ht="25.5">
      <c r="A1889" s="105" t="s">
        <v>4021</v>
      </c>
    </row>
    <row r="1890" spans="1:3" ht="114.75">
      <c r="A1890" s="105" t="s">
        <v>4022</v>
      </c>
    </row>
    <row r="1891" spans="1:3">
      <c r="A1891" s="115" t="s">
        <v>4023</v>
      </c>
      <c r="B1891" s="115" t="s">
        <v>4024</v>
      </c>
    </row>
    <row r="1892" spans="1:3" ht="102">
      <c r="A1892" s="105" t="s">
        <v>4025</v>
      </c>
    </row>
    <row r="1893" spans="1:3" ht="17.25" thickBot="1">
      <c r="A1893" s="126" t="s">
        <v>2677</v>
      </c>
    </row>
    <row r="1894" spans="1:3" ht="17.25" thickBot="1">
      <c r="A1894" s="102" t="s">
        <v>3203</v>
      </c>
      <c r="B1894" s="103" t="s">
        <v>1592</v>
      </c>
      <c r="C1894" s="103" t="s">
        <v>1593</v>
      </c>
    </row>
    <row r="1895" spans="1:3" ht="26.25" thickBot="1">
      <c r="A1895" s="145" t="s">
        <v>4026</v>
      </c>
      <c r="B1895" s="5" t="s">
        <v>4027</v>
      </c>
      <c r="C1895" s="6" t="s">
        <v>4028</v>
      </c>
    </row>
    <row r="1896" spans="1:3" ht="17.25" thickBot="1">
      <c r="A1896" s="126" t="s">
        <v>4029</v>
      </c>
    </row>
    <row r="1897" spans="1:3" ht="17.25" thickBot="1">
      <c r="A1897" s="102" t="s">
        <v>1591</v>
      </c>
      <c r="B1897" s="103" t="s">
        <v>1592</v>
      </c>
      <c r="C1897" s="103" t="s">
        <v>1593</v>
      </c>
    </row>
    <row r="1898" spans="1:3" ht="51.75" thickBot="1">
      <c r="A1898" s="145" t="s">
        <v>4030</v>
      </c>
      <c r="B1898" s="5" t="s">
        <v>2698</v>
      </c>
      <c r="C1898" s="6" t="s">
        <v>4031</v>
      </c>
    </row>
    <row r="1899" spans="1:3" ht="17.25" thickBot="1">
      <c r="A1899" s="145" t="s">
        <v>4032</v>
      </c>
      <c r="B1899" s="5" t="s">
        <v>2698</v>
      </c>
      <c r="C1899" s="6" t="s">
        <v>4033</v>
      </c>
    </row>
    <row r="1900" spans="1:3" ht="17.25" thickBot="1">
      <c r="A1900" s="145" t="s">
        <v>4034</v>
      </c>
      <c r="B1900" s="5" t="s">
        <v>2698</v>
      </c>
      <c r="C1900" s="5" t="s">
        <v>4035</v>
      </c>
    </row>
    <row r="1901" spans="1:3" ht="30">
      <c r="A1901" s="176" t="s">
        <v>4036</v>
      </c>
      <c r="B1901" s="91" t="s">
        <v>2698</v>
      </c>
      <c r="C1901" s="7" t="s">
        <v>4037</v>
      </c>
    </row>
    <row r="1902" spans="1:3" ht="17.25" thickBot="1">
      <c r="A1902" s="177"/>
      <c r="B1902" s="97"/>
      <c r="C1902" s="5" t="s">
        <v>4038</v>
      </c>
    </row>
    <row r="1903" spans="1:3" ht="25.5">
      <c r="A1903" s="176" t="s">
        <v>4039</v>
      </c>
      <c r="B1903" s="91" t="s">
        <v>2698</v>
      </c>
      <c r="C1903" s="7" t="s">
        <v>4040</v>
      </c>
    </row>
    <row r="1904" spans="1:3" ht="17.25" thickBot="1">
      <c r="A1904" s="177"/>
      <c r="B1904" s="97"/>
      <c r="C1904" s="5" t="s">
        <v>4041</v>
      </c>
    </row>
    <row r="1905" spans="1:3" ht="25.5">
      <c r="A1905" s="144" t="s">
        <v>4042</v>
      </c>
      <c r="B1905" s="91" t="s">
        <v>2698</v>
      </c>
      <c r="C1905" s="91" t="s">
        <v>4044</v>
      </c>
    </row>
    <row r="1906" spans="1:3" ht="17.25" thickBot="1">
      <c r="A1906" s="145" t="s">
        <v>4043</v>
      </c>
      <c r="B1906" s="97"/>
      <c r="C1906" s="97"/>
    </row>
    <row r="1907" spans="1:3" ht="39" thickBot="1">
      <c r="A1907" s="145" t="s">
        <v>4045</v>
      </c>
      <c r="B1907" s="5" t="s">
        <v>2698</v>
      </c>
      <c r="C1907" s="6" t="s">
        <v>4046</v>
      </c>
    </row>
    <row r="1908" spans="1:3" ht="17.25" thickBot="1">
      <c r="A1908" s="145" t="s">
        <v>4047</v>
      </c>
      <c r="B1908" s="5" t="s">
        <v>2698</v>
      </c>
      <c r="C1908" s="6" t="s">
        <v>4048</v>
      </c>
    </row>
    <row r="1909" spans="1:3">
      <c r="A1909" s="176" t="s">
        <v>4049</v>
      </c>
      <c r="B1909" s="91" t="s">
        <v>2698</v>
      </c>
      <c r="C1909" s="8" t="s">
        <v>4050</v>
      </c>
    </row>
    <row r="1910" spans="1:3">
      <c r="A1910" s="178"/>
      <c r="B1910" s="170"/>
      <c r="C1910" s="8" t="s">
        <v>4051</v>
      </c>
    </row>
    <row r="1911" spans="1:3" ht="17.25" thickBot="1">
      <c r="A1911" s="177"/>
      <c r="B1911" s="97"/>
      <c r="C1911" s="5" t="s">
        <v>4052</v>
      </c>
    </row>
    <row r="1912" spans="1:3" ht="17.25" thickBot="1">
      <c r="A1912" s="126" t="s">
        <v>2708</v>
      </c>
    </row>
    <row r="1913" spans="1:3" ht="17.25" thickBot="1">
      <c r="A1913" s="102" t="s">
        <v>1591</v>
      </c>
      <c r="B1913" s="103" t="s">
        <v>1592</v>
      </c>
      <c r="C1913" s="103" t="s">
        <v>1593</v>
      </c>
    </row>
    <row r="1914" spans="1:3" ht="17.25" thickBot="1">
      <c r="A1914" s="145" t="s">
        <v>4053</v>
      </c>
      <c r="B1914" s="5" t="s">
        <v>1566</v>
      </c>
      <c r="C1914" s="6" t="s">
        <v>4054</v>
      </c>
    </row>
    <row r="1915" spans="1:3" ht="17.25" thickBot="1">
      <c r="A1915" s="145" t="s">
        <v>4055</v>
      </c>
      <c r="B1915" s="5" t="s">
        <v>1557</v>
      </c>
      <c r="C1915" s="5" t="s">
        <v>4056</v>
      </c>
    </row>
    <row r="1916" spans="1:3" ht="17.25" thickBot="1">
      <c r="A1916" s="145" t="s">
        <v>4057</v>
      </c>
      <c r="B1916" s="5" t="s">
        <v>1566</v>
      </c>
      <c r="C1916" s="5" t="s">
        <v>4058</v>
      </c>
    </row>
    <row r="1917" spans="1:3" ht="17.25" thickBot="1">
      <c r="A1917" s="145" t="s">
        <v>4059</v>
      </c>
      <c r="B1917" s="5" t="s">
        <v>1566</v>
      </c>
      <c r="C1917" s="5" t="s">
        <v>4060</v>
      </c>
    </row>
    <row r="1918" spans="1:3" ht="17.25" thickBot="1">
      <c r="A1918" s="145" t="s">
        <v>4061</v>
      </c>
      <c r="B1918" s="5" t="s">
        <v>1603</v>
      </c>
      <c r="C1918" s="6" t="s">
        <v>4062</v>
      </c>
    </row>
    <row r="1919" spans="1:3" ht="17.25" thickBot="1">
      <c r="A1919" s="145" t="s">
        <v>4063</v>
      </c>
      <c r="B1919" s="5" t="s">
        <v>2130</v>
      </c>
      <c r="C1919" s="5" t="s">
        <v>4064</v>
      </c>
    </row>
    <row r="1920" spans="1:3" ht="17.25" thickBot="1">
      <c r="A1920" s="145" t="s">
        <v>4065</v>
      </c>
      <c r="B1920" s="5" t="s">
        <v>2130</v>
      </c>
      <c r="C1920" s="5" t="s">
        <v>4066</v>
      </c>
    </row>
    <row r="1921" spans="1:3">
      <c r="A1921" s="117" t="s">
        <v>4067</v>
      </c>
    </row>
    <row r="1922" spans="1:3">
      <c r="A1922" s="115" t="s">
        <v>4068</v>
      </c>
      <c r="B1922" s="115" t="s">
        <v>4069</v>
      </c>
    </row>
    <row r="1923" spans="1:3" ht="89.25">
      <c r="A1923" s="105" t="s">
        <v>4070</v>
      </c>
    </row>
    <row r="1924" spans="1:3" ht="17.25" thickBot="1">
      <c r="A1924" s="126" t="s">
        <v>2677</v>
      </c>
    </row>
    <row r="1925" spans="1:3" ht="17.25" thickBot="1">
      <c r="A1925" s="102" t="s">
        <v>3203</v>
      </c>
      <c r="B1925" s="103" t="s">
        <v>1592</v>
      </c>
      <c r="C1925" s="110" t="s">
        <v>1593</v>
      </c>
    </row>
    <row r="1926" spans="1:3" ht="17.25" thickBot="1">
      <c r="A1926" s="162" t="s">
        <v>4071</v>
      </c>
      <c r="B1926" s="5" t="s">
        <v>4027</v>
      </c>
      <c r="C1926" s="151" t="s">
        <v>4072</v>
      </c>
    </row>
    <row r="1927" spans="1:3" ht="17.25" thickBot="1">
      <c r="A1927" s="126" t="s">
        <v>4029</v>
      </c>
    </row>
    <row r="1928" spans="1:3" ht="17.25" thickBot="1">
      <c r="A1928" s="102" t="s">
        <v>1591</v>
      </c>
      <c r="B1928" s="103" t="s">
        <v>1592</v>
      </c>
      <c r="C1928" s="103" t="s">
        <v>1593</v>
      </c>
    </row>
    <row r="1929" spans="1:3" ht="17.25" thickBot="1">
      <c r="A1929" s="4" t="s">
        <v>4073</v>
      </c>
      <c r="B1929" s="5" t="s">
        <v>2698</v>
      </c>
      <c r="C1929" s="5" t="s">
        <v>4074</v>
      </c>
    </row>
    <row r="1930" spans="1:3" ht="25.5">
      <c r="A1930" s="92" t="s">
        <v>4075</v>
      </c>
      <c r="B1930" s="91" t="s">
        <v>2698</v>
      </c>
      <c r="C1930" s="7" t="s">
        <v>4076</v>
      </c>
    </row>
    <row r="1931" spans="1:3" ht="25.5">
      <c r="A1931" s="171"/>
      <c r="B1931" s="170"/>
      <c r="C1931" s="7" t="s">
        <v>4077</v>
      </c>
    </row>
    <row r="1932" spans="1:3">
      <c r="A1932" s="171"/>
      <c r="B1932" s="170"/>
      <c r="C1932" s="8" t="s">
        <v>4078</v>
      </c>
    </row>
    <row r="1933" spans="1:3">
      <c r="A1933" s="171"/>
      <c r="B1933" s="170"/>
      <c r="C1933" s="7" t="s">
        <v>4079</v>
      </c>
    </row>
    <row r="1934" spans="1:3" ht="26.25" thickBot="1">
      <c r="A1934" s="98"/>
      <c r="B1934" s="97"/>
      <c r="C1934" s="6" t="s">
        <v>4080</v>
      </c>
    </row>
    <row r="1935" spans="1:3" ht="17.25" thickBot="1">
      <c r="A1935" s="4" t="s">
        <v>4081</v>
      </c>
      <c r="B1935" s="5" t="s">
        <v>2698</v>
      </c>
      <c r="C1935" s="6" t="s">
        <v>4082</v>
      </c>
    </row>
    <row r="1936" spans="1:3" ht="17.25" thickBot="1">
      <c r="A1936" s="109"/>
    </row>
    <row r="1937" spans="1:3" ht="26.25" thickBot="1">
      <c r="A1937" s="1" t="s">
        <v>4083</v>
      </c>
      <c r="B1937" s="2" t="s">
        <v>2698</v>
      </c>
      <c r="C1937" s="3" t="s">
        <v>4084</v>
      </c>
    </row>
    <row r="1938" spans="1:3" ht="26.25" thickBot="1">
      <c r="A1938" s="4" t="s">
        <v>4085</v>
      </c>
      <c r="B1938" s="5" t="s">
        <v>2698</v>
      </c>
      <c r="C1938" s="6" t="s">
        <v>4086</v>
      </c>
    </row>
    <row r="1939" spans="1:3" ht="17.25" thickBot="1">
      <c r="A1939" s="4" t="s">
        <v>4087</v>
      </c>
      <c r="B1939" s="5" t="s">
        <v>2698</v>
      </c>
      <c r="C1939" s="6" t="s">
        <v>4088</v>
      </c>
    </row>
    <row r="1940" spans="1:3" ht="17.25" thickBot="1">
      <c r="A1940" s="4" t="s">
        <v>4089</v>
      </c>
      <c r="B1940" s="5" t="s">
        <v>2698</v>
      </c>
      <c r="C1940" s="6" t="s">
        <v>4090</v>
      </c>
    </row>
    <row r="1941" spans="1:3" ht="17.25" thickBot="1">
      <c r="A1941" s="4" t="s">
        <v>4091</v>
      </c>
      <c r="B1941" s="5" t="s">
        <v>2698</v>
      </c>
      <c r="C1941" s="6" t="s">
        <v>4092</v>
      </c>
    </row>
    <row r="1942" spans="1:3" ht="51">
      <c r="A1942" s="92" t="s">
        <v>4093</v>
      </c>
      <c r="B1942" s="91" t="s">
        <v>2698</v>
      </c>
      <c r="C1942" s="7" t="s">
        <v>4094</v>
      </c>
    </row>
    <row r="1943" spans="1:3" ht="17.25" thickBot="1">
      <c r="A1943" s="98"/>
      <c r="B1943" s="97"/>
      <c r="C1943" s="5" t="s">
        <v>4095</v>
      </c>
    </row>
    <row r="1944" spans="1:3" ht="26.25" thickBot="1">
      <c r="A1944" s="4" t="s">
        <v>4096</v>
      </c>
      <c r="B1944" s="5" t="s">
        <v>2698</v>
      </c>
      <c r="C1944" s="6" t="s">
        <v>4097</v>
      </c>
    </row>
    <row r="1945" spans="1:3" ht="17.25" thickBot="1">
      <c r="A1945" s="4" t="s">
        <v>4098</v>
      </c>
      <c r="B1945" s="5" t="s">
        <v>2698</v>
      </c>
      <c r="C1945" s="5" t="s">
        <v>4099</v>
      </c>
    </row>
    <row r="1946" spans="1:3" ht="17.25" thickBot="1">
      <c r="A1946" s="4" t="s">
        <v>4100</v>
      </c>
      <c r="B1946" s="5" t="s">
        <v>2698</v>
      </c>
      <c r="C1946" s="6" t="s">
        <v>4101</v>
      </c>
    </row>
    <row r="1947" spans="1:3" ht="17.25" thickBot="1">
      <c r="A1947" s="4" t="s">
        <v>4102</v>
      </c>
      <c r="B1947" s="5" t="s">
        <v>2698</v>
      </c>
      <c r="C1947" s="6" t="s">
        <v>4103</v>
      </c>
    </row>
    <row r="1948" spans="1:3" ht="17.25" thickBot="1">
      <c r="A1948" s="4" t="s">
        <v>4104</v>
      </c>
      <c r="B1948" s="5" t="s">
        <v>2698</v>
      </c>
      <c r="C1948" s="5" t="s">
        <v>4105</v>
      </c>
    </row>
    <row r="1949" spans="1:3">
      <c r="A1949" s="96" t="s">
        <v>4106</v>
      </c>
      <c r="B1949" s="91" t="s">
        <v>2698</v>
      </c>
      <c r="C1949" s="7" t="s">
        <v>4108</v>
      </c>
    </row>
    <row r="1950" spans="1:3">
      <c r="A1950" s="96" t="s">
        <v>4107</v>
      </c>
      <c r="B1950" s="170"/>
      <c r="C1950" s="7" t="s">
        <v>4109</v>
      </c>
    </row>
    <row r="1951" spans="1:3" ht="17.25" thickBot="1">
      <c r="A1951" s="4" t="s">
        <v>3529</v>
      </c>
      <c r="B1951" s="97"/>
      <c r="C1951" s="136"/>
    </row>
    <row r="1952" spans="1:3" ht="17.25" thickBot="1">
      <c r="A1952" s="4" t="s">
        <v>4110</v>
      </c>
      <c r="B1952" s="5" t="s">
        <v>2698</v>
      </c>
      <c r="C1952" s="5" t="s">
        <v>4111</v>
      </c>
    </row>
    <row r="1953" spans="1:3" ht="17.25" thickBot="1">
      <c r="A1953" s="126" t="s">
        <v>2708</v>
      </c>
    </row>
    <row r="1954" spans="1:3" ht="17.25" thickBot="1">
      <c r="A1954" s="102" t="s">
        <v>1591</v>
      </c>
      <c r="B1954" s="103" t="s">
        <v>1592</v>
      </c>
      <c r="C1954" s="103" t="s">
        <v>1593</v>
      </c>
    </row>
    <row r="1955" spans="1:3">
      <c r="A1955" s="176" t="s">
        <v>4112</v>
      </c>
      <c r="B1955" s="8" t="s">
        <v>4113</v>
      </c>
      <c r="C1955" s="91" t="s">
        <v>4115</v>
      </c>
    </row>
    <row r="1956" spans="1:3" ht="17.25" thickBot="1">
      <c r="A1956" s="177"/>
      <c r="B1956" s="6" t="s">
        <v>4114</v>
      </c>
      <c r="C1956" s="97"/>
    </row>
    <row r="1957" spans="1:3" ht="17.25" thickBot="1">
      <c r="A1957" s="145" t="s">
        <v>4116</v>
      </c>
      <c r="B1957" s="5" t="s">
        <v>1557</v>
      </c>
      <c r="C1957" s="6" t="s">
        <v>4117</v>
      </c>
    </row>
    <row r="1958" spans="1:3" ht="17.25" thickBot="1">
      <c r="A1958" s="126" t="s">
        <v>4118</v>
      </c>
    </row>
    <row r="1959" spans="1:3" ht="17.25" thickBot="1">
      <c r="A1959" s="102" t="s">
        <v>1591</v>
      </c>
      <c r="B1959" s="103" t="s">
        <v>1592</v>
      </c>
      <c r="C1959" s="103" t="s">
        <v>1593</v>
      </c>
    </row>
    <row r="1960" spans="1:3" ht="64.5" thickBot="1">
      <c r="A1960" s="162" t="s">
        <v>4119</v>
      </c>
      <c r="B1960" s="5" t="s">
        <v>4120</v>
      </c>
      <c r="C1960" s="6" t="s">
        <v>4121</v>
      </c>
    </row>
    <row r="1961" spans="1:3" ht="45.75" thickBot="1">
      <c r="A1961" s="145" t="s">
        <v>4122</v>
      </c>
      <c r="B1961" s="5" t="s">
        <v>4123</v>
      </c>
      <c r="C1961" s="6" t="s">
        <v>4124</v>
      </c>
    </row>
    <row r="1962" spans="1:3" ht="39" thickBot="1">
      <c r="A1962" s="145" t="s">
        <v>4125</v>
      </c>
      <c r="B1962" s="5" t="s">
        <v>4123</v>
      </c>
      <c r="C1962" s="6" t="s">
        <v>4126</v>
      </c>
    </row>
    <row r="1963" spans="1:3">
      <c r="A1963" s="117" t="s">
        <v>4127</v>
      </c>
    </row>
    <row r="1964" spans="1:3">
      <c r="A1964" s="115" t="s">
        <v>4128</v>
      </c>
      <c r="B1964" s="115" t="s">
        <v>4129</v>
      </c>
    </row>
    <row r="1965" spans="1:3" ht="17.25" thickBot="1">
      <c r="A1965" s="126" t="s">
        <v>1874</v>
      </c>
    </row>
    <row r="1966" spans="1:3" ht="17.25" thickBot="1">
      <c r="A1966" s="102" t="s">
        <v>1591</v>
      </c>
      <c r="B1966" s="103" t="s">
        <v>1635</v>
      </c>
      <c r="C1966" s="103" t="s">
        <v>1593</v>
      </c>
    </row>
    <row r="1967" spans="1:3" ht="17.25" thickBot="1">
      <c r="A1967" s="4" t="s">
        <v>2138</v>
      </c>
      <c r="B1967" s="6" t="s">
        <v>1632</v>
      </c>
      <c r="C1967" s="6" t="s">
        <v>2896</v>
      </c>
    </row>
    <row r="1968" spans="1:3" ht="39" thickBot="1">
      <c r="A1968" s="4" t="s">
        <v>2140</v>
      </c>
      <c r="B1968" s="6" t="s">
        <v>1632</v>
      </c>
      <c r="C1968" s="6" t="s">
        <v>4130</v>
      </c>
    </row>
    <row r="1969" spans="1:3">
      <c r="A1969" s="92" t="s">
        <v>2111</v>
      </c>
      <c r="B1969" s="8" t="s">
        <v>1738</v>
      </c>
      <c r="C1969" s="91" t="s">
        <v>4131</v>
      </c>
    </row>
    <row r="1970" spans="1:3" ht="17.25" thickBot="1">
      <c r="A1970" s="98"/>
      <c r="B1970" s="5" t="s">
        <v>2349</v>
      </c>
      <c r="C1970" s="97"/>
    </row>
    <row r="1971" spans="1:3">
      <c r="A1971" s="92" t="s">
        <v>2002</v>
      </c>
      <c r="B1971" s="7" t="s">
        <v>2116</v>
      </c>
      <c r="C1971" s="91" t="s">
        <v>4132</v>
      </c>
    </row>
    <row r="1972" spans="1:3">
      <c r="A1972" s="171"/>
      <c r="B1972" s="8" t="s">
        <v>1738</v>
      </c>
      <c r="C1972" s="170"/>
    </row>
    <row r="1973" spans="1:3" ht="17.25" thickBot="1">
      <c r="A1973" s="98"/>
      <c r="B1973" s="5" t="s">
        <v>2349</v>
      </c>
      <c r="C1973" s="97"/>
    </row>
    <row r="1974" spans="1:3">
      <c r="A1974" s="92" t="s">
        <v>2115</v>
      </c>
      <c r="B1974" s="8" t="s">
        <v>1603</v>
      </c>
      <c r="C1974" s="91" t="s">
        <v>2117</v>
      </c>
    </row>
    <row r="1975" spans="1:3">
      <c r="A1975" s="171"/>
      <c r="B1975" s="8" t="s">
        <v>1854</v>
      </c>
      <c r="C1975" s="170"/>
    </row>
    <row r="1976" spans="1:3" ht="17.25" thickBot="1">
      <c r="A1976" s="98"/>
      <c r="B1976" s="5" t="s">
        <v>2349</v>
      </c>
      <c r="C1976" s="97"/>
    </row>
    <row r="1977" spans="1:3">
      <c r="A1977" s="92" t="s">
        <v>2118</v>
      </c>
      <c r="B1977" s="8" t="s">
        <v>3210</v>
      </c>
      <c r="C1977" s="91" t="s">
        <v>2885</v>
      </c>
    </row>
    <row r="1978" spans="1:3" ht="17.25" thickBot="1">
      <c r="A1978" s="98"/>
      <c r="B1978" s="5" t="s">
        <v>2523</v>
      </c>
      <c r="C1978" s="97"/>
    </row>
    <row r="1979" spans="1:3" ht="17.25" thickBot="1">
      <c r="A1979" s="4" t="s">
        <v>2886</v>
      </c>
      <c r="B1979" s="5" t="s">
        <v>2887</v>
      </c>
      <c r="C1979" s="5" t="s">
        <v>2888</v>
      </c>
    </row>
    <row r="1980" spans="1:3">
      <c r="A1980" s="161" t="s">
        <v>4133</v>
      </c>
    </row>
    <row r="1981" spans="1:3" ht="17.25" thickBot="1">
      <c r="A1981" s="126" t="s">
        <v>1646</v>
      </c>
    </row>
    <row r="1982" spans="1:3" ht="17.25" thickBot="1">
      <c r="A1982" s="102" t="s">
        <v>1591</v>
      </c>
      <c r="B1982" s="103" t="s">
        <v>1592</v>
      </c>
      <c r="C1982" s="103" t="s">
        <v>1593</v>
      </c>
    </row>
    <row r="1983" spans="1:3" ht="17.25" thickBot="1">
      <c r="A1983" s="4" t="s">
        <v>1903</v>
      </c>
      <c r="B1983" s="5" t="s">
        <v>1603</v>
      </c>
      <c r="C1983" s="5" t="s">
        <v>2012</v>
      </c>
    </row>
    <row r="1984" spans="1:3" ht="17.25" thickBot="1">
      <c r="A1984" s="4" t="s">
        <v>1912</v>
      </c>
      <c r="B1984" s="5" t="s">
        <v>1603</v>
      </c>
      <c r="C1984" s="5" t="s">
        <v>2013</v>
      </c>
    </row>
    <row r="1985" spans="1:3" ht="17.25" thickBot="1">
      <c r="A1985" s="4" t="s">
        <v>1915</v>
      </c>
      <c r="B1985" s="5" t="s">
        <v>1624</v>
      </c>
      <c r="C1985" s="5" t="s">
        <v>1916</v>
      </c>
    </row>
    <row r="1986" spans="1:3" ht="17.25" thickBot="1">
      <c r="A1986" s="4" t="s">
        <v>1922</v>
      </c>
      <c r="B1986" s="5" t="s">
        <v>1566</v>
      </c>
      <c r="C1986" s="5" t="s">
        <v>2161</v>
      </c>
    </row>
    <row r="1987" spans="1:3" ht="17.25" thickBot="1">
      <c r="A1987" s="4" t="s">
        <v>1924</v>
      </c>
      <c r="B1987" s="5" t="s">
        <v>1603</v>
      </c>
      <c r="C1987" s="5" t="s">
        <v>3263</v>
      </c>
    </row>
    <row r="1988" spans="1:3" ht="17.25" thickBot="1">
      <c r="A1988" s="99" t="s">
        <v>1591</v>
      </c>
      <c r="B1988" s="100" t="s">
        <v>1592</v>
      </c>
      <c r="C1988" s="100" t="s">
        <v>1593</v>
      </c>
    </row>
    <row r="1989" spans="1:3" ht="27">
      <c r="A1989" s="92" t="s">
        <v>4134</v>
      </c>
      <c r="B1989" s="91" t="s">
        <v>1632</v>
      </c>
      <c r="C1989" s="7" t="s">
        <v>4135</v>
      </c>
    </row>
    <row r="1990" spans="1:3" ht="17.25" thickBot="1">
      <c r="A1990" s="98"/>
      <c r="B1990" s="97"/>
      <c r="C1990" s="6" t="s">
        <v>4136</v>
      </c>
    </row>
    <row r="1991" spans="1:3" ht="27.75" thickBot="1">
      <c r="A1991" s="4" t="s">
        <v>4137</v>
      </c>
      <c r="B1991" s="6" t="s">
        <v>1632</v>
      </c>
      <c r="C1991" s="6" t="s">
        <v>4138</v>
      </c>
    </row>
    <row r="1992" spans="1:3" ht="27">
      <c r="A1992" s="92" t="s">
        <v>2909</v>
      </c>
      <c r="B1992" s="8" t="s">
        <v>1603</v>
      </c>
      <c r="C1992" s="91" t="s">
        <v>4139</v>
      </c>
    </row>
    <row r="1993" spans="1:3">
      <c r="A1993" s="171"/>
      <c r="B1993" s="7" t="s">
        <v>2116</v>
      </c>
      <c r="C1993" s="170"/>
    </row>
    <row r="1994" spans="1:3" ht="17.25" thickBot="1">
      <c r="A1994" s="98"/>
      <c r="B1994" s="5" t="s">
        <v>1603</v>
      </c>
      <c r="C1994" s="97"/>
    </row>
    <row r="1995" spans="1:3" ht="17.25" thickBot="1">
      <c r="A1995" s="4" t="s">
        <v>2552</v>
      </c>
      <c r="B1995" s="6" t="s">
        <v>1632</v>
      </c>
      <c r="C1995" s="6" t="s">
        <v>2016</v>
      </c>
    </row>
    <row r="1996" spans="1:3" ht="17.25" thickBot="1">
      <c r="A1996" s="4" t="s">
        <v>2021</v>
      </c>
      <c r="B1996" s="6" t="s">
        <v>1632</v>
      </c>
      <c r="C1996" s="5" t="s">
        <v>2022</v>
      </c>
    </row>
    <row r="1997" spans="1:3" ht="17.25" thickBot="1">
      <c r="A1997" s="4" t="s">
        <v>2028</v>
      </c>
      <c r="B1997" s="6" t="s">
        <v>1632</v>
      </c>
      <c r="C1997" s="5" t="s">
        <v>4004</v>
      </c>
    </row>
    <row r="1998" spans="1:3" ht="17.25" thickBot="1">
      <c r="A1998" s="4" t="s">
        <v>2023</v>
      </c>
      <c r="B1998" s="6" t="s">
        <v>1632</v>
      </c>
      <c r="C1998" s="5" t="s">
        <v>2158</v>
      </c>
    </row>
    <row r="1999" spans="1:3" ht="17.25" thickBot="1">
      <c r="A1999" s="4" t="s">
        <v>2554</v>
      </c>
      <c r="B1999" s="6" t="s">
        <v>1632</v>
      </c>
      <c r="C1999" s="6" t="s">
        <v>2018</v>
      </c>
    </row>
    <row r="2000" spans="1:3" ht="17.25" thickBot="1">
      <c r="A2000" s="4" t="s">
        <v>2019</v>
      </c>
      <c r="B2000" s="5" t="s">
        <v>1625</v>
      </c>
      <c r="C2000" s="6" t="s">
        <v>2160</v>
      </c>
    </row>
    <row r="2001" spans="1:3" ht="17.25" thickBot="1">
      <c r="A2001" s="4" t="s">
        <v>1775</v>
      </c>
      <c r="B2001" s="6" t="s">
        <v>1632</v>
      </c>
      <c r="C2001" s="5" t="s">
        <v>4140</v>
      </c>
    </row>
    <row r="2002" spans="1:3" ht="17.25" thickBot="1">
      <c r="A2002" s="4" t="s">
        <v>2143</v>
      </c>
      <c r="B2002" s="6" t="s">
        <v>1632</v>
      </c>
      <c r="C2002" s="5" t="s">
        <v>4141</v>
      </c>
    </row>
    <row r="2003" spans="1:3">
      <c r="A2003" s="92" t="s">
        <v>2025</v>
      </c>
      <c r="B2003" s="91" t="s">
        <v>1603</v>
      </c>
      <c r="C2003" s="8" t="s">
        <v>2026</v>
      </c>
    </row>
    <row r="2004" spans="1:3" ht="39" thickBot="1">
      <c r="A2004" s="98"/>
      <c r="B2004" s="97"/>
      <c r="C2004" s="6" t="s">
        <v>2027</v>
      </c>
    </row>
    <row r="2005" spans="1:3">
      <c r="A2005" s="117" t="s">
        <v>4142</v>
      </c>
    </row>
    <row r="2006" spans="1:3">
      <c r="A2006" s="126" t="s">
        <v>1888</v>
      </c>
    </row>
    <row r="2007" spans="1:3" ht="153">
      <c r="A2007" s="105" t="s">
        <v>4143</v>
      </c>
    </row>
    <row r="2008" spans="1:3">
      <c r="A2008" s="125" t="s">
        <v>4144</v>
      </c>
    </row>
    <row r="2009" spans="1:3">
      <c r="B2009" s="120" t="s">
        <v>1640</v>
      </c>
      <c r="C2009" s="120" t="s">
        <v>1641</v>
      </c>
    </row>
    <row r="2010" spans="1:3">
      <c r="A2010" s="118" t="s">
        <v>4145</v>
      </c>
    </row>
    <row r="2011" spans="1:3">
      <c r="A2011" s="160" t="s">
        <v>4146</v>
      </c>
    </row>
    <row r="2012" spans="1:3">
      <c r="A2012" s="160" t="s">
        <v>4147</v>
      </c>
    </row>
    <row r="2013" spans="1:3">
      <c r="A2013" s="160" t="s">
        <v>4148</v>
      </c>
    </row>
    <row r="2014" spans="1:3">
      <c r="A2014" s="160" t="s">
        <v>4149</v>
      </c>
    </row>
    <row r="2015" spans="1:3">
      <c r="B2015" s="120" t="s">
        <v>1641</v>
      </c>
      <c r="C2015" s="120" t="s">
        <v>4150</v>
      </c>
    </row>
    <row r="2016" spans="1:3">
      <c r="B2016" s="120" t="s">
        <v>1641</v>
      </c>
      <c r="C2016" s="120" t="s">
        <v>4151</v>
      </c>
    </row>
    <row r="2017" spans="1:3">
      <c r="B2017" s="120" t="s">
        <v>1641</v>
      </c>
      <c r="C2017" s="120" t="s">
        <v>4152</v>
      </c>
    </row>
    <row r="2018" spans="1:3">
      <c r="A2018" s="160" t="s">
        <v>4153</v>
      </c>
    </row>
    <row r="2019" spans="1:3">
      <c r="A2019" s="122" t="s">
        <v>4154</v>
      </c>
    </row>
    <row r="2020" spans="1:3">
      <c r="A2020" s="163" t="s">
        <v>4155</v>
      </c>
    </row>
    <row r="2021" spans="1:3">
      <c r="A2021" s="122" t="s">
        <v>4156</v>
      </c>
    </row>
    <row r="2022" spans="1:3">
      <c r="A2022" s="121" t="s">
        <v>1641</v>
      </c>
    </row>
    <row r="2023" spans="1:3">
      <c r="A2023" s="122" t="s">
        <v>4157</v>
      </c>
    </row>
    <row r="2024" spans="1:3">
      <c r="A2024" s="122" t="s">
        <v>4158</v>
      </c>
    </row>
    <row r="2025" spans="1:3">
      <c r="B2025" s="114" t="s">
        <v>4159</v>
      </c>
      <c r="C2025" s="114" t="s">
        <v>4160</v>
      </c>
    </row>
    <row r="2026" spans="1:3" ht="38.25">
      <c r="A2026" s="106" t="s">
        <v>4161</v>
      </c>
    </row>
    <row r="2027" spans="1:3">
      <c r="A2027" s="115" t="s">
        <v>4162</v>
      </c>
      <c r="B2027" s="115" t="s">
        <v>4163</v>
      </c>
    </row>
    <row r="2028" spans="1:3" ht="17.25" thickBot="1">
      <c r="A2028" s="126" t="s">
        <v>1874</v>
      </c>
    </row>
    <row r="2029" spans="1:3" ht="17.25" thickBot="1">
      <c r="A2029" s="102" t="s">
        <v>1591</v>
      </c>
      <c r="B2029" s="103" t="s">
        <v>1635</v>
      </c>
      <c r="C2029" s="103" t="s">
        <v>1593</v>
      </c>
    </row>
    <row r="2030" spans="1:3">
      <c r="A2030" s="92" t="s">
        <v>4164</v>
      </c>
      <c r="B2030" s="8" t="s">
        <v>1603</v>
      </c>
      <c r="C2030" s="91" t="s">
        <v>4165</v>
      </c>
    </row>
    <row r="2031" spans="1:3" ht="17.25" thickBot="1">
      <c r="A2031" s="98"/>
      <c r="B2031" s="5" t="s">
        <v>1550</v>
      </c>
      <c r="C2031" s="97"/>
    </row>
    <row r="2032" spans="1:3">
      <c r="A2032" s="92" t="s">
        <v>2269</v>
      </c>
      <c r="B2032" s="8" t="s">
        <v>1603</v>
      </c>
      <c r="C2032" s="91" t="s">
        <v>4166</v>
      </c>
    </row>
    <row r="2033" spans="1:3" ht="17.25" thickBot="1">
      <c r="A2033" s="98"/>
      <c r="B2033" s="5" t="s">
        <v>1550</v>
      </c>
      <c r="C2033" s="97"/>
    </row>
    <row r="2034" spans="1:3">
      <c r="A2034" s="92" t="s">
        <v>4167</v>
      </c>
      <c r="B2034" s="8" t="s">
        <v>1603</v>
      </c>
      <c r="C2034" s="91" t="s">
        <v>4168</v>
      </c>
    </row>
    <row r="2035" spans="1:3" ht="17.25" thickBot="1">
      <c r="A2035" s="98"/>
      <c r="B2035" s="5" t="s">
        <v>1550</v>
      </c>
      <c r="C2035" s="97"/>
    </row>
    <row r="2036" spans="1:3">
      <c r="A2036" s="92" t="s">
        <v>4169</v>
      </c>
      <c r="B2036" s="8" t="s">
        <v>1603</v>
      </c>
      <c r="C2036" s="91" t="s">
        <v>4170</v>
      </c>
    </row>
    <row r="2037" spans="1:3" ht="17.25" thickBot="1">
      <c r="A2037" s="98"/>
      <c r="B2037" s="5" t="s">
        <v>1550</v>
      </c>
      <c r="C2037" s="97"/>
    </row>
    <row r="2038" spans="1:3">
      <c r="A2038" s="92" t="s">
        <v>4171</v>
      </c>
      <c r="B2038" s="8" t="s">
        <v>1603</v>
      </c>
      <c r="C2038" s="91" t="s">
        <v>4172</v>
      </c>
    </row>
    <row r="2039" spans="1:3" ht="17.25" thickBot="1">
      <c r="A2039" s="98"/>
      <c r="B2039" s="5" t="s">
        <v>1550</v>
      </c>
      <c r="C2039" s="97"/>
    </row>
    <row r="2040" spans="1:3">
      <c r="A2040" s="92" t="s">
        <v>4173</v>
      </c>
      <c r="B2040" s="8" t="s">
        <v>1603</v>
      </c>
      <c r="C2040" s="8" t="s">
        <v>4174</v>
      </c>
    </row>
    <row r="2041" spans="1:3" ht="17.25" thickBot="1">
      <c r="A2041" s="98"/>
      <c r="B2041" s="5" t="s">
        <v>1550</v>
      </c>
      <c r="C2041" s="5" t="s">
        <v>4175</v>
      </c>
    </row>
    <row r="2042" spans="1:3">
      <c r="A2042" s="92" t="s">
        <v>4176</v>
      </c>
      <c r="B2042" s="8" t="s">
        <v>1603</v>
      </c>
      <c r="C2042" s="91" t="s">
        <v>4177</v>
      </c>
    </row>
    <row r="2043" spans="1:3" ht="17.25" thickBot="1">
      <c r="A2043" s="98"/>
      <c r="B2043" s="5" t="s">
        <v>1550</v>
      </c>
      <c r="C2043" s="97"/>
    </row>
    <row r="2044" spans="1:3">
      <c r="A2044" s="92" t="s">
        <v>4178</v>
      </c>
      <c r="B2044" s="8" t="s">
        <v>1566</v>
      </c>
      <c r="C2044" s="8" t="s">
        <v>4179</v>
      </c>
    </row>
    <row r="2045" spans="1:3" ht="17.25" thickBot="1">
      <c r="A2045" s="98"/>
      <c r="B2045" s="5" t="s">
        <v>1550</v>
      </c>
      <c r="C2045" s="5" t="s">
        <v>4180</v>
      </c>
    </row>
    <row r="2046" spans="1:3">
      <c r="A2046" s="161" t="s">
        <v>4181</v>
      </c>
    </row>
    <row r="2047" spans="1:3" ht="17.25" thickBot="1">
      <c r="A2047" s="126" t="s">
        <v>1646</v>
      </c>
    </row>
    <row r="2048" spans="1:3" ht="17.25" thickBot="1">
      <c r="A2048" s="102" t="s">
        <v>1591</v>
      </c>
      <c r="B2048" s="103" t="s">
        <v>1592</v>
      </c>
      <c r="C2048" s="103" t="s">
        <v>1593</v>
      </c>
    </row>
    <row r="2049" spans="1:3" ht="17.25" thickBot="1">
      <c r="A2049" s="4" t="s">
        <v>4182</v>
      </c>
      <c r="B2049" s="5" t="s">
        <v>1621</v>
      </c>
      <c r="C2049" s="6" t="s">
        <v>4183</v>
      </c>
    </row>
    <row r="2050" spans="1:3" ht="39" thickBot="1">
      <c r="A2050" s="145" t="s">
        <v>4184</v>
      </c>
      <c r="B2050" s="5" t="s">
        <v>1566</v>
      </c>
      <c r="C2050" s="6" t="s">
        <v>4185</v>
      </c>
    </row>
    <row r="2051" spans="1:3" ht="17.25" thickBot="1">
      <c r="A2051" s="4" t="s">
        <v>3021</v>
      </c>
      <c r="B2051" s="5" t="s">
        <v>2982</v>
      </c>
      <c r="C2051" s="6" t="s">
        <v>4186</v>
      </c>
    </row>
    <row r="2052" spans="1:3" ht="17.25" thickBot="1">
      <c r="A2052" s="4" t="s">
        <v>4187</v>
      </c>
      <c r="B2052" s="5" t="s">
        <v>2982</v>
      </c>
      <c r="C2052" s="6" t="s">
        <v>4188</v>
      </c>
    </row>
    <row r="2053" spans="1:3" ht="17.25" thickBot="1">
      <c r="A2053" s="99" t="s">
        <v>1591</v>
      </c>
      <c r="B2053" s="100" t="s">
        <v>1592</v>
      </c>
      <c r="C2053" s="100" t="s">
        <v>1593</v>
      </c>
    </row>
    <row r="2054" spans="1:3" ht="26.25" thickBot="1">
      <c r="A2054" s="4" t="s">
        <v>4189</v>
      </c>
      <c r="B2054" s="5" t="s">
        <v>1610</v>
      </c>
      <c r="C2054" s="6" t="s">
        <v>4190</v>
      </c>
    </row>
    <row r="2055" spans="1:3" ht="17.25" thickBot="1">
      <c r="A2055" s="4" t="s">
        <v>4191</v>
      </c>
      <c r="B2055" s="5" t="s">
        <v>1618</v>
      </c>
      <c r="C2055" s="5" t="s">
        <v>4192</v>
      </c>
    </row>
    <row r="2056" spans="1:3" ht="17.25" thickBot="1">
      <c r="A2056" s="4" t="s">
        <v>4193</v>
      </c>
      <c r="B2056" s="5" t="s">
        <v>2317</v>
      </c>
      <c r="C2056" s="6" t="s">
        <v>4194</v>
      </c>
    </row>
    <row r="2057" spans="1:3" ht="17.25" thickBot="1">
      <c r="A2057" s="4" t="s">
        <v>4195</v>
      </c>
      <c r="B2057" s="5" t="s">
        <v>1566</v>
      </c>
      <c r="C2057" s="5" t="s">
        <v>4196</v>
      </c>
    </row>
    <row r="2058" spans="1:3" ht="17.25" thickBot="1">
      <c r="A2058" s="4" t="s">
        <v>4197</v>
      </c>
      <c r="B2058" s="5" t="s">
        <v>1603</v>
      </c>
      <c r="C2058" s="5" t="s">
        <v>4198</v>
      </c>
    </row>
    <row r="2059" spans="1:3" ht="17.25" thickBot="1">
      <c r="A2059" s="4" t="s">
        <v>4199</v>
      </c>
      <c r="B2059" s="5" t="s">
        <v>1630</v>
      </c>
      <c r="C2059" s="6" t="s">
        <v>4200</v>
      </c>
    </row>
    <row r="2060" spans="1:3" ht="17.25" thickBot="1">
      <c r="A2060" s="4" t="s">
        <v>4201</v>
      </c>
      <c r="B2060" s="5" t="s">
        <v>1623</v>
      </c>
      <c r="C2060" s="5" t="s">
        <v>4202</v>
      </c>
    </row>
    <row r="2061" spans="1:3">
      <c r="A2061" s="117" t="s">
        <v>4203</v>
      </c>
    </row>
    <row r="2062" spans="1:3">
      <c r="A2062" s="157" t="s">
        <v>2033</v>
      </c>
    </row>
    <row r="2063" spans="1:3" ht="102.75">
      <c r="A2063" s="105" t="s">
        <v>4204</v>
      </c>
    </row>
    <row r="2064" spans="1:3" ht="102.75">
      <c r="A2064" s="105" t="s">
        <v>4205</v>
      </c>
    </row>
    <row r="2065" spans="1:3" ht="25.5">
      <c r="A2065" s="105" t="s">
        <v>4206</v>
      </c>
    </row>
    <row r="2066" spans="1:3" ht="39">
      <c r="A2066" s="105" t="s">
        <v>4207</v>
      </c>
    </row>
    <row r="2067" spans="1:3" ht="52.5">
      <c r="A2067" s="105" t="s">
        <v>4208</v>
      </c>
    </row>
    <row r="2068" spans="1:3" ht="39.75">
      <c r="A2068" s="105" t="s">
        <v>4209</v>
      </c>
    </row>
    <row r="2069" spans="1:3" ht="38.25">
      <c r="A2069" s="105" t="s">
        <v>4210</v>
      </c>
    </row>
    <row r="2070" spans="1:3" ht="141.75">
      <c r="A2070" s="105" t="s">
        <v>4211</v>
      </c>
    </row>
    <row r="2071" spans="1:3">
      <c r="A2071" s="126" t="s">
        <v>1888</v>
      </c>
    </row>
    <row r="2072" spans="1:3">
      <c r="B2072" s="158" t="s">
        <v>4212</v>
      </c>
      <c r="C2072" s="109" t="s">
        <v>4213</v>
      </c>
    </row>
    <row r="2073" spans="1:3">
      <c r="A2073" s="115" t="s">
        <v>4214</v>
      </c>
      <c r="B2073" s="115" t="s">
        <v>4215</v>
      </c>
    </row>
    <row r="2074" spans="1:3" ht="17.25" thickBot="1">
      <c r="A2074" s="126" t="s">
        <v>1874</v>
      </c>
    </row>
    <row r="2075" spans="1:3" ht="17.25" thickBot="1">
      <c r="A2075" s="102" t="s">
        <v>1591</v>
      </c>
      <c r="B2075" s="103" t="s">
        <v>1635</v>
      </c>
      <c r="C2075" s="103" t="s">
        <v>1593</v>
      </c>
    </row>
    <row r="2076" spans="1:3">
      <c r="A2076" s="92" t="s">
        <v>1636</v>
      </c>
      <c r="B2076" s="8" t="s">
        <v>1566</v>
      </c>
      <c r="C2076" s="91" t="s">
        <v>3995</v>
      </c>
    </row>
    <row r="2077" spans="1:3" ht="17.25" thickBot="1">
      <c r="A2077" s="98"/>
      <c r="B2077" s="5" t="s">
        <v>1550</v>
      </c>
      <c r="C2077" s="97"/>
    </row>
    <row r="2078" spans="1:3">
      <c r="A2078" s="92" t="s">
        <v>1637</v>
      </c>
      <c r="B2078" s="8" t="s">
        <v>1566</v>
      </c>
      <c r="C2078" s="91" t="s">
        <v>3996</v>
      </c>
    </row>
    <row r="2079" spans="1:3" ht="17.25" thickBot="1">
      <c r="A2079" s="98"/>
      <c r="B2079" s="5" t="s">
        <v>1550</v>
      </c>
      <c r="C2079" s="97"/>
    </row>
    <row r="2080" spans="1:3">
      <c r="A2080" s="92" t="s">
        <v>1638</v>
      </c>
      <c r="B2080" s="8" t="s">
        <v>1603</v>
      </c>
      <c r="C2080" s="91" t="s">
        <v>3997</v>
      </c>
    </row>
    <row r="2081" spans="1:3" ht="17.25" thickBot="1">
      <c r="A2081" s="98"/>
      <c r="B2081" s="5" t="s">
        <v>1550</v>
      </c>
      <c r="C2081" s="97"/>
    </row>
    <row r="2082" spans="1:3">
      <c r="A2082" s="92" t="s">
        <v>1639</v>
      </c>
      <c r="B2082" s="8" t="s">
        <v>1603</v>
      </c>
      <c r="C2082" s="91" t="s">
        <v>4216</v>
      </c>
    </row>
    <row r="2083" spans="1:3" ht="17.25" thickBot="1">
      <c r="A2083" s="98"/>
      <c r="B2083" s="5" t="s">
        <v>1550</v>
      </c>
      <c r="C2083" s="97"/>
    </row>
    <row r="2084" spans="1:3" ht="17.25" thickBot="1">
      <c r="A2084" s="4" t="s">
        <v>2892</v>
      </c>
      <c r="B2084" s="5" t="s">
        <v>1559</v>
      </c>
      <c r="C2084" s="5" t="s">
        <v>4217</v>
      </c>
    </row>
    <row r="2085" spans="1:3" ht="17.25" thickBot="1">
      <c r="A2085" s="4" t="s">
        <v>4218</v>
      </c>
      <c r="B2085" s="5" t="s">
        <v>1559</v>
      </c>
      <c r="C2085" s="5" t="s">
        <v>4219</v>
      </c>
    </row>
    <row r="2086" spans="1:3" ht="17.25" thickBot="1">
      <c r="A2086" s="4" t="s">
        <v>4218</v>
      </c>
      <c r="B2086" s="5" t="s">
        <v>4220</v>
      </c>
      <c r="C2086" s="5" t="s">
        <v>4221</v>
      </c>
    </row>
    <row r="2087" spans="1:3" ht="25.5">
      <c r="A2087" s="92" t="s">
        <v>3181</v>
      </c>
      <c r="B2087" s="8" t="s">
        <v>0</v>
      </c>
      <c r="C2087" s="91" t="s">
        <v>4222</v>
      </c>
    </row>
    <row r="2088" spans="1:3">
      <c r="A2088" s="171"/>
      <c r="B2088" s="8" t="s">
        <v>1854</v>
      </c>
      <c r="C2088" s="170"/>
    </row>
    <row r="2089" spans="1:3" ht="17.25" thickBot="1">
      <c r="A2089" s="98"/>
      <c r="B2089" s="5" t="s">
        <v>1550</v>
      </c>
      <c r="C2089" s="97"/>
    </row>
    <row r="2090" spans="1:3">
      <c r="A2090" s="92" t="s">
        <v>4223</v>
      </c>
      <c r="B2090" s="91" t="s">
        <v>1559</v>
      </c>
      <c r="C2090" s="8" t="s">
        <v>4224</v>
      </c>
    </row>
    <row r="2091" spans="1:3" ht="17.25" thickBot="1">
      <c r="A2091" s="98"/>
      <c r="B2091" s="97"/>
      <c r="C2091" s="6" t="s">
        <v>4225</v>
      </c>
    </row>
    <row r="2092" spans="1:3">
      <c r="A2092" s="117" t="s">
        <v>4226</v>
      </c>
    </row>
    <row r="2093" spans="1:3">
      <c r="A2093" s="157" t="s">
        <v>2033</v>
      </c>
    </row>
    <row r="2094" spans="1:3" ht="38.25">
      <c r="A2094" s="105" t="s">
        <v>4227</v>
      </c>
    </row>
    <row r="2095" spans="1:3" ht="114.75">
      <c r="A2095" s="105" t="s">
        <v>4228</v>
      </c>
    </row>
    <row r="2096" spans="1:3">
      <c r="A2096" s="108" t="s">
        <v>4229</v>
      </c>
    </row>
    <row r="2097" spans="1:3" ht="89.25">
      <c r="A2097" s="105" t="s">
        <v>4230</v>
      </c>
    </row>
    <row r="2098" spans="1:3" ht="25.5">
      <c r="A2098" s="105" t="s">
        <v>4231</v>
      </c>
    </row>
    <row r="2099" spans="1:3" ht="17.25" thickBot="1">
      <c r="A2099" s="126" t="s">
        <v>1646</v>
      </c>
    </row>
    <row r="2100" spans="1:3" ht="17.25" thickBot="1">
      <c r="A2100" s="102" t="s">
        <v>1591</v>
      </c>
      <c r="B2100" s="103" t="s">
        <v>1592</v>
      </c>
      <c r="C2100" s="103" t="s">
        <v>1593</v>
      </c>
    </row>
    <row r="2101" spans="1:3" ht="17.25" thickBot="1">
      <c r="A2101" s="4" t="s">
        <v>1903</v>
      </c>
      <c r="B2101" s="5" t="s">
        <v>1603</v>
      </c>
      <c r="C2101" s="5" t="s">
        <v>2012</v>
      </c>
    </row>
    <row r="2102" spans="1:3" ht="17.25" thickBot="1">
      <c r="A2102" s="4" t="s">
        <v>1912</v>
      </c>
      <c r="B2102" s="5" t="s">
        <v>1603</v>
      </c>
      <c r="C2102" s="5" t="s">
        <v>2013</v>
      </c>
    </row>
    <row r="2103" spans="1:3" ht="17.25" thickBot="1">
      <c r="A2103" s="4" t="s">
        <v>1915</v>
      </c>
      <c r="B2103" s="5" t="s">
        <v>1624</v>
      </c>
      <c r="C2103" s="5" t="s">
        <v>2014</v>
      </c>
    </row>
    <row r="2104" spans="1:3" ht="17.25" thickBot="1">
      <c r="A2104" s="4" t="s">
        <v>2028</v>
      </c>
      <c r="B2104" s="6" t="s">
        <v>1632</v>
      </c>
      <c r="C2104" s="5" t="s">
        <v>4232</v>
      </c>
    </row>
    <row r="2105" spans="1:3" ht="17.25" thickBot="1">
      <c r="A2105" s="4" t="s">
        <v>1922</v>
      </c>
      <c r="B2105" s="5" t="s">
        <v>1566</v>
      </c>
      <c r="C2105" s="5" t="s">
        <v>2161</v>
      </c>
    </row>
    <row r="2106" spans="1:3" ht="17.25" thickBot="1">
      <c r="A2106" s="4" t="s">
        <v>1924</v>
      </c>
      <c r="B2106" s="5" t="s">
        <v>1603</v>
      </c>
      <c r="C2106" s="6" t="s">
        <v>4233</v>
      </c>
    </row>
    <row r="2107" spans="1:3" ht="17.25" thickBot="1">
      <c r="A2107" s="4" t="s">
        <v>2023</v>
      </c>
      <c r="B2107" s="6" t="s">
        <v>1632</v>
      </c>
      <c r="C2107" s="5" t="s">
        <v>4234</v>
      </c>
    </row>
    <row r="2108" spans="1:3">
      <c r="A2108" s="92" t="s">
        <v>2025</v>
      </c>
      <c r="B2108" s="91" t="s">
        <v>1603</v>
      </c>
      <c r="C2108" s="8" t="s">
        <v>2026</v>
      </c>
    </row>
    <row r="2109" spans="1:3" ht="39" thickBot="1">
      <c r="A2109" s="98"/>
      <c r="B2109" s="97"/>
      <c r="C2109" s="6" t="s">
        <v>2027</v>
      </c>
    </row>
    <row r="2110" spans="1:3" ht="17.25" thickBot="1">
      <c r="A2110" s="4" t="s">
        <v>2021</v>
      </c>
      <c r="B2110" s="6" t="s">
        <v>1632</v>
      </c>
      <c r="C2110" s="6" t="s">
        <v>4235</v>
      </c>
    </row>
    <row r="2111" spans="1:3">
      <c r="A2111" s="117" t="s">
        <v>4236</v>
      </c>
    </row>
    <row r="2112" spans="1:3">
      <c r="A2112" s="126" t="s">
        <v>1888</v>
      </c>
    </row>
    <row r="2113" spans="1:3">
      <c r="A2113" s="121" t="s">
        <v>3198</v>
      </c>
    </row>
    <row r="2114" spans="1:3">
      <c r="B2114" s="120" t="s">
        <v>1640</v>
      </c>
      <c r="C2114" s="120" t="s">
        <v>1641</v>
      </c>
    </row>
    <row r="2115" spans="1:3">
      <c r="A2115" s="118" t="s">
        <v>4237</v>
      </c>
    </row>
    <row r="2116" spans="1:3">
      <c r="A2116" s="121" t="s">
        <v>3199</v>
      </c>
    </row>
    <row r="2117" spans="1:3">
      <c r="A2117" s="160" t="s">
        <v>4238</v>
      </c>
    </row>
    <row r="2118" spans="1:3">
      <c r="A2118" s="121" t="s">
        <v>3200</v>
      </c>
    </row>
    <row r="2119" spans="1:3">
      <c r="A2119" s="121" t="s">
        <v>4239</v>
      </c>
    </row>
    <row r="2120" spans="1:3">
      <c r="A2120" s="121" t="s">
        <v>3201</v>
      </c>
    </row>
    <row r="2121" spans="1:3">
      <c r="A2121" s="121" t="s">
        <v>4240</v>
      </c>
    </row>
    <row r="2122" spans="1:3">
      <c r="A2122" s="160" t="s">
        <v>4241</v>
      </c>
    </row>
    <row r="2123" spans="1:3">
      <c r="A2123" s="121" t="s">
        <v>4242</v>
      </c>
    </row>
    <row r="2124" spans="1:3">
      <c r="B2124" s="120" t="s">
        <v>1642</v>
      </c>
      <c r="C2124" s="120" t="s">
        <v>1641</v>
      </c>
    </row>
    <row r="2125" spans="1:3">
      <c r="A2125" s="121" t="s">
        <v>4243</v>
      </c>
    </row>
    <row r="2126" spans="1:3">
      <c r="A2126" s="121" t="s">
        <v>4244</v>
      </c>
    </row>
    <row r="2127" spans="1:3">
      <c r="A2127" s="160" t="s">
        <v>1641</v>
      </c>
    </row>
    <row r="2128" spans="1:3">
      <c r="A2128" s="121" t="s">
        <v>4245</v>
      </c>
    </row>
    <row r="2129" spans="1:3">
      <c r="A2129" s="121" t="s">
        <v>4246</v>
      </c>
    </row>
    <row r="2130" spans="1:3">
      <c r="B2130" s="114" t="s">
        <v>4247</v>
      </c>
      <c r="C2130" s="114" t="s">
        <v>4248</v>
      </c>
    </row>
    <row r="2131" spans="1:3" ht="38.25">
      <c r="A2131" s="106" t="s">
        <v>4249</v>
      </c>
    </row>
    <row r="2132" spans="1:3" ht="102">
      <c r="A2132" s="105" t="s">
        <v>4250</v>
      </c>
    </row>
    <row r="2133" spans="1:3" ht="25.5">
      <c r="A2133" s="105" t="s">
        <v>4251</v>
      </c>
    </row>
    <row r="2134" spans="1:3">
      <c r="A2134" s="115" t="s">
        <v>4252</v>
      </c>
      <c r="B2134" s="115" t="s">
        <v>4253</v>
      </c>
    </row>
    <row r="2135" spans="1:3" ht="76.5">
      <c r="A2135" s="105" t="s">
        <v>4254</v>
      </c>
    </row>
    <row r="2136" spans="1:3" ht="17.25" thickBot="1">
      <c r="A2136" s="126" t="s">
        <v>1646</v>
      </c>
    </row>
    <row r="2137" spans="1:3" ht="17.25" thickBot="1">
      <c r="A2137" s="102" t="s">
        <v>1591</v>
      </c>
      <c r="B2137" s="103" t="s">
        <v>1592</v>
      </c>
      <c r="C2137" s="103" t="s">
        <v>1593</v>
      </c>
    </row>
    <row r="2138" spans="1:3" ht="17.25" thickBot="1">
      <c r="A2138" s="4" t="s">
        <v>4255</v>
      </c>
      <c r="B2138" s="5" t="s">
        <v>1603</v>
      </c>
      <c r="C2138" s="6" t="s">
        <v>4256</v>
      </c>
    </row>
    <row r="2139" spans="1:3" ht="17.25" thickBot="1">
      <c r="A2139" s="4" t="s">
        <v>4257</v>
      </c>
      <c r="B2139" s="5" t="s">
        <v>1603</v>
      </c>
      <c r="C2139" s="6" t="s">
        <v>4258</v>
      </c>
    </row>
    <row r="2140" spans="1:3" ht="17.25" thickBot="1">
      <c r="A2140" s="4" t="s">
        <v>4259</v>
      </c>
      <c r="B2140" s="5" t="s">
        <v>1600</v>
      </c>
      <c r="C2140" s="6" t="s">
        <v>4260</v>
      </c>
    </row>
    <row r="2141" spans="1:3" ht="17.25" thickBot="1">
      <c r="A2141" s="109"/>
    </row>
    <row r="2142" spans="1:3" ht="17.25" thickBot="1">
      <c r="A2142" s="102" t="s">
        <v>1591</v>
      </c>
      <c r="B2142" s="103" t="s">
        <v>1592</v>
      </c>
      <c r="C2142" s="103" t="s">
        <v>1593</v>
      </c>
    </row>
    <row r="2143" spans="1:3">
      <c r="A2143" s="92" t="s">
        <v>4261</v>
      </c>
      <c r="B2143" s="91" t="s">
        <v>1566</v>
      </c>
      <c r="C2143" s="7" t="s">
        <v>4262</v>
      </c>
    </row>
    <row r="2144" spans="1:3">
      <c r="A2144" s="171"/>
      <c r="B2144" s="170"/>
      <c r="C2144" s="8" t="s">
        <v>4263</v>
      </c>
    </row>
    <row r="2145" spans="1:3">
      <c r="A2145" s="171"/>
      <c r="B2145" s="170"/>
      <c r="C2145" s="7" t="s">
        <v>4264</v>
      </c>
    </row>
    <row r="2146" spans="1:3" ht="17.25" thickBot="1">
      <c r="A2146" s="98"/>
      <c r="B2146" s="97"/>
      <c r="C2146" s="5" t="s">
        <v>4265</v>
      </c>
    </row>
    <row r="2147" spans="1:3" ht="17.25" thickBot="1">
      <c r="A2147" s="4" t="s">
        <v>4266</v>
      </c>
      <c r="B2147" s="5" t="s">
        <v>1616</v>
      </c>
      <c r="C2147" s="6" t="s">
        <v>4267</v>
      </c>
    </row>
    <row r="2148" spans="1:3" ht="17.25" thickBot="1">
      <c r="A2148" s="4" t="s">
        <v>4268</v>
      </c>
      <c r="B2148" s="5" t="s">
        <v>1616</v>
      </c>
      <c r="C2148" s="6" t="s">
        <v>4269</v>
      </c>
    </row>
    <row r="2149" spans="1:3" ht="17.25" thickBot="1">
      <c r="A2149" s="4" t="s">
        <v>4270</v>
      </c>
      <c r="B2149" s="5" t="s">
        <v>1557</v>
      </c>
      <c r="C2149" s="6" t="s">
        <v>4271</v>
      </c>
    </row>
    <row r="2150" spans="1:3" ht="17.25" thickBot="1">
      <c r="A2150" s="4" t="s">
        <v>4272</v>
      </c>
      <c r="B2150" s="5" t="s">
        <v>1557</v>
      </c>
      <c r="C2150" s="6" t="s">
        <v>4273</v>
      </c>
    </row>
    <row r="2151" spans="1:3" ht="39" thickBot="1">
      <c r="A2151" s="145" t="s">
        <v>4274</v>
      </c>
      <c r="B2151" s="5" t="s">
        <v>0</v>
      </c>
      <c r="C2151" s="6" t="s">
        <v>4275</v>
      </c>
    </row>
    <row r="2152" spans="1:3" ht="17.25" thickBot="1">
      <c r="A2152" s="4" t="s">
        <v>2755</v>
      </c>
      <c r="B2152" s="5" t="s">
        <v>1561</v>
      </c>
      <c r="C2152" s="5" t="s">
        <v>4276</v>
      </c>
    </row>
    <row r="2153" spans="1:3" ht="17.25" thickBot="1">
      <c r="A2153" s="4" t="s">
        <v>4277</v>
      </c>
      <c r="B2153" s="5" t="s">
        <v>1561</v>
      </c>
      <c r="C2153" s="6" t="s">
        <v>4278</v>
      </c>
    </row>
    <row r="2154" spans="1:3" ht="17.25" thickBot="1">
      <c r="A2154" s="4" t="s">
        <v>1792</v>
      </c>
      <c r="B2154" s="5" t="s">
        <v>1566</v>
      </c>
      <c r="C2154" s="5" t="s">
        <v>4279</v>
      </c>
    </row>
    <row r="2155" spans="1:3" ht="17.25" thickBot="1">
      <c r="A2155" s="145" t="s">
        <v>4280</v>
      </c>
      <c r="B2155" s="5" t="s">
        <v>1566</v>
      </c>
      <c r="C2155" s="6" t="s">
        <v>4281</v>
      </c>
    </row>
    <row r="2156" spans="1:3" ht="26.25" thickBot="1">
      <c r="A2156" s="145" t="s">
        <v>4282</v>
      </c>
      <c r="B2156" s="5" t="s">
        <v>1566</v>
      </c>
      <c r="C2156" s="6" t="s">
        <v>4283</v>
      </c>
    </row>
    <row r="2157" spans="1:3" ht="26.25" thickBot="1">
      <c r="A2157" s="145" t="s">
        <v>4284</v>
      </c>
      <c r="B2157" s="5" t="s">
        <v>1566</v>
      </c>
      <c r="C2157" s="6" t="s">
        <v>4285</v>
      </c>
    </row>
    <row r="2158" spans="1:3" ht="17.25" thickBot="1">
      <c r="A2158" s="109"/>
    </row>
    <row r="2159" spans="1:3" ht="17.25" thickBot="1">
      <c r="A2159" s="102" t="s">
        <v>1591</v>
      </c>
      <c r="B2159" s="103" t="s">
        <v>1592</v>
      </c>
      <c r="C2159" s="103" t="s">
        <v>1593</v>
      </c>
    </row>
    <row r="2160" spans="1:3" ht="26.25" thickBot="1">
      <c r="A2160" s="145" t="s">
        <v>4286</v>
      </c>
      <c r="B2160" s="5" t="s">
        <v>1566</v>
      </c>
      <c r="C2160" s="6" t="s">
        <v>4287</v>
      </c>
    </row>
    <row r="2161" spans="1:3" ht="17.25" thickBot="1">
      <c r="A2161" s="4" t="s">
        <v>1740</v>
      </c>
      <c r="B2161" s="5" t="s">
        <v>0</v>
      </c>
      <c r="C2161" s="5" t="s">
        <v>4288</v>
      </c>
    </row>
    <row r="2162" spans="1:3" ht="17.25" thickBot="1">
      <c r="A2162" s="4" t="s">
        <v>4289</v>
      </c>
      <c r="B2162" s="5" t="s">
        <v>1603</v>
      </c>
      <c r="C2162" s="5" t="s">
        <v>4290</v>
      </c>
    </row>
    <row r="2163" spans="1:3" ht="17.25" thickBot="1">
      <c r="A2163" s="4" t="s">
        <v>4291</v>
      </c>
      <c r="B2163" s="5" t="s">
        <v>1566</v>
      </c>
      <c r="C2163" s="6" t="s">
        <v>4292</v>
      </c>
    </row>
    <row r="2164" spans="1:3" ht="17.25" thickBot="1">
      <c r="A2164" s="4" t="s">
        <v>4293</v>
      </c>
      <c r="B2164" s="5" t="s">
        <v>0</v>
      </c>
      <c r="C2164" s="6" t="s">
        <v>4294</v>
      </c>
    </row>
    <row r="2165" spans="1:3">
      <c r="A2165" s="92" t="s">
        <v>4295</v>
      </c>
      <c r="B2165" s="91" t="s">
        <v>1566</v>
      </c>
      <c r="C2165" s="8" t="s">
        <v>4296</v>
      </c>
    </row>
    <row r="2166" spans="1:3">
      <c r="A2166" s="171"/>
      <c r="B2166" s="170"/>
      <c r="C2166" s="8" t="s">
        <v>4297</v>
      </c>
    </row>
    <row r="2167" spans="1:3">
      <c r="A2167" s="171"/>
      <c r="B2167" s="170"/>
      <c r="C2167" s="8" t="s">
        <v>4298</v>
      </c>
    </row>
    <row r="2168" spans="1:3" ht="17.25" thickBot="1">
      <c r="A2168" s="98"/>
      <c r="B2168" s="97"/>
      <c r="C2168" s="5" t="s">
        <v>4299</v>
      </c>
    </row>
    <row r="2169" spans="1:3" ht="27.75" thickBot="1">
      <c r="A2169" s="4" t="s">
        <v>4300</v>
      </c>
      <c r="B2169" s="5" t="s">
        <v>1566</v>
      </c>
      <c r="C2169" s="6" t="s">
        <v>4301</v>
      </c>
    </row>
    <row r="2170" spans="1:3" ht="27.75" thickBot="1">
      <c r="A2170" s="4" t="s">
        <v>4302</v>
      </c>
      <c r="B2170" s="5" t="s">
        <v>1566</v>
      </c>
      <c r="C2170" s="6" t="s">
        <v>4303</v>
      </c>
    </row>
    <row r="2171" spans="1:3" ht="17.25" thickBot="1">
      <c r="A2171" s="4" t="s">
        <v>4304</v>
      </c>
      <c r="B2171" s="5" t="s">
        <v>0</v>
      </c>
      <c r="C2171" s="6" t="s">
        <v>4305</v>
      </c>
    </row>
    <row r="2172" spans="1:3" ht="17.25" thickBot="1">
      <c r="A2172" s="4" t="s">
        <v>4306</v>
      </c>
      <c r="B2172" s="6" t="s">
        <v>1619</v>
      </c>
      <c r="C2172" s="5" t="s">
        <v>4307</v>
      </c>
    </row>
    <row r="2173" spans="1:3" ht="17.25" thickBot="1">
      <c r="A2173" s="4" t="s">
        <v>4308</v>
      </c>
      <c r="B2173" s="6" t="s">
        <v>1619</v>
      </c>
      <c r="C2173" s="6" t="s">
        <v>4309</v>
      </c>
    </row>
    <row r="2174" spans="1:3" ht="17.25" thickBot="1">
      <c r="A2174" s="4" t="s">
        <v>4310</v>
      </c>
      <c r="B2174" s="5" t="s">
        <v>1603</v>
      </c>
      <c r="C2174" s="6" t="s">
        <v>4311</v>
      </c>
    </row>
    <row r="2175" spans="1:3" ht="17.25" thickBot="1">
      <c r="A2175" s="4" t="s">
        <v>4312</v>
      </c>
      <c r="B2175" s="5" t="s">
        <v>1603</v>
      </c>
      <c r="C2175" s="6" t="s">
        <v>4313</v>
      </c>
    </row>
    <row r="2176" spans="1:3" ht="17.25" thickBot="1">
      <c r="A2176" s="109"/>
    </row>
    <row r="2177" spans="1:3" ht="17.25" thickBot="1">
      <c r="A2177" s="102" t="s">
        <v>1591</v>
      </c>
      <c r="B2177" s="103" t="s">
        <v>1592</v>
      </c>
      <c r="C2177" s="103" t="s">
        <v>1593</v>
      </c>
    </row>
    <row r="2178" spans="1:3">
      <c r="A2178" s="92" t="s">
        <v>4314</v>
      </c>
      <c r="B2178" s="91" t="s">
        <v>1620</v>
      </c>
      <c r="C2178" s="8" t="s">
        <v>4315</v>
      </c>
    </row>
    <row r="2179" spans="1:3" ht="17.25" thickBot="1">
      <c r="A2179" s="98"/>
      <c r="B2179" s="97"/>
      <c r="C2179" s="5" t="s">
        <v>4316</v>
      </c>
    </row>
    <row r="2180" spans="1:3" ht="17.25" thickBot="1">
      <c r="A2180" s="4" t="s">
        <v>4317</v>
      </c>
      <c r="B2180" s="5" t="s">
        <v>1620</v>
      </c>
      <c r="C2180" s="6" t="s">
        <v>4318</v>
      </c>
    </row>
    <row r="2181" spans="1:3" ht="17.25" thickBot="1">
      <c r="A2181" s="4" t="s">
        <v>4319</v>
      </c>
      <c r="B2181" s="5" t="s">
        <v>0</v>
      </c>
      <c r="C2181" s="5" t="s">
        <v>4320</v>
      </c>
    </row>
    <row r="2182" spans="1:3" ht="27.75" thickBot="1">
      <c r="A2182" s="4" t="s">
        <v>4321</v>
      </c>
      <c r="B2182" s="5" t="s">
        <v>1603</v>
      </c>
      <c r="C2182" s="6" t="s">
        <v>4322</v>
      </c>
    </row>
    <row r="2183" spans="1:3" ht="27.75" thickBot="1">
      <c r="A2183" s="4" t="s">
        <v>4323</v>
      </c>
      <c r="B2183" s="5" t="s">
        <v>1603</v>
      </c>
      <c r="C2183" s="6" t="s">
        <v>4324</v>
      </c>
    </row>
    <row r="2184" spans="1:3" ht="27.75" thickBot="1">
      <c r="A2184" s="4" t="s">
        <v>4325</v>
      </c>
      <c r="B2184" s="5" t="s">
        <v>1603</v>
      </c>
      <c r="C2184" s="6" t="s">
        <v>4326</v>
      </c>
    </row>
    <row r="2185" spans="1:3" ht="26.25" thickBot="1">
      <c r="A2185" s="4" t="s">
        <v>1756</v>
      </c>
      <c r="B2185" s="5" t="s">
        <v>1599</v>
      </c>
      <c r="C2185" s="6" t="s">
        <v>4327</v>
      </c>
    </row>
    <row r="2186" spans="1:3" ht="26.25" thickBot="1">
      <c r="A2186" s="4" t="s">
        <v>4328</v>
      </c>
      <c r="B2186" s="5" t="s">
        <v>1599</v>
      </c>
      <c r="C2186" s="6" t="s">
        <v>4329</v>
      </c>
    </row>
    <row r="2187" spans="1:3" ht="17.25" thickBot="1">
      <c r="A2187" s="4" t="s">
        <v>4330</v>
      </c>
      <c r="B2187" s="5" t="s">
        <v>1603</v>
      </c>
      <c r="C2187" s="6" t="s">
        <v>4331</v>
      </c>
    </row>
    <row r="2188" spans="1:3" ht="17.25" thickBot="1">
      <c r="A2188" s="4" t="s">
        <v>4332</v>
      </c>
      <c r="B2188" s="5" t="s">
        <v>1603</v>
      </c>
      <c r="C2188" s="6" t="s">
        <v>4333</v>
      </c>
    </row>
    <row r="2189" spans="1:3" ht="17.25" thickBot="1">
      <c r="A2189" s="4" t="s">
        <v>4334</v>
      </c>
      <c r="B2189" s="5" t="s">
        <v>1603</v>
      </c>
      <c r="C2189" s="6" t="s">
        <v>4335</v>
      </c>
    </row>
    <row r="2190" spans="1:3" ht="17.25" thickBot="1">
      <c r="A2190" s="4" t="s">
        <v>4336</v>
      </c>
      <c r="B2190" s="5" t="s">
        <v>1603</v>
      </c>
      <c r="C2190" s="5" t="s">
        <v>4337</v>
      </c>
    </row>
    <row r="2191" spans="1:3" ht="17.25" thickBot="1">
      <c r="A2191" s="4" t="s">
        <v>4338</v>
      </c>
      <c r="B2191" s="5" t="s">
        <v>1603</v>
      </c>
      <c r="C2191" s="6" t="s">
        <v>4339</v>
      </c>
    </row>
    <row r="2192" spans="1:3" ht="17.25" thickBot="1">
      <c r="A2192" s="4" t="s">
        <v>4340</v>
      </c>
      <c r="B2192" s="5" t="s">
        <v>1603</v>
      </c>
      <c r="C2192" s="6" t="s">
        <v>4341</v>
      </c>
    </row>
    <row r="2193" spans="1:3" ht="17.25" thickBot="1">
      <c r="A2193" s="109"/>
    </row>
    <row r="2194" spans="1:3" ht="17.25" thickBot="1">
      <c r="A2194" s="102" t="s">
        <v>1591</v>
      </c>
      <c r="B2194" s="103" t="s">
        <v>1592</v>
      </c>
      <c r="C2194" s="103" t="s">
        <v>1593</v>
      </c>
    </row>
    <row r="2195" spans="1:3" ht="26.25" thickBot="1">
      <c r="A2195" s="4" t="s">
        <v>4342</v>
      </c>
      <c r="B2195" s="5" t="s">
        <v>1603</v>
      </c>
      <c r="C2195" s="6" t="s">
        <v>4343</v>
      </c>
    </row>
    <row r="2196" spans="1:3" ht="17.25" thickBot="1">
      <c r="A2196" s="4" t="s">
        <v>4344</v>
      </c>
      <c r="B2196" s="5" t="s">
        <v>1603</v>
      </c>
      <c r="C2196" s="5" t="s">
        <v>4345</v>
      </c>
    </row>
    <row r="2197" spans="1:3" ht="17.25" thickBot="1">
      <c r="A2197" s="4" t="s">
        <v>4346</v>
      </c>
      <c r="B2197" s="5" t="s">
        <v>1603</v>
      </c>
      <c r="C2197" s="6" t="s">
        <v>4347</v>
      </c>
    </row>
    <row r="2198" spans="1:3" ht="17.25" thickBot="1">
      <c r="A2198" s="4" t="s">
        <v>2327</v>
      </c>
      <c r="B2198" s="5" t="s">
        <v>1603</v>
      </c>
      <c r="C2198" s="6" t="s">
        <v>4348</v>
      </c>
    </row>
    <row r="2199" spans="1:3" ht="17.25" thickBot="1">
      <c r="A2199" s="4" t="s">
        <v>4349</v>
      </c>
      <c r="B2199" s="5" t="s">
        <v>1603</v>
      </c>
      <c r="C2199" s="6" t="s">
        <v>4350</v>
      </c>
    </row>
    <row r="2200" spans="1:3">
      <c r="A2200" s="92" t="s">
        <v>4351</v>
      </c>
      <c r="B2200" s="91" t="s">
        <v>1603</v>
      </c>
      <c r="C2200" s="7" t="s">
        <v>4352</v>
      </c>
    </row>
    <row r="2201" spans="1:3" ht="17.25" thickBot="1">
      <c r="A2201" s="98"/>
      <c r="B2201" s="97"/>
      <c r="C2201" s="5" t="s">
        <v>4353</v>
      </c>
    </row>
    <row r="2202" spans="1:3" ht="17.25" thickBot="1">
      <c r="A2202" s="4" t="s">
        <v>4354</v>
      </c>
      <c r="B2202" s="5" t="s">
        <v>1603</v>
      </c>
      <c r="C2202" s="6" t="s">
        <v>4355</v>
      </c>
    </row>
    <row r="2203" spans="1:3" ht="17.25" thickBot="1">
      <c r="A2203" s="4" t="s">
        <v>4356</v>
      </c>
      <c r="B2203" s="5" t="s">
        <v>1603</v>
      </c>
      <c r="C2203" s="5" t="s">
        <v>4357</v>
      </c>
    </row>
    <row r="2204" spans="1:3" ht="17.25" thickBot="1">
      <c r="A2204" s="4" t="s">
        <v>4358</v>
      </c>
      <c r="B2204" s="5" t="s">
        <v>1603</v>
      </c>
      <c r="C2204" s="6" t="s">
        <v>4359</v>
      </c>
    </row>
    <row r="2205" spans="1:3" ht="17.25" thickBot="1">
      <c r="A2205" s="4" t="s">
        <v>4360</v>
      </c>
      <c r="B2205" s="5" t="s">
        <v>1603</v>
      </c>
      <c r="C2205" s="6" t="s">
        <v>4361</v>
      </c>
    </row>
    <row r="2206" spans="1:3" ht="17.25" thickBot="1">
      <c r="A2206" s="4" t="s">
        <v>4362</v>
      </c>
      <c r="B2206" s="5" t="s">
        <v>1603</v>
      </c>
      <c r="C2206" s="5" t="s">
        <v>4363</v>
      </c>
    </row>
    <row r="2207" spans="1:3" ht="17.25" thickBot="1">
      <c r="A2207" s="4" t="s">
        <v>4364</v>
      </c>
      <c r="B2207" s="5" t="s">
        <v>1603</v>
      </c>
      <c r="C2207" s="6" t="s">
        <v>4365</v>
      </c>
    </row>
    <row r="2208" spans="1:3">
      <c r="A2208" s="92" t="s">
        <v>4366</v>
      </c>
      <c r="B2208" s="91" t="s">
        <v>1603</v>
      </c>
      <c r="C2208" s="7" t="s">
        <v>4367</v>
      </c>
    </row>
    <row r="2209" spans="1:3" ht="26.25" thickBot="1">
      <c r="A2209" s="98"/>
      <c r="B2209" s="97"/>
      <c r="C2209" s="6" t="s">
        <v>4368</v>
      </c>
    </row>
    <row r="2210" spans="1:3" ht="17.25" thickBot="1">
      <c r="A2210" s="4" t="s">
        <v>4369</v>
      </c>
      <c r="B2210" s="5" t="s">
        <v>1603</v>
      </c>
      <c r="C2210" s="6" t="s">
        <v>4370</v>
      </c>
    </row>
    <row r="2211" spans="1:3" ht="17.25" thickBot="1">
      <c r="A2211" s="4" t="s">
        <v>4371</v>
      </c>
      <c r="B2211" s="5" t="s">
        <v>1603</v>
      </c>
      <c r="C2211" s="6" t="s">
        <v>4372</v>
      </c>
    </row>
    <row r="2212" spans="1:3" ht="17.25" thickBot="1">
      <c r="A2212" s="99" t="s">
        <v>1591</v>
      </c>
      <c r="B2212" s="100" t="s">
        <v>1592</v>
      </c>
      <c r="C2212" s="100" t="s">
        <v>1593</v>
      </c>
    </row>
    <row r="2213" spans="1:3" ht="17.25" thickBot="1">
      <c r="A2213" s="4" t="s">
        <v>4373</v>
      </c>
      <c r="B2213" s="5" t="s">
        <v>1603</v>
      </c>
      <c r="C2213" s="6" t="s">
        <v>4374</v>
      </c>
    </row>
    <row r="2214" spans="1:3" ht="27.75" thickBot="1">
      <c r="A2214" s="4" t="s">
        <v>4375</v>
      </c>
      <c r="B2214" s="5" t="s">
        <v>1603</v>
      </c>
      <c r="C2214" s="6" t="s">
        <v>4376</v>
      </c>
    </row>
    <row r="2215" spans="1:3" ht="17.25" thickBot="1">
      <c r="A2215" s="4" t="s">
        <v>4377</v>
      </c>
      <c r="B2215" s="5" t="s">
        <v>1603</v>
      </c>
      <c r="C2215" s="6" t="s">
        <v>4378</v>
      </c>
    </row>
    <row r="2216" spans="1:3" ht="17.25" thickBot="1">
      <c r="A2216" s="4" t="s">
        <v>4379</v>
      </c>
      <c r="B2216" s="5" t="s">
        <v>1603</v>
      </c>
      <c r="C2216" s="5" t="s">
        <v>4380</v>
      </c>
    </row>
    <row r="2217" spans="1:3" ht="27">
      <c r="A2217" s="92" t="s">
        <v>4381</v>
      </c>
      <c r="B2217" s="91" t="s">
        <v>1603</v>
      </c>
      <c r="C2217" s="7" t="s">
        <v>4382</v>
      </c>
    </row>
    <row r="2218" spans="1:3" ht="17.25" thickBot="1">
      <c r="A2218" s="98"/>
      <c r="B2218" s="97"/>
      <c r="C2218" s="5" t="s">
        <v>4383</v>
      </c>
    </row>
    <row r="2219" spans="1:3">
      <c r="A2219" s="92" t="s">
        <v>4384</v>
      </c>
      <c r="B2219" s="91" t="s">
        <v>1603</v>
      </c>
      <c r="C2219" s="8" t="s">
        <v>4385</v>
      </c>
    </row>
    <row r="2220" spans="1:3">
      <c r="A2220" s="171"/>
      <c r="B2220" s="170"/>
      <c r="C2220" s="7" t="s">
        <v>4386</v>
      </c>
    </row>
    <row r="2221" spans="1:3" ht="17.25" thickBot="1">
      <c r="A2221" s="98"/>
      <c r="B2221" s="97"/>
      <c r="C2221" s="5" t="s">
        <v>4387</v>
      </c>
    </row>
    <row r="2222" spans="1:3" ht="17.25" thickBot="1">
      <c r="A2222" s="4" t="s">
        <v>4388</v>
      </c>
      <c r="B2222" s="5" t="s">
        <v>1603</v>
      </c>
      <c r="C2222" s="5" t="s">
        <v>4389</v>
      </c>
    </row>
    <row r="2223" spans="1:3" ht="17.25" thickBot="1">
      <c r="A2223" s="4" t="s">
        <v>4390</v>
      </c>
      <c r="B2223" s="5" t="s">
        <v>1566</v>
      </c>
      <c r="C2223" s="5" t="s">
        <v>4391</v>
      </c>
    </row>
    <row r="2224" spans="1:3" ht="17.25" thickBot="1">
      <c r="A2224" s="4" t="s">
        <v>4392</v>
      </c>
      <c r="B2224" s="5" t="s">
        <v>1603</v>
      </c>
      <c r="C2224" s="5" t="s">
        <v>4393</v>
      </c>
    </row>
    <row r="2225" spans="1:3" ht="17.25" thickBot="1">
      <c r="A2225" s="4" t="s">
        <v>4394</v>
      </c>
      <c r="B2225" s="5" t="s">
        <v>0</v>
      </c>
      <c r="C2225" s="5" t="s">
        <v>4395</v>
      </c>
    </row>
    <row r="2226" spans="1:3">
      <c r="A2226" s="117" t="s">
        <v>4396</v>
      </c>
    </row>
    <row r="2227" spans="1:3">
      <c r="A2227" s="126" t="s">
        <v>4397</v>
      </c>
    </row>
    <row r="2229" spans="1:3">
      <c r="A2229" s="126" t="s">
        <v>2035</v>
      </c>
    </row>
    <row r="2230" spans="1:3" ht="102">
      <c r="A2230" s="105" t="s">
        <v>4398</v>
      </c>
    </row>
    <row r="2231" spans="1:3" ht="63.75">
      <c r="A2231" s="105" t="s">
        <v>4399</v>
      </c>
    </row>
    <row r="2232" spans="1:3">
      <c r="A2232" s="126" t="s">
        <v>4400</v>
      </c>
    </row>
    <row r="2233" spans="1:3">
      <c r="A2233" s="105" t="s">
        <v>4401</v>
      </c>
    </row>
    <row r="2235" spans="1:3">
      <c r="A2235" s="126" t="s">
        <v>4402</v>
      </c>
    </row>
    <row r="2236" spans="1:3">
      <c r="A2236" s="105" t="s">
        <v>4401</v>
      </c>
    </row>
    <row r="2238" spans="1:3">
      <c r="A2238" s="126" t="s">
        <v>4403</v>
      </c>
    </row>
    <row r="2239" spans="1:3">
      <c r="A2239" s="147" t="s">
        <v>4404</v>
      </c>
    </row>
    <row r="2240" spans="1:3">
      <c r="A2240" s="147" t="s">
        <v>4405</v>
      </c>
    </row>
    <row r="2241" spans="1:3">
      <c r="A2241" s="126" t="s">
        <v>4406</v>
      </c>
    </row>
    <row r="2242" spans="1:3">
      <c r="A2242" s="105" t="s">
        <v>4401</v>
      </c>
    </row>
    <row r="2243" spans="1:3">
      <c r="A2243" s="147" t="s">
        <v>4407</v>
      </c>
    </row>
    <row r="2244" spans="1:3">
      <c r="A2244" s="147" t="s">
        <v>4408</v>
      </c>
    </row>
    <row r="2245" spans="1:3">
      <c r="A2245" s="147" t="s">
        <v>4409</v>
      </c>
    </row>
    <row r="2246" spans="1:3">
      <c r="A2246" s="147" t="s">
        <v>4410</v>
      </c>
    </row>
    <row r="2247" spans="1:3">
      <c r="A2247" s="147" t="s">
        <v>4411</v>
      </c>
    </row>
    <row r="2248" spans="1:3">
      <c r="A2248" s="147" t="s">
        <v>4412</v>
      </c>
    </row>
    <row r="2249" spans="1:3">
      <c r="A2249" s="147" t="s">
        <v>4411</v>
      </c>
    </row>
    <row r="2250" spans="1:3">
      <c r="A2250" s="115" t="s">
        <v>4413</v>
      </c>
      <c r="B2250" s="115" t="s">
        <v>4414</v>
      </c>
    </row>
    <row r="2251" spans="1:3" ht="51.75" thickBot="1">
      <c r="A2251" s="105" t="s">
        <v>4415</v>
      </c>
    </row>
    <row r="2252" spans="1:3" ht="17.25" thickBot="1">
      <c r="A2252" s="102" t="s">
        <v>3203</v>
      </c>
      <c r="B2252" s="103" t="s">
        <v>1592</v>
      </c>
      <c r="C2252" s="103" t="s">
        <v>1593</v>
      </c>
    </row>
    <row r="2253" spans="1:3" ht="17.25" thickBot="1">
      <c r="A2253" s="145" t="s">
        <v>4416</v>
      </c>
      <c r="B2253" s="5" t="s">
        <v>4027</v>
      </c>
      <c r="C2253" s="5"/>
    </row>
    <row r="2254" spans="1:3" ht="17.25" thickBot="1">
      <c r="A2254" s="145" t="s">
        <v>4417</v>
      </c>
      <c r="B2254" s="5" t="s">
        <v>1566</v>
      </c>
      <c r="C2254" s="6" t="s">
        <v>4418</v>
      </c>
    </row>
    <row r="2255" spans="1:3" ht="17.25" thickBot="1">
      <c r="A2255" s="145" t="s">
        <v>4419</v>
      </c>
      <c r="B2255" s="5" t="s">
        <v>4420</v>
      </c>
      <c r="C2255" s="5" t="s">
        <v>4421</v>
      </c>
    </row>
    <row r="2256" spans="1:3" ht="17.25" thickBot="1">
      <c r="A2256" s="145" t="s">
        <v>4422</v>
      </c>
      <c r="B2256" s="5" t="s">
        <v>1566</v>
      </c>
      <c r="C2256" s="6" t="s">
        <v>4423</v>
      </c>
    </row>
    <row r="2257" spans="1:3" ht="25.5">
      <c r="A2257" s="176" t="s">
        <v>4424</v>
      </c>
      <c r="B2257" s="91" t="s">
        <v>1566</v>
      </c>
      <c r="C2257" s="7" t="s">
        <v>4425</v>
      </c>
    </row>
    <row r="2258" spans="1:3" ht="17.25" thickBot="1">
      <c r="A2258" s="177"/>
      <c r="B2258" s="97"/>
      <c r="C2258" s="6" t="s">
        <v>4426</v>
      </c>
    </row>
    <row r="2259" spans="1:3" ht="38.25">
      <c r="A2259" s="144" t="s">
        <v>4427</v>
      </c>
      <c r="B2259" s="91" t="s">
        <v>2698</v>
      </c>
      <c r="C2259" s="91" t="s">
        <v>4429</v>
      </c>
    </row>
    <row r="2260" spans="1:3" ht="17.25" thickBot="1">
      <c r="A2260" s="145" t="s">
        <v>4428</v>
      </c>
      <c r="B2260" s="97"/>
      <c r="C2260" s="97"/>
    </row>
    <row r="2261" spans="1:3">
      <c r="A2261" s="117" t="s">
        <v>4430</v>
      </c>
    </row>
    <row r="2262" spans="1:3">
      <c r="A2262" s="115" t="s">
        <v>4431</v>
      </c>
      <c r="B2262" s="115" t="s">
        <v>4432</v>
      </c>
    </row>
    <row r="2263" spans="1:3" ht="102">
      <c r="A2263" s="105" t="s">
        <v>4433</v>
      </c>
    </row>
    <row r="2264" spans="1:3" ht="76.5">
      <c r="A2264" s="105" t="s">
        <v>4434</v>
      </c>
    </row>
    <row r="2265" spans="1:3" ht="17.25" thickBot="1">
      <c r="A2265" s="126" t="s">
        <v>1646</v>
      </c>
    </row>
    <row r="2266" spans="1:3" ht="17.25" thickBot="1">
      <c r="A2266" s="102" t="s">
        <v>1591</v>
      </c>
      <c r="B2266" s="103" t="s">
        <v>1592</v>
      </c>
      <c r="C2266" s="103" t="s">
        <v>1593</v>
      </c>
    </row>
    <row r="2267" spans="1:3" ht="17.25" thickBot="1">
      <c r="A2267" s="4" t="s">
        <v>3954</v>
      </c>
      <c r="B2267" s="5"/>
      <c r="C2267" s="6" t="s">
        <v>2050</v>
      </c>
    </row>
    <row r="2268" spans="1:3" ht="27.75" thickBot="1">
      <c r="A2268" s="4" t="s">
        <v>4435</v>
      </c>
      <c r="B2268" s="5"/>
      <c r="C2268" s="6" t="s">
        <v>4436</v>
      </c>
    </row>
    <row r="2269" spans="1:3">
      <c r="A2269" s="92" t="s">
        <v>4437</v>
      </c>
      <c r="B2269" s="91"/>
      <c r="C2269" s="7" t="s">
        <v>4438</v>
      </c>
    </row>
    <row r="2270" spans="1:3" ht="17.25" thickBot="1">
      <c r="A2270" s="98"/>
      <c r="B2270" s="97"/>
      <c r="C2270" s="6" t="s">
        <v>4439</v>
      </c>
    </row>
    <row r="2271" spans="1:3" ht="17.25" thickBot="1">
      <c r="A2271" s="4" t="s">
        <v>4440</v>
      </c>
      <c r="B2271" s="5"/>
      <c r="C2271" s="6" t="s">
        <v>4441</v>
      </c>
    </row>
    <row r="2272" spans="1:3" ht="17.25" thickBot="1">
      <c r="A2272" s="4" t="s">
        <v>4442</v>
      </c>
      <c r="B2272" s="5"/>
      <c r="C2272" s="5" t="s">
        <v>4443</v>
      </c>
    </row>
    <row r="2273" spans="1:3" ht="17.25" thickBot="1">
      <c r="A2273" s="4" t="s">
        <v>4444</v>
      </c>
      <c r="B2273" s="5"/>
      <c r="C2273" s="6" t="s">
        <v>4445</v>
      </c>
    </row>
    <row r="2274" spans="1:3" ht="17.25" thickBot="1">
      <c r="A2274" s="4" t="s">
        <v>4446</v>
      </c>
      <c r="B2274" s="5"/>
      <c r="C2274" s="6" t="s">
        <v>4447</v>
      </c>
    </row>
    <row r="2275" spans="1:3" ht="17.25" thickBot="1">
      <c r="A2275" s="4" t="s">
        <v>4448</v>
      </c>
      <c r="B2275" s="5"/>
      <c r="C2275" s="6" t="s">
        <v>4449</v>
      </c>
    </row>
    <row r="2276" spans="1:3" ht="17.25" thickBot="1">
      <c r="A2276" s="4" t="s">
        <v>1932</v>
      </c>
      <c r="B2276" s="5"/>
      <c r="C2276" s="6" t="s">
        <v>4450</v>
      </c>
    </row>
    <row r="2277" spans="1:3">
      <c r="A2277" s="92" t="s">
        <v>4451</v>
      </c>
      <c r="B2277" s="91"/>
      <c r="C2277" s="8" t="s">
        <v>4452</v>
      </c>
    </row>
    <row r="2278" spans="1:3" ht="17.25" thickBot="1">
      <c r="A2278" s="98"/>
      <c r="B2278" s="97"/>
      <c r="C2278" s="5" t="s">
        <v>4453</v>
      </c>
    </row>
    <row r="2279" spans="1:3">
      <c r="A2279" s="92" t="s">
        <v>4454</v>
      </c>
      <c r="B2279" s="8" t="s">
        <v>1557</v>
      </c>
      <c r="C2279" s="91" t="s">
        <v>4455</v>
      </c>
    </row>
    <row r="2280" spans="1:3" ht="17.25" thickBot="1">
      <c r="A2280" s="98"/>
      <c r="B2280" s="5" t="s">
        <v>1599</v>
      </c>
      <c r="C2280" s="97"/>
    </row>
    <row r="2281" spans="1:3" ht="26.25" thickBot="1">
      <c r="A2281" s="4" t="s">
        <v>4456</v>
      </c>
      <c r="B2281" s="5" t="s">
        <v>4457</v>
      </c>
      <c r="C2281" s="5" t="s">
        <v>4458</v>
      </c>
    </row>
    <row r="2282" spans="1:3" ht="17.25" thickBot="1">
      <c r="A2282" s="4" t="s">
        <v>4459</v>
      </c>
      <c r="B2282" s="5" t="s">
        <v>1628</v>
      </c>
      <c r="C2282" s="6" t="s">
        <v>4460</v>
      </c>
    </row>
    <row r="2283" spans="1:3" ht="17.25" thickBot="1">
      <c r="A2283" s="4" t="s">
        <v>4461</v>
      </c>
      <c r="B2283" s="5" t="s">
        <v>1599</v>
      </c>
      <c r="C2283" s="5" t="s">
        <v>4462</v>
      </c>
    </row>
    <row r="2284" spans="1:3" ht="17.25" thickBot="1">
      <c r="A2284" s="4" t="s">
        <v>4463</v>
      </c>
      <c r="B2284" s="5" t="s">
        <v>1599</v>
      </c>
      <c r="C2284" s="5" t="s">
        <v>4464</v>
      </c>
    </row>
    <row r="2285" spans="1:3" ht="17.25" thickBot="1">
      <c r="A2285" s="4" t="s">
        <v>4465</v>
      </c>
      <c r="B2285" s="5" t="s">
        <v>1628</v>
      </c>
      <c r="C2285" s="6" t="s">
        <v>4466</v>
      </c>
    </row>
    <row r="2286" spans="1:3" ht="17.25" thickBot="1">
      <c r="A2286" s="99" t="s">
        <v>1591</v>
      </c>
      <c r="B2286" s="100" t="s">
        <v>1592</v>
      </c>
      <c r="C2286" s="100" t="s">
        <v>1593</v>
      </c>
    </row>
    <row r="2287" spans="1:3" ht="17.25" thickBot="1">
      <c r="A2287" s="4" t="s">
        <v>4467</v>
      </c>
      <c r="B2287" s="5" t="s">
        <v>1599</v>
      </c>
      <c r="C2287" s="6" t="s">
        <v>4468</v>
      </c>
    </row>
    <row r="2288" spans="1:3" ht="17.25" thickBot="1">
      <c r="A2288" s="4" t="s">
        <v>4469</v>
      </c>
      <c r="B2288" s="5" t="s">
        <v>1599</v>
      </c>
      <c r="C2288" s="6" t="s">
        <v>4470</v>
      </c>
    </row>
    <row r="2289" spans="1:3">
      <c r="A2289" s="117" t="s">
        <v>4471</v>
      </c>
    </row>
    <row r="2290" spans="1:3">
      <c r="A2290" s="115" t="s">
        <v>4472</v>
      </c>
      <c r="B2290" s="115" t="s">
        <v>4473</v>
      </c>
    </row>
    <row r="2291" spans="1:3" ht="17.25" thickBot="1">
      <c r="A2291" s="126" t="s">
        <v>1874</v>
      </c>
    </row>
    <row r="2292" spans="1:3" ht="17.25" thickBot="1">
      <c r="A2292" s="102" t="s">
        <v>1591</v>
      </c>
      <c r="B2292" s="103" t="s">
        <v>1635</v>
      </c>
      <c r="C2292" s="103" t="s">
        <v>1593</v>
      </c>
    </row>
    <row r="2293" spans="1:3" ht="17.25" thickBot="1">
      <c r="A2293" s="4" t="s">
        <v>2269</v>
      </c>
      <c r="B2293" s="5" t="s">
        <v>1603</v>
      </c>
      <c r="C2293" s="5" t="s">
        <v>4474</v>
      </c>
    </row>
    <row r="2294" spans="1:3" ht="17.25" thickBot="1">
      <c r="A2294" s="4" t="s">
        <v>2271</v>
      </c>
      <c r="B2294" s="5" t="s">
        <v>1603</v>
      </c>
      <c r="C2294" s="5" t="s">
        <v>4475</v>
      </c>
    </row>
    <row r="2295" spans="1:3">
      <c r="A2295" s="92" t="s">
        <v>2289</v>
      </c>
      <c r="B2295" s="91" t="s">
        <v>1603</v>
      </c>
      <c r="C2295" s="8" t="s">
        <v>4476</v>
      </c>
    </row>
    <row r="2296" spans="1:3" ht="17.25" thickBot="1">
      <c r="A2296" s="98"/>
      <c r="B2296" s="97"/>
      <c r="C2296" s="5" t="s">
        <v>4477</v>
      </c>
    </row>
    <row r="2297" spans="1:3">
      <c r="A2297" s="117" t="s">
        <v>4478</v>
      </c>
    </row>
    <row r="2298" spans="1:3">
      <c r="A2298" s="126" t="s">
        <v>1646</v>
      </c>
    </row>
    <row r="2299" spans="1:3" ht="26.25" thickBot="1">
      <c r="A2299" s="105" t="s">
        <v>1694</v>
      </c>
    </row>
    <row r="2300" spans="1:3" ht="17.25" thickBot="1">
      <c r="A2300" s="102" t="s">
        <v>1591</v>
      </c>
      <c r="B2300" s="103" t="s">
        <v>1592</v>
      </c>
      <c r="C2300" s="103" t="s">
        <v>1593</v>
      </c>
    </row>
    <row r="2301" spans="1:3" ht="17.25" thickBot="1">
      <c r="A2301" s="4" t="s">
        <v>4479</v>
      </c>
      <c r="B2301" s="5" t="s">
        <v>2982</v>
      </c>
      <c r="C2301" s="5" t="s">
        <v>4480</v>
      </c>
    </row>
    <row r="2302" spans="1:3" ht="17.25" thickBot="1">
      <c r="A2302" s="4" t="s">
        <v>3659</v>
      </c>
      <c r="B2302" s="5" t="s">
        <v>4481</v>
      </c>
      <c r="C2302" s="5" t="s">
        <v>4482</v>
      </c>
    </row>
    <row r="2303" spans="1:3" ht="17.25" thickBot="1">
      <c r="A2303" s="4" t="s">
        <v>4483</v>
      </c>
      <c r="B2303" s="5" t="s">
        <v>1622</v>
      </c>
      <c r="C2303" s="6" t="s">
        <v>4484</v>
      </c>
    </row>
    <row r="2304" spans="1:3" ht="17.25" thickBot="1">
      <c r="A2304" s="4" t="s">
        <v>4485</v>
      </c>
      <c r="B2304" s="5" t="s">
        <v>1622</v>
      </c>
      <c r="C2304" s="6" t="s">
        <v>4486</v>
      </c>
    </row>
    <row r="2305" spans="1:3">
      <c r="A2305" s="117" t="s">
        <v>4487</v>
      </c>
    </row>
    <row r="2306" spans="1:3" ht="25.5">
      <c r="A2306" s="105" t="s">
        <v>4488</v>
      </c>
    </row>
    <row r="2307" spans="1:3">
      <c r="A2307" s="147" t="s">
        <v>4489</v>
      </c>
    </row>
    <row r="2308" spans="1:3">
      <c r="A2308" s="147" t="s">
        <v>4490</v>
      </c>
    </row>
    <row r="2309" spans="1:3">
      <c r="A2309" s="147" t="s">
        <v>4491</v>
      </c>
    </row>
    <row r="2310" spans="1:3">
      <c r="A2310" s="147" t="s">
        <v>4492</v>
      </c>
    </row>
    <row r="2311" spans="1:3" ht="51">
      <c r="A2311" s="105" t="s">
        <v>4493</v>
      </c>
    </row>
    <row r="2312" spans="1:3" ht="51">
      <c r="A2312" s="105" t="s">
        <v>2996</v>
      </c>
    </row>
    <row r="2313" spans="1:3">
      <c r="A2313" s="126" t="s">
        <v>1888</v>
      </c>
    </row>
    <row r="2314" spans="1:3">
      <c r="B2314" s="148" t="s">
        <v>4494</v>
      </c>
      <c r="C2314" s="109" t="s">
        <v>4495</v>
      </c>
    </row>
    <row r="2315" spans="1:3">
      <c r="A2315" s="115" t="s">
        <v>4496</v>
      </c>
      <c r="B2315" s="115" t="s">
        <v>4497</v>
      </c>
    </row>
    <row r="2316" spans="1:3" ht="17.25" thickBot="1">
      <c r="A2316" s="126" t="s">
        <v>1874</v>
      </c>
    </row>
    <row r="2317" spans="1:3" ht="17.25" thickBot="1">
      <c r="A2317" s="102" t="s">
        <v>1591</v>
      </c>
      <c r="B2317" s="103" t="s">
        <v>1635</v>
      </c>
      <c r="C2317" s="103" t="s">
        <v>1593</v>
      </c>
    </row>
    <row r="2318" spans="1:3">
      <c r="A2318" s="92" t="s">
        <v>2002</v>
      </c>
      <c r="B2318" s="8" t="s">
        <v>1603</v>
      </c>
      <c r="C2318" s="91" t="s">
        <v>4498</v>
      </c>
    </row>
    <row r="2319" spans="1:3" ht="17.25" thickBot="1">
      <c r="A2319" s="98"/>
      <c r="B2319" s="5" t="s">
        <v>1550</v>
      </c>
      <c r="C2319" s="97"/>
    </row>
    <row r="2320" spans="1:3">
      <c r="A2320" s="92" t="s">
        <v>4499</v>
      </c>
      <c r="B2320" s="8" t="s">
        <v>2112</v>
      </c>
      <c r="C2320" s="91" t="s">
        <v>4500</v>
      </c>
    </row>
    <row r="2321" spans="1:3" ht="17.25" thickBot="1">
      <c r="A2321" s="98"/>
      <c r="B2321" s="5" t="s">
        <v>2657</v>
      </c>
      <c r="C2321" s="97"/>
    </row>
    <row r="2322" spans="1:3">
      <c r="A2322" s="92" t="s">
        <v>4499</v>
      </c>
      <c r="B2322" s="8" t="s">
        <v>1566</v>
      </c>
      <c r="C2322" s="91" t="s">
        <v>4501</v>
      </c>
    </row>
    <row r="2323" spans="1:3" ht="17.25" thickBot="1">
      <c r="A2323" s="98"/>
      <c r="B2323" s="5" t="s">
        <v>1550</v>
      </c>
      <c r="C2323" s="97"/>
    </row>
    <row r="2324" spans="1:3">
      <c r="A2324" s="92" t="s">
        <v>2002</v>
      </c>
      <c r="B2324" s="8" t="s">
        <v>4502</v>
      </c>
      <c r="C2324" s="91" t="s">
        <v>4504</v>
      </c>
    </row>
    <row r="2325" spans="1:3">
      <c r="A2325" s="171"/>
      <c r="B2325" s="8" t="s">
        <v>4503</v>
      </c>
      <c r="C2325" s="170"/>
    </row>
    <row r="2326" spans="1:3" ht="17.25" thickBot="1">
      <c r="A2326" s="98"/>
      <c r="B2326" s="5" t="s">
        <v>1550</v>
      </c>
      <c r="C2326" s="97"/>
    </row>
    <row r="2327" spans="1:3" ht="17.25" thickBot="1">
      <c r="A2327" s="4" t="s">
        <v>4505</v>
      </c>
      <c r="B2327" s="5" t="s">
        <v>2119</v>
      </c>
      <c r="C2327" s="5" t="s">
        <v>4506</v>
      </c>
    </row>
    <row r="2328" spans="1:3" ht="25.5">
      <c r="A2328" s="92" t="s">
        <v>4507</v>
      </c>
      <c r="B2328" s="8" t="s">
        <v>1566</v>
      </c>
      <c r="C2328" s="91" t="s">
        <v>4508</v>
      </c>
    </row>
    <row r="2329" spans="1:3" ht="17.25" thickBot="1">
      <c r="A2329" s="98"/>
      <c r="B2329" s="5" t="s">
        <v>2523</v>
      </c>
      <c r="C2329" s="97"/>
    </row>
    <row r="2330" spans="1:3" ht="17.25" thickBot="1">
      <c r="A2330" s="4" t="s">
        <v>4509</v>
      </c>
      <c r="B2330" s="5" t="s">
        <v>2119</v>
      </c>
      <c r="C2330" s="6" t="s">
        <v>4510</v>
      </c>
    </row>
    <row r="2331" spans="1:3">
      <c r="A2331" s="92" t="s">
        <v>2129</v>
      </c>
      <c r="B2331" s="8" t="s">
        <v>2660</v>
      </c>
      <c r="C2331" s="91" t="s">
        <v>4511</v>
      </c>
    </row>
    <row r="2332" spans="1:3" ht="17.25" thickBot="1">
      <c r="A2332" s="98"/>
      <c r="B2332" s="5" t="s">
        <v>2884</v>
      </c>
      <c r="C2332" s="97"/>
    </row>
    <row r="2333" spans="1:3">
      <c r="A2333" s="92" t="s">
        <v>4512</v>
      </c>
      <c r="B2333" s="8" t="s">
        <v>1603</v>
      </c>
      <c r="C2333" s="91" t="s">
        <v>4513</v>
      </c>
    </row>
    <row r="2334" spans="1:3" ht="17.25" thickBot="1">
      <c r="A2334" s="98"/>
      <c r="B2334" s="5" t="s">
        <v>1550</v>
      </c>
      <c r="C2334" s="97"/>
    </row>
    <row r="2335" spans="1:3" ht="17.25" thickBot="1">
      <c r="A2335" s="99" t="s">
        <v>1591</v>
      </c>
      <c r="B2335" s="100" t="s">
        <v>1635</v>
      </c>
      <c r="C2335" s="100" t="s">
        <v>1593</v>
      </c>
    </row>
    <row r="2336" spans="1:3">
      <c r="A2336" s="92" t="s">
        <v>2127</v>
      </c>
      <c r="B2336" s="8" t="s">
        <v>1566</v>
      </c>
      <c r="C2336" s="91" t="s">
        <v>4514</v>
      </c>
    </row>
    <row r="2337" spans="1:3" ht="17.25" thickBot="1">
      <c r="A2337" s="98"/>
      <c r="B2337" s="5" t="s">
        <v>1550</v>
      </c>
      <c r="C2337" s="97"/>
    </row>
    <row r="2338" spans="1:3">
      <c r="A2338" s="117" t="s">
        <v>4515</v>
      </c>
    </row>
    <row r="2339" spans="1:3" ht="17.25" thickBot="1">
      <c r="A2339" s="126" t="s">
        <v>1646</v>
      </c>
    </row>
    <row r="2340" spans="1:3" ht="17.25" thickBot="1">
      <c r="A2340" s="102" t="s">
        <v>1591</v>
      </c>
      <c r="B2340" s="103" t="s">
        <v>1592</v>
      </c>
      <c r="C2340" s="103" t="s">
        <v>1593</v>
      </c>
    </row>
    <row r="2341" spans="1:3" ht="17.25" thickBot="1">
      <c r="A2341" s="4" t="s">
        <v>1903</v>
      </c>
      <c r="B2341" s="5" t="s">
        <v>1603</v>
      </c>
      <c r="C2341" s="5" t="s">
        <v>2012</v>
      </c>
    </row>
    <row r="2342" spans="1:3" ht="17.25" thickBot="1">
      <c r="A2342" s="4" t="s">
        <v>1912</v>
      </c>
      <c r="B2342" s="5" t="s">
        <v>1603</v>
      </c>
      <c r="C2342" s="5" t="s">
        <v>2013</v>
      </c>
    </row>
    <row r="2343" spans="1:3" ht="17.25" thickBot="1">
      <c r="A2343" s="4" t="s">
        <v>1915</v>
      </c>
      <c r="B2343" s="5" t="s">
        <v>1624</v>
      </c>
      <c r="C2343" s="5" t="s">
        <v>2014</v>
      </c>
    </row>
    <row r="2344" spans="1:3" ht="17.25" thickBot="1">
      <c r="A2344" s="4" t="s">
        <v>1775</v>
      </c>
      <c r="B2344" s="6" t="s">
        <v>1632</v>
      </c>
      <c r="C2344" s="5" t="s">
        <v>4516</v>
      </c>
    </row>
    <row r="2345" spans="1:3" ht="17.25" thickBot="1">
      <c r="A2345" s="4" t="s">
        <v>4517</v>
      </c>
      <c r="B2345" s="6" t="s">
        <v>1632</v>
      </c>
      <c r="C2345" s="6" t="s">
        <v>4518</v>
      </c>
    </row>
    <row r="2346" spans="1:3" ht="17.25" thickBot="1">
      <c r="A2346" s="4" t="s">
        <v>2021</v>
      </c>
      <c r="B2346" s="6" t="s">
        <v>1632</v>
      </c>
      <c r="C2346" s="5" t="s">
        <v>2022</v>
      </c>
    </row>
    <row r="2347" spans="1:3" ht="17.25" thickBot="1">
      <c r="A2347" s="4" t="s">
        <v>2028</v>
      </c>
      <c r="B2347" s="6" t="s">
        <v>1632</v>
      </c>
      <c r="C2347" s="5" t="s">
        <v>4004</v>
      </c>
    </row>
    <row r="2348" spans="1:3" ht="17.25" thickBot="1">
      <c r="A2348" s="4" t="s">
        <v>2023</v>
      </c>
      <c r="B2348" s="6" t="s">
        <v>1632</v>
      </c>
      <c r="C2348" s="5" t="s">
        <v>2158</v>
      </c>
    </row>
    <row r="2349" spans="1:3" ht="27.75" thickBot="1">
      <c r="A2349" s="4" t="s">
        <v>4519</v>
      </c>
      <c r="B2349" s="6" t="s">
        <v>1632</v>
      </c>
      <c r="C2349" s="6" t="s">
        <v>4520</v>
      </c>
    </row>
    <row r="2350" spans="1:3" ht="17.25" thickBot="1">
      <c r="A2350" s="4" t="s">
        <v>2019</v>
      </c>
      <c r="B2350" s="5" t="s">
        <v>1625</v>
      </c>
      <c r="C2350" s="6" t="s">
        <v>2160</v>
      </c>
    </row>
    <row r="2351" spans="1:3" ht="17.25" thickBot="1">
      <c r="A2351" s="4" t="s">
        <v>1922</v>
      </c>
      <c r="B2351" s="5" t="s">
        <v>1566</v>
      </c>
      <c r="C2351" s="5" t="s">
        <v>2161</v>
      </c>
    </row>
    <row r="2352" spans="1:3" ht="17.25" thickBot="1">
      <c r="A2352" s="4" t="s">
        <v>1924</v>
      </c>
      <c r="B2352" s="5" t="s">
        <v>1603</v>
      </c>
      <c r="C2352" s="6" t="s">
        <v>4521</v>
      </c>
    </row>
    <row r="2353" spans="1:3" ht="17.25" thickBot="1">
      <c r="A2353" s="99" t="s">
        <v>1591</v>
      </c>
      <c r="B2353" s="100" t="s">
        <v>1592</v>
      </c>
      <c r="C2353" s="100" t="s">
        <v>1593</v>
      </c>
    </row>
    <row r="2354" spans="1:3" ht="38.25">
      <c r="A2354" s="144" t="s">
        <v>4522</v>
      </c>
      <c r="B2354" s="91" t="s">
        <v>1632</v>
      </c>
      <c r="C2354" s="7" t="s">
        <v>4524</v>
      </c>
    </row>
    <row r="2355" spans="1:3">
      <c r="A2355" s="144" t="s">
        <v>4523</v>
      </c>
      <c r="B2355" s="170"/>
      <c r="C2355" s="7" t="s">
        <v>4525</v>
      </c>
    </row>
    <row r="2356" spans="1:3">
      <c r="A2356" s="112"/>
      <c r="B2356" s="170"/>
      <c r="C2356" s="8" t="s">
        <v>4526</v>
      </c>
    </row>
    <row r="2357" spans="1:3">
      <c r="A2357" s="112"/>
      <c r="B2357" s="170"/>
      <c r="C2357" s="7" t="s">
        <v>4527</v>
      </c>
    </row>
    <row r="2358" spans="1:3" ht="17.25" thickBot="1">
      <c r="A2358" s="113"/>
      <c r="B2358" s="97"/>
      <c r="C2358" s="6" t="s">
        <v>4528</v>
      </c>
    </row>
    <row r="2359" spans="1:3">
      <c r="A2359" s="117" t="s">
        <v>4529</v>
      </c>
    </row>
    <row r="2360" spans="1:3">
      <c r="A2360" s="126" t="s">
        <v>1888</v>
      </c>
    </row>
    <row r="2361" spans="1:3" ht="38.25">
      <c r="A2361" s="105" t="s">
        <v>4530</v>
      </c>
    </row>
    <row r="2362" spans="1:3" ht="140.25">
      <c r="A2362" s="105" t="s">
        <v>4531</v>
      </c>
    </row>
    <row r="2363" spans="1:3" ht="63.75">
      <c r="A2363" s="105" t="s">
        <v>4532</v>
      </c>
    </row>
    <row r="2364" spans="1:3">
      <c r="A2364" s="164" t="s">
        <v>4533</v>
      </c>
    </row>
    <row r="2365" spans="1:3">
      <c r="B2365" s="129" t="s">
        <v>1640</v>
      </c>
      <c r="C2365" s="129" t="s">
        <v>1641</v>
      </c>
    </row>
    <row r="2366" spans="1:3">
      <c r="A2366" s="152" t="s">
        <v>4534</v>
      </c>
    </row>
    <row r="2367" spans="1:3">
      <c r="A2367" s="153" t="s">
        <v>4535</v>
      </c>
    </row>
    <row r="2368" spans="1:3">
      <c r="A2368" s="153" t="s">
        <v>4536</v>
      </c>
    </row>
    <row r="2369" spans="1:3">
      <c r="A2369" s="153" t="s">
        <v>2201</v>
      </c>
    </row>
    <row r="2370" spans="1:3">
      <c r="A2370" s="153" t="s">
        <v>4537</v>
      </c>
    </row>
    <row r="2371" spans="1:3">
      <c r="A2371" s="153" t="s">
        <v>4538</v>
      </c>
      <c r="B2371" s="153" t="s">
        <v>4539</v>
      </c>
    </row>
    <row r="2372" spans="1:3">
      <c r="B2372" s="129" t="s">
        <v>1641</v>
      </c>
      <c r="C2372" s="129" t="s">
        <v>1640</v>
      </c>
    </row>
    <row r="2373" spans="1:3">
      <c r="A2373" s="128" t="s">
        <v>4540</v>
      </c>
    </row>
    <row r="2374" spans="1:3">
      <c r="A2374" s="131" t="s">
        <v>4541</v>
      </c>
    </row>
    <row r="2375" spans="1:3">
      <c r="A2375" s="131" t="s">
        <v>4542</v>
      </c>
    </row>
    <row r="2376" spans="1:3">
      <c r="A2376" s="130" t="s">
        <v>4543</v>
      </c>
    </row>
    <row r="2377" spans="1:3">
      <c r="A2377" s="142" t="s">
        <v>4544</v>
      </c>
    </row>
    <row r="2378" spans="1:3">
      <c r="A2378" s="165" t="s">
        <v>4545</v>
      </c>
      <c r="B2378" s="161" t="s">
        <v>4546</v>
      </c>
    </row>
    <row r="2379" spans="1:3" ht="51">
      <c r="A2379" s="105" t="s">
        <v>4547</v>
      </c>
    </row>
    <row r="2380" spans="1:3" ht="51">
      <c r="A2380" s="106" t="s">
        <v>4548</v>
      </c>
    </row>
    <row r="2381" spans="1:3" ht="38.25">
      <c r="A2381" s="105" t="s">
        <v>3266</v>
      </c>
    </row>
    <row r="2382" spans="1:3">
      <c r="A2382" s="115" t="s">
        <v>4549</v>
      </c>
      <c r="B2382" s="115" t="s">
        <v>4550</v>
      </c>
    </row>
    <row r="2383" spans="1:3" ht="17.25" thickBot="1">
      <c r="A2383" s="126" t="s">
        <v>1874</v>
      </c>
    </row>
    <row r="2384" spans="1:3" ht="17.25" thickBot="1">
      <c r="A2384" s="102" t="s">
        <v>1591</v>
      </c>
      <c r="B2384" s="103" t="s">
        <v>1635</v>
      </c>
      <c r="C2384" s="103" t="s">
        <v>1593</v>
      </c>
    </row>
    <row r="2385" spans="1:3">
      <c r="A2385" s="92" t="s">
        <v>2002</v>
      </c>
      <c r="B2385" s="7" t="s">
        <v>2116</v>
      </c>
      <c r="C2385" s="91" t="s">
        <v>4551</v>
      </c>
    </row>
    <row r="2386" spans="1:3">
      <c r="A2386" s="171"/>
      <c r="B2386" s="8" t="s">
        <v>1603</v>
      </c>
      <c r="C2386" s="170"/>
    </row>
    <row r="2387" spans="1:3" ht="17.25" thickBot="1">
      <c r="A2387" s="98"/>
      <c r="B2387" s="5" t="s">
        <v>2349</v>
      </c>
      <c r="C2387" s="97"/>
    </row>
    <row r="2388" spans="1:3">
      <c r="A2388" s="92" t="s">
        <v>4552</v>
      </c>
      <c r="B2388" s="8" t="s">
        <v>2660</v>
      </c>
      <c r="C2388" s="91" t="s">
        <v>4553</v>
      </c>
    </row>
    <row r="2389" spans="1:3" ht="17.25" thickBot="1">
      <c r="A2389" s="98"/>
      <c r="B2389" s="5" t="s">
        <v>2884</v>
      </c>
      <c r="C2389" s="97"/>
    </row>
    <row r="2390" spans="1:3">
      <c r="A2390" s="117" t="s">
        <v>4554</v>
      </c>
    </row>
    <row r="2391" spans="1:3" ht="17.25" thickBot="1">
      <c r="A2391" s="126" t="s">
        <v>1646</v>
      </c>
    </row>
    <row r="2392" spans="1:3" ht="17.25" thickBot="1">
      <c r="A2392" s="102" t="s">
        <v>1591</v>
      </c>
      <c r="B2392" s="103" t="s">
        <v>1592</v>
      </c>
      <c r="C2392" s="172" t="s">
        <v>1593</v>
      </c>
    </row>
    <row r="2393" spans="1:3">
      <c r="A2393" s="92" t="s">
        <v>1903</v>
      </c>
      <c r="B2393" s="91" t="s">
        <v>1603</v>
      </c>
      <c r="C2393" s="179" t="s">
        <v>4555</v>
      </c>
    </row>
    <row r="2394" spans="1:3" ht="17.25" thickBot="1">
      <c r="A2394" s="98"/>
      <c r="B2394" s="97"/>
      <c r="C2394" s="181" t="s">
        <v>4556</v>
      </c>
    </row>
    <row r="2395" spans="1:3">
      <c r="A2395" s="92" t="s">
        <v>1912</v>
      </c>
      <c r="B2395" s="91" t="s">
        <v>1603</v>
      </c>
      <c r="C2395" s="179" t="s">
        <v>4557</v>
      </c>
    </row>
    <row r="2396" spans="1:3" ht="17.25" thickBot="1">
      <c r="A2396" s="98"/>
      <c r="B2396" s="97"/>
      <c r="C2396" s="181" t="s">
        <v>4558</v>
      </c>
    </row>
    <row r="2397" spans="1:3" ht="17.25" thickBot="1">
      <c r="A2397" s="4" t="s">
        <v>1915</v>
      </c>
      <c r="B2397" s="5" t="s">
        <v>1624</v>
      </c>
      <c r="C2397" s="174" t="s">
        <v>2014</v>
      </c>
    </row>
    <row r="2398" spans="1:3" ht="17.25" thickBot="1">
      <c r="A2398" s="4" t="s">
        <v>1775</v>
      </c>
      <c r="B2398" s="6" t="s">
        <v>1632</v>
      </c>
      <c r="C2398" s="174" t="s">
        <v>4559</v>
      </c>
    </row>
    <row r="2399" spans="1:3" ht="17.25" thickBot="1">
      <c r="A2399" s="4" t="s">
        <v>4560</v>
      </c>
      <c r="B2399" s="5" t="s">
        <v>1603</v>
      </c>
      <c r="C2399" s="174" t="s">
        <v>4561</v>
      </c>
    </row>
    <row r="2400" spans="1:3" ht="17.25" thickBot="1">
      <c r="A2400" s="4" t="s">
        <v>4562</v>
      </c>
      <c r="B2400" s="6" t="s">
        <v>1632</v>
      </c>
      <c r="C2400" s="111" t="s">
        <v>4563</v>
      </c>
    </row>
    <row r="2401" spans="1:3" ht="17.25" thickBot="1">
      <c r="A2401" s="4" t="s">
        <v>4564</v>
      </c>
      <c r="B2401" s="5" t="s">
        <v>4565</v>
      </c>
      <c r="C2401" s="111" t="s">
        <v>4566</v>
      </c>
    </row>
    <row r="2402" spans="1:3" ht="17.25" thickBot="1">
      <c r="A2402" s="4" t="s">
        <v>4567</v>
      </c>
      <c r="B2402" s="6" t="s">
        <v>1632</v>
      </c>
      <c r="C2402" s="111" t="s">
        <v>4568</v>
      </c>
    </row>
    <row r="2403" spans="1:3" ht="17.25" thickBot="1">
      <c r="A2403" s="4" t="s">
        <v>4569</v>
      </c>
      <c r="B2403" s="6" t="s">
        <v>1632</v>
      </c>
      <c r="C2403" s="111" t="s">
        <v>4568</v>
      </c>
    </row>
    <row r="2404" spans="1:3" ht="17.25" thickBot="1">
      <c r="A2404" s="4" t="s">
        <v>4517</v>
      </c>
      <c r="B2404" s="6" t="s">
        <v>1632</v>
      </c>
      <c r="C2404" s="111" t="s">
        <v>4570</v>
      </c>
    </row>
    <row r="2405" spans="1:3" ht="17.25" thickBot="1">
      <c r="A2405" s="4" t="s">
        <v>2552</v>
      </c>
      <c r="B2405" s="6" t="s">
        <v>1632</v>
      </c>
      <c r="C2405" s="174" t="s">
        <v>2016</v>
      </c>
    </row>
    <row r="2406" spans="1:3" ht="17.25" thickBot="1">
      <c r="A2406" s="4" t="s">
        <v>2554</v>
      </c>
      <c r="B2406" s="6" t="s">
        <v>1632</v>
      </c>
      <c r="C2406" s="174" t="s">
        <v>2018</v>
      </c>
    </row>
    <row r="2407" spans="1:3" ht="17.25" thickBot="1">
      <c r="A2407" s="99" t="s">
        <v>1591</v>
      </c>
      <c r="B2407" s="100" t="s">
        <v>1592</v>
      </c>
      <c r="C2407" s="172" t="s">
        <v>1593</v>
      </c>
    </row>
    <row r="2408" spans="1:3" ht="17.25" thickBot="1">
      <c r="A2408" s="4" t="s">
        <v>2019</v>
      </c>
      <c r="B2408" s="5" t="s">
        <v>1625</v>
      </c>
      <c r="C2408" s="174" t="s">
        <v>2160</v>
      </c>
    </row>
    <row r="2409" spans="1:3" ht="17.25" thickBot="1">
      <c r="A2409" s="4" t="s">
        <v>2028</v>
      </c>
      <c r="B2409" s="6" t="s">
        <v>1632</v>
      </c>
      <c r="C2409" s="174" t="s">
        <v>4004</v>
      </c>
    </row>
    <row r="2410" spans="1:3" ht="17.25" thickBot="1">
      <c r="A2410" s="4" t="s">
        <v>2023</v>
      </c>
      <c r="B2410" s="6" t="s">
        <v>1632</v>
      </c>
      <c r="C2410" s="174" t="s">
        <v>2158</v>
      </c>
    </row>
    <row r="2411" spans="1:3" ht="17.25" thickBot="1">
      <c r="A2411" s="4" t="s">
        <v>1922</v>
      </c>
      <c r="B2411" s="5" t="s">
        <v>1566</v>
      </c>
      <c r="C2411" s="174" t="s">
        <v>2161</v>
      </c>
    </row>
    <row r="2412" spans="1:3" ht="17.25" thickBot="1">
      <c r="A2412" s="4" t="s">
        <v>1924</v>
      </c>
      <c r="B2412" s="5" t="s">
        <v>1603</v>
      </c>
      <c r="C2412" s="174" t="s">
        <v>2162</v>
      </c>
    </row>
    <row r="2413" spans="1:3">
      <c r="A2413" s="92" t="s">
        <v>2025</v>
      </c>
      <c r="B2413" s="91" t="s">
        <v>1603</v>
      </c>
      <c r="C2413" s="179" t="s">
        <v>2930</v>
      </c>
    </row>
    <row r="2414" spans="1:3" ht="39" thickBot="1">
      <c r="A2414" s="98"/>
      <c r="B2414" s="97"/>
      <c r="C2414" s="181" t="s">
        <v>2027</v>
      </c>
    </row>
    <row r="2415" spans="1:3">
      <c r="A2415" s="117" t="s">
        <v>4571</v>
      </c>
    </row>
    <row r="2416" spans="1:3">
      <c r="A2416" s="126" t="s">
        <v>1888</v>
      </c>
    </row>
    <row r="2417" spans="1:3" ht="114.75">
      <c r="A2417" s="105" t="s">
        <v>4572</v>
      </c>
    </row>
    <row r="2418" spans="1:3" ht="38.25">
      <c r="A2418" s="105" t="s">
        <v>4573</v>
      </c>
    </row>
    <row r="2419" spans="1:3" ht="63.75">
      <c r="A2419" s="105" t="s">
        <v>4574</v>
      </c>
    </row>
    <row r="2420" spans="1:3" ht="63.75">
      <c r="A2420" s="105" t="s">
        <v>4575</v>
      </c>
    </row>
    <row r="2421" spans="1:3" ht="63.75">
      <c r="A2421" s="105" t="s">
        <v>4576</v>
      </c>
    </row>
    <row r="2422" spans="1:3">
      <c r="A2422" s="116" t="s">
        <v>1719</v>
      </c>
    </row>
    <row r="2423" spans="1:3">
      <c r="A2423" s="121" t="s">
        <v>4577</v>
      </c>
    </row>
    <row r="2424" spans="1:3">
      <c r="B2424" s="120" t="s">
        <v>1640</v>
      </c>
      <c r="C2424" s="120" t="s">
        <v>1641</v>
      </c>
    </row>
    <row r="2425" spans="1:3">
      <c r="A2425" s="125" t="s">
        <v>4578</v>
      </c>
    </row>
    <row r="2426" spans="1:3">
      <c r="A2426" s="121" t="s">
        <v>4147</v>
      </c>
    </row>
    <row r="2427" spans="1:3">
      <c r="A2427" s="121" t="s">
        <v>4579</v>
      </c>
    </row>
    <row r="2428" spans="1:3">
      <c r="A2428" s="121" t="s">
        <v>4580</v>
      </c>
    </row>
    <row r="2429" spans="1:3">
      <c r="A2429" s="125" t="s">
        <v>4581</v>
      </c>
    </row>
    <row r="2430" spans="1:3">
      <c r="A2430" s="121" t="s">
        <v>4582</v>
      </c>
    </row>
    <row r="2431" spans="1:3">
      <c r="B2431" s="114" t="s">
        <v>4583</v>
      </c>
      <c r="C2431" s="114" t="s">
        <v>4584</v>
      </c>
    </row>
    <row r="2432" spans="1:3" ht="38.25">
      <c r="A2432" s="106" t="s">
        <v>2034</v>
      </c>
    </row>
    <row r="2433" spans="1:3">
      <c r="A2433" s="115" t="s">
        <v>4585</v>
      </c>
      <c r="B2433" s="115" t="s">
        <v>4586</v>
      </c>
    </row>
    <row r="2434" spans="1:3" ht="17.25" thickBot="1">
      <c r="A2434" s="126" t="s">
        <v>1963</v>
      </c>
    </row>
    <row r="2435" spans="1:3" ht="17.25" thickBot="1">
      <c r="A2435" s="102" t="s">
        <v>1591</v>
      </c>
      <c r="B2435" s="103" t="s">
        <v>1635</v>
      </c>
      <c r="C2435" s="110" t="s">
        <v>1593</v>
      </c>
    </row>
    <row r="2436" spans="1:3">
      <c r="A2436" s="92" t="s">
        <v>2002</v>
      </c>
      <c r="B2436" s="8" t="s">
        <v>1566</v>
      </c>
      <c r="C2436" s="179" t="s">
        <v>4587</v>
      </c>
    </row>
    <row r="2437" spans="1:3" ht="17.25" thickBot="1">
      <c r="A2437" s="98"/>
      <c r="B2437" s="5" t="s">
        <v>1550</v>
      </c>
      <c r="C2437" s="181"/>
    </row>
    <row r="2438" spans="1:3" ht="17.25" thickBot="1">
      <c r="A2438" s="126" t="s">
        <v>1646</v>
      </c>
    </row>
    <row r="2439" spans="1:3" ht="17.25" thickBot="1">
      <c r="A2439" s="102" t="s">
        <v>1591</v>
      </c>
      <c r="B2439" s="103" t="s">
        <v>1592</v>
      </c>
      <c r="C2439" s="103" t="s">
        <v>1593</v>
      </c>
    </row>
    <row r="2440" spans="1:3" ht="27">
      <c r="A2440" s="96" t="s">
        <v>2008</v>
      </c>
      <c r="B2440" s="91" t="s">
        <v>1632</v>
      </c>
      <c r="C2440" s="91" t="s">
        <v>2011</v>
      </c>
    </row>
    <row r="2441" spans="1:3" ht="27">
      <c r="A2441" s="96" t="s">
        <v>2009</v>
      </c>
      <c r="B2441" s="170"/>
      <c r="C2441" s="170"/>
    </row>
    <row r="2442" spans="1:3" ht="17.25" thickBot="1">
      <c r="A2442" s="4" t="s">
        <v>2010</v>
      </c>
      <c r="B2442" s="97"/>
      <c r="C2442" s="97"/>
    </row>
    <row r="2443" spans="1:3" ht="17.25" thickBot="1">
      <c r="A2443" s="4" t="s">
        <v>1903</v>
      </c>
      <c r="B2443" s="5" t="s">
        <v>1603</v>
      </c>
      <c r="C2443" s="5" t="s">
        <v>2012</v>
      </c>
    </row>
    <row r="2444" spans="1:3" ht="17.25" thickBot="1">
      <c r="A2444" s="4" t="s">
        <v>1912</v>
      </c>
      <c r="B2444" s="5" t="s">
        <v>1603</v>
      </c>
      <c r="C2444" s="5" t="s">
        <v>2013</v>
      </c>
    </row>
    <row r="2445" spans="1:3" ht="17.25" thickBot="1">
      <c r="A2445" s="4" t="s">
        <v>1915</v>
      </c>
      <c r="B2445" s="5" t="s">
        <v>1624</v>
      </c>
      <c r="C2445" s="5" t="s">
        <v>2014</v>
      </c>
    </row>
    <row r="2446" spans="1:3" ht="17.25" thickBot="1">
      <c r="A2446" s="4" t="s">
        <v>2021</v>
      </c>
      <c r="B2446" s="6" t="s">
        <v>1632</v>
      </c>
      <c r="C2446" s="5" t="s">
        <v>4588</v>
      </c>
    </row>
    <row r="2447" spans="1:3" ht="17.25" thickBot="1">
      <c r="A2447" s="4" t="s">
        <v>2552</v>
      </c>
      <c r="B2447" s="6" t="s">
        <v>1632</v>
      </c>
      <c r="C2447" s="6" t="s">
        <v>2016</v>
      </c>
    </row>
    <row r="2448" spans="1:3" ht="17.25" thickBot="1">
      <c r="A2448" s="4" t="s">
        <v>2554</v>
      </c>
      <c r="B2448" s="6" t="s">
        <v>1632</v>
      </c>
      <c r="C2448" s="6" t="s">
        <v>2018</v>
      </c>
    </row>
    <row r="2449" spans="1:3" ht="17.25" thickBot="1">
      <c r="A2449" s="99" t="s">
        <v>1591</v>
      </c>
      <c r="B2449" s="100" t="s">
        <v>1592</v>
      </c>
      <c r="C2449" s="100" t="s">
        <v>1593</v>
      </c>
    </row>
    <row r="2450" spans="1:3" ht="17.25" thickBot="1">
      <c r="A2450" s="4" t="s">
        <v>2019</v>
      </c>
      <c r="B2450" s="5" t="s">
        <v>1625</v>
      </c>
      <c r="C2450" s="6" t="s">
        <v>2160</v>
      </c>
    </row>
    <row r="2451" spans="1:3" ht="17.25" thickBot="1">
      <c r="A2451" s="4" t="s">
        <v>2023</v>
      </c>
      <c r="B2451" s="6" t="s">
        <v>1632</v>
      </c>
      <c r="C2451" s="5" t="s">
        <v>2158</v>
      </c>
    </row>
    <row r="2452" spans="1:3" ht="17.25" thickBot="1">
      <c r="A2452" s="4" t="s">
        <v>1922</v>
      </c>
      <c r="B2452" s="5" t="s">
        <v>1566</v>
      </c>
      <c r="C2452" s="5" t="s">
        <v>2161</v>
      </c>
    </row>
    <row r="2453" spans="1:3" ht="17.25" thickBot="1">
      <c r="A2453" s="4" t="s">
        <v>4589</v>
      </c>
      <c r="B2453" s="5" t="s">
        <v>1603</v>
      </c>
      <c r="C2453" s="5" t="s">
        <v>4004</v>
      </c>
    </row>
    <row r="2454" spans="1:3" ht="17.25" thickBot="1">
      <c r="A2454" s="4" t="s">
        <v>1924</v>
      </c>
      <c r="B2454" s="5" t="s">
        <v>1603</v>
      </c>
      <c r="C2454" s="5" t="s">
        <v>2162</v>
      </c>
    </row>
    <row r="2455" spans="1:3">
      <c r="A2455" s="92" t="s">
        <v>2025</v>
      </c>
      <c r="B2455" s="91" t="s">
        <v>1603</v>
      </c>
      <c r="C2455" s="8" t="s">
        <v>2026</v>
      </c>
    </row>
    <row r="2456" spans="1:3" ht="39" thickBot="1">
      <c r="A2456" s="98"/>
      <c r="B2456" s="97"/>
      <c r="C2456" s="6" t="s">
        <v>2027</v>
      </c>
    </row>
    <row r="2457" spans="1:3">
      <c r="A2457" s="117" t="s">
        <v>4590</v>
      </c>
    </row>
    <row r="2458" spans="1:3">
      <c r="A2458" s="115" t="s">
        <v>4591</v>
      </c>
      <c r="B2458" s="115" t="s">
        <v>4592</v>
      </c>
    </row>
    <row r="2459" spans="1:3" ht="25.5">
      <c r="A2459" s="105" t="s">
        <v>4593</v>
      </c>
    </row>
    <row r="2460" spans="1:3" ht="17.25" thickBot="1">
      <c r="A2460" s="126" t="s">
        <v>1646</v>
      </c>
    </row>
    <row r="2461" spans="1:3" ht="17.25" thickBot="1">
      <c r="A2461" s="102" t="s">
        <v>1591</v>
      </c>
      <c r="B2461" s="103" t="s">
        <v>1592</v>
      </c>
      <c r="C2461" s="103" t="s">
        <v>1593</v>
      </c>
    </row>
    <row r="2462" spans="1:3" ht="17.25" thickBot="1">
      <c r="A2462" s="4" t="s">
        <v>4594</v>
      </c>
      <c r="B2462" s="6" t="s">
        <v>1632</v>
      </c>
      <c r="C2462" s="5" t="s">
        <v>4595</v>
      </c>
    </row>
    <row r="2463" spans="1:3" ht="26.25" thickBot="1">
      <c r="A2463" s="4" t="s">
        <v>4596</v>
      </c>
      <c r="B2463" s="6" t="s">
        <v>1632</v>
      </c>
      <c r="C2463" s="6" t="s">
        <v>4597</v>
      </c>
    </row>
    <row r="2464" spans="1:3" ht="17.25" thickBot="1">
      <c r="A2464" s="4" t="s">
        <v>4598</v>
      </c>
      <c r="B2464" s="6" t="s">
        <v>1632</v>
      </c>
      <c r="C2464" s="5" t="s">
        <v>4599</v>
      </c>
    </row>
    <row r="2465" spans="1:3" ht="26.25" thickBot="1">
      <c r="A2465" s="4" t="s">
        <v>4600</v>
      </c>
      <c r="B2465" s="6" t="s">
        <v>1632</v>
      </c>
      <c r="C2465" s="6" t="s">
        <v>4601</v>
      </c>
    </row>
    <row r="2466" spans="1:3" ht="17.25" thickBot="1">
      <c r="A2466" s="99" t="s">
        <v>1591</v>
      </c>
      <c r="B2466" s="100" t="s">
        <v>1592</v>
      </c>
      <c r="C2466" s="100" t="s">
        <v>1593</v>
      </c>
    </row>
    <row r="2467" spans="1:3" ht="17.25" thickBot="1">
      <c r="A2467" s="4" t="s">
        <v>4602</v>
      </c>
      <c r="B2467" s="6" t="s">
        <v>1632</v>
      </c>
      <c r="C2467" s="6" t="s">
        <v>4603</v>
      </c>
    </row>
    <row r="2468" spans="1:3" ht="26.25" thickBot="1">
      <c r="A2468" s="4" t="s">
        <v>4604</v>
      </c>
      <c r="B2468" s="6" t="s">
        <v>1632</v>
      </c>
      <c r="C2468" s="6" t="s">
        <v>4605</v>
      </c>
    </row>
    <row r="2469" spans="1:3">
      <c r="A2469" s="117" t="s">
        <v>4606</v>
      </c>
    </row>
    <row r="2470" spans="1:3">
      <c r="A2470" s="115" t="s">
        <v>4607</v>
      </c>
      <c r="B2470" s="115" t="s">
        <v>4608</v>
      </c>
    </row>
    <row r="2471" spans="1:3" ht="17.25" thickBot="1">
      <c r="A2471" s="126" t="s">
        <v>1963</v>
      </c>
    </row>
    <row r="2472" spans="1:3" ht="17.25" thickBot="1">
      <c r="A2472" s="102" t="s">
        <v>1591</v>
      </c>
      <c r="B2472" s="103" t="s">
        <v>1592</v>
      </c>
      <c r="C2472" s="103" t="s">
        <v>1593</v>
      </c>
    </row>
    <row r="2473" spans="1:3" ht="17.25" thickBot="1">
      <c r="A2473" s="159" t="s">
        <v>3039</v>
      </c>
      <c r="B2473" s="111"/>
      <c r="C2473" s="5"/>
    </row>
    <row r="2474" spans="1:3" ht="17.25" thickBot="1">
      <c r="A2474" s="4" t="s">
        <v>3835</v>
      </c>
      <c r="B2474" s="5"/>
      <c r="C2474" s="5"/>
    </row>
    <row r="2475" spans="1:3" ht="25.5">
      <c r="A2475" s="92" t="s">
        <v>4609</v>
      </c>
      <c r="B2475" s="91" t="s">
        <v>1605</v>
      </c>
      <c r="C2475" s="7" t="s">
        <v>4610</v>
      </c>
    </row>
    <row r="2476" spans="1:3" ht="17.25" thickBot="1">
      <c r="A2476" s="98"/>
      <c r="B2476" s="97"/>
      <c r="C2476" s="5" t="s">
        <v>4611</v>
      </c>
    </row>
    <row r="2477" spans="1:3">
      <c r="A2477" s="92" t="s">
        <v>4612</v>
      </c>
      <c r="B2477" s="91" t="s">
        <v>1605</v>
      </c>
      <c r="C2477" s="7" t="s">
        <v>4613</v>
      </c>
    </row>
    <row r="2478" spans="1:3" ht="17.25" thickBot="1">
      <c r="A2478" s="98"/>
      <c r="B2478" s="97"/>
      <c r="C2478" s="5" t="s">
        <v>4614</v>
      </c>
    </row>
    <row r="2479" spans="1:3">
      <c r="A2479" s="117" t="s">
        <v>4615</v>
      </c>
    </row>
    <row r="2480" spans="1:3" ht="17.25" thickBot="1">
      <c r="A2480" s="126" t="s">
        <v>1646</v>
      </c>
    </row>
    <row r="2481" spans="1:3" ht="17.25" thickBot="1">
      <c r="A2481" s="102" t="s">
        <v>1591</v>
      </c>
      <c r="B2481" s="103" t="s">
        <v>1592</v>
      </c>
      <c r="C2481" s="103" t="s">
        <v>1593</v>
      </c>
    </row>
    <row r="2482" spans="1:3" ht="17.25" thickBot="1">
      <c r="A2482" s="159" t="s">
        <v>4616</v>
      </c>
      <c r="B2482" s="111"/>
      <c r="C2482" s="5"/>
    </row>
    <row r="2483" spans="1:3">
      <c r="A2483" s="96" t="s">
        <v>4617</v>
      </c>
      <c r="B2483" s="91" t="s">
        <v>1603</v>
      </c>
      <c r="C2483" s="91" t="s">
        <v>4618</v>
      </c>
    </row>
    <row r="2484" spans="1:3" ht="17.25" thickBot="1">
      <c r="A2484" s="4" t="s">
        <v>1634</v>
      </c>
      <c r="B2484" s="97"/>
      <c r="C2484" s="97"/>
    </row>
    <row r="2485" spans="1:3" ht="17.25" thickBot="1">
      <c r="A2485" s="99" t="s">
        <v>1591</v>
      </c>
      <c r="B2485" s="100" t="s">
        <v>1592</v>
      </c>
      <c r="C2485" s="100" t="s">
        <v>1593</v>
      </c>
    </row>
    <row r="2486" spans="1:3" ht="17.25" thickBot="1">
      <c r="A2486" s="4" t="s">
        <v>4619</v>
      </c>
      <c r="B2486" s="5" t="s">
        <v>1603</v>
      </c>
      <c r="C2486" s="6" t="s">
        <v>4620</v>
      </c>
    </row>
    <row r="2487" spans="1:3" ht="17.25" thickBot="1">
      <c r="A2487" s="4" t="s">
        <v>4621</v>
      </c>
      <c r="B2487" s="5" t="s">
        <v>1603</v>
      </c>
      <c r="C2487" s="6" t="s">
        <v>4622</v>
      </c>
    </row>
    <row r="2488" spans="1:3" ht="38.25">
      <c r="A2488" s="96" t="s">
        <v>3051</v>
      </c>
      <c r="B2488" s="91" t="s">
        <v>1603</v>
      </c>
      <c r="C2488" s="91" t="s">
        <v>4623</v>
      </c>
    </row>
    <row r="2489" spans="1:3" ht="17.25" thickBot="1">
      <c r="A2489" s="4" t="s">
        <v>3052</v>
      </c>
      <c r="B2489" s="97"/>
      <c r="C2489" s="97"/>
    </row>
    <row r="2490" spans="1:3" ht="17.25" thickBot="1">
      <c r="A2490" s="172" t="s">
        <v>3078</v>
      </c>
      <c r="B2490" s="183"/>
      <c r="C2490" s="173"/>
    </row>
    <row r="2491" spans="1:3">
      <c r="A2491" s="92" t="s">
        <v>3095</v>
      </c>
      <c r="B2491" s="91" t="s">
        <v>0</v>
      </c>
      <c r="C2491" s="7" t="s">
        <v>4624</v>
      </c>
    </row>
    <row r="2492" spans="1:3" ht="17.25" thickBot="1">
      <c r="A2492" s="98"/>
      <c r="B2492" s="97"/>
      <c r="C2492" s="5" t="s">
        <v>4625</v>
      </c>
    </row>
    <row r="2493" spans="1:3" ht="17.25" thickBot="1">
      <c r="A2493" s="4" t="s">
        <v>4626</v>
      </c>
      <c r="B2493" s="5" t="s">
        <v>0</v>
      </c>
      <c r="C2493" s="5" t="s">
        <v>4627</v>
      </c>
    </row>
    <row r="2494" spans="1:3" ht="17.25" thickBot="1">
      <c r="A2494" s="4" t="s">
        <v>3057</v>
      </c>
      <c r="B2494" s="5" t="s">
        <v>1603</v>
      </c>
      <c r="C2494" s="5" t="s">
        <v>3058</v>
      </c>
    </row>
    <row r="2495" spans="1:3" ht="17.25" thickBot="1">
      <c r="A2495" s="4" t="s">
        <v>3834</v>
      </c>
      <c r="B2495" s="5" t="s">
        <v>1606</v>
      </c>
      <c r="C2495" s="5" t="s">
        <v>4628</v>
      </c>
    </row>
    <row r="2496" spans="1:3">
      <c r="A2496" s="92" t="s">
        <v>3081</v>
      </c>
      <c r="B2496" s="91" t="s">
        <v>1566</v>
      </c>
      <c r="C2496" s="8" t="s">
        <v>4629</v>
      </c>
    </row>
    <row r="2497" spans="1:3" ht="17.25" thickBot="1">
      <c r="A2497" s="98"/>
      <c r="B2497" s="97"/>
      <c r="C2497" s="6" t="s">
        <v>4630</v>
      </c>
    </row>
    <row r="2498" spans="1:3" ht="17.25" thickBot="1">
      <c r="A2498" s="4" t="s">
        <v>3079</v>
      </c>
      <c r="B2498" s="5" t="s">
        <v>1566</v>
      </c>
      <c r="C2498" s="5" t="s">
        <v>4631</v>
      </c>
    </row>
    <row r="2499" spans="1:3" ht="17.25" thickBot="1">
      <c r="A2499" s="4" t="s">
        <v>3090</v>
      </c>
      <c r="B2499" s="5" t="s">
        <v>3837</v>
      </c>
      <c r="C2499" s="5" t="s">
        <v>3838</v>
      </c>
    </row>
    <row r="2500" spans="1:3">
      <c r="A2500" s="92" t="s">
        <v>3093</v>
      </c>
      <c r="B2500" s="8" t="s">
        <v>2736</v>
      </c>
      <c r="C2500" s="91" t="s">
        <v>4633</v>
      </c>
    </row>
    <row r="2501" spans="1:3" ht="17.25" thickBot="1">
      <c r="A2501" s="98"/>
      <c r="B2501" s="5" t="s">
        <v>4632</v>
      </c>
      <c r="C2501" s="97"/>
    </row>
    <row r="2502" spans="1:3" ht="26.25" thickBot="1">
      <c r="A2502" s="4" t="s">
        <v>4634</v>
      </c>
      <c r="B2502" s="5" t="s">
        <v>1566</v>
      </c>
      <c r="C2502" s="6" t="s">
        <v>4635</v>
      </c>
    </row>
    <row r="2503" spans="1:3" ht="26.25" thickBot="1">
      <c r="A2503" s="4" t="s">
        <v>4636</v>
      </c>
      <c r="B2503" s="5" t="s">
        <v>1566</v>
      </c>
      <c r="C2503" s="6" t="s">
        <v>4637</v>
      </c>
    </row>
    <row r="2504" spans="1:3" ht="165.75">
      <c r="A2504" s="106" t="s">
        <v>4638</v>
      </c>
    </row>
    <row r="2505" spans="1:3">
      <c r="A2505" s="115" t="s">
        <v>4639</v>
      </c>
      <c r="B2505" s="115" t="s">
        <v>4640</v>
      </c>
    </row>
    <row r="2506" spans="1:3" ht="17.25" thickBot="1">
      <c r="A2506" s="126" t="s">
        <v>1963</v>
      </c>
    </row>
    <row r="2507" spans="1:3" ht="17.25" thickBot="1">
      <c r="A2507" s="102" t="s">
        <v>1591</v>
      </c>
      <c r="B2507" s="103" t="s">
        <v>1592</v>
      </c>
      <c r="C2507" s="103" t="s">
        <v>1593</v>
      </c>
    </row>
    <row r="2508" spans="1:3" ht="17.25" thickBot="1">
      <c r="A2508" s="4" t="s">
        <v>2269</v>
      </c>
      <c r="B2508" s="5" t="s">
        <v>1603</v>
      </c>
      <c r="C2508" s="6" t="s">
        <v>4641</v>
      </c>
    </row>
    <row r="2509" spans="1:3" ht="17.25" thickBot="1">
      <c r="A2509" s="4" t="s">
        <v>2271</v>
      </c>
      <c r="B2509" s="5" t="s">
        <v>1603</v>
      </c>
      <c r="C2509" s="5" t="s">
        <v>4642</v>
      </c>
    </row>
    <row r="2510" spans="1:3" ht="17.25" thickBot="1">
      <c r="A2510" s="4" t="s">
        <v>2273</v>
      </c>
      <c r="B2510" s="5" t="s">
        <v>1603</v>
      </c>
      <c r="C2510" s="6" t="s">
        <v>4643</v>
      </c>
    </row>
    <row r="2511" spans="1:3">
      <c r="A2511" s="92" t="s">
        <v>2289</v>
      </c>
      <c r="B2511" s="91" t="s">
        <v>1603</v>
      </c>
      <c r="C2511" s="8" t="s">
        <v>4476</v>
      </c>
    </row>
    <row r="2512" spans="1:3" ht="17.25" thickBot="1">
      <c r="A2512" s="98"/>
      <c r="B2512" s="97"/>
      <c r="C2512" s="5" t="s">
        <v>4477</v>
      </c>
    </row>
    <row r="2513" spans="1:3">
      <c r="A2513" s="117" t="s">
        <v>4644</v>
      </c>
    </row>
    <row r="2514" spans="1:3" ht="17.25" thickBot="1">
      <c r="A2514" s="126" t="s">
        <v>3203</v>
      </c>
    </row>
    <row r="2515" spans="1:3" ht="17.25" thickBot="1">
      <c r="A2515" s="102" t="s">
        <v>1591</v>
      </c>
      <c r="B2515" s="103" t="s">
        <v>1592</v>
      </c>
      <c r="C2515" s="103" t="s">
        <v>1593</v>
      </c>
    </row>
    <row r="2516" spans="1:3">
      <c r="A2516" s="92" t="s">
        <v>4645</v>
      </c>
      <c r="B2516" s="91" t="s">
        <v>3660</v>
      </c>
      <c r="C2516" s="7" t="s">
        <v>4646</v>
      </c>
    </row>
    <row r="2517" spans="1:3" ht="17.25" thickBot="1">
      <c r="A2517" s="98"/>
      <c r="B2517" s="97"/>
      <c r="C2517" s="5" t="s">
        <v>4647</v>
      </c>
    </row>
    <row r="2518" spans="1:3">
      <c r="A2518" s="92" t="s">
        <v>4648</v>
      </c>
      <c r="B2518" s="7" t="s">
        <v>2116</v>
      </c>
      <c r="C2518" s="91" t="s">
        <v>4649</v>
      </c>
    </row>
    <row r="2519" spans="1:3">
      <c r="A2519" s="171"/>
      <c r="B2519" s="8" t="s">
        <v>626</v>
      </c>
      <c r="C2519" s="170"/>
    </row>
    <row r="2520" spans="1:3" ht="17.25" thickBot="1">
      <c r="A2520" s="98"/>
      <c r="B2520" s="5" t="s">
        <v>3655</v>
      </c>
      <c r="C2520" s="97"/>
    </row>
    <row r="2521" spans="1:3" ht="17.25" thickBot="1">
      <c r="A2521" s="4" t="s">
        <v>4650</v>
      </c>
      <c r="B2521" s="5" t="s">
        <v>1603</v>
      </c>
      <c r="C2521" s="5" t="s">
        <v>4651</v>
      </c>
    </row>
    <row r="2522" spans="1:3" ht="17.25" thickBot="1">
      <c r="A2522" s="4" t="s">
        <v>4652</v>
      </c>
      <c r="B2522" s="5" t="s">
        <v>1623</v>
      </c>
      <c r="C2522" s="6" t="s">
        <v>4653</v>
      </c>
    </row>
    <row r="2523" spans="1:3" ht="17.25" thickBot="1">
      <c r="A2523" s="4" t="s">
        <v>4654</v>
      </c>
      <c r="B2523" s="5" t="s">
        <v>1623</v>
      </c>
      <c r="C2523" s="6" t="s">
        <v>4655</v>
      </c>
    </row>
    <row r="2524" spans="1:3">
      <c r="A2524" s="115" t="s">
        <v>4656</v>
      </c>
      <c r="B2524" s="115" t="s">
        <v>4657</v>
      </c>
    </row>
    <row r="2525" spans="1:3" ht="89.25">
      <c r="A2525" s="105" t="s">
        <v>4658</v>
      </c>
    </row>
    <row r="2526" spans="1:3" ht="17.25" thickBot="1">
      <c r="A2526" s="126" t="s">
        <v>1646</v>
      </c>
    </row>
    <row r="2527" spans="1:3" ht="17.25" thickBot="1">
      <c r="A2527" s="102" t="s">
        <v>1591</v>
      </c>
      <c r="B2527" s="103" t="s">
        <v>1592</v>
      </c>
      <c r="C2527" s="103" t="s">
        <v>1593</v>
      </c>
    </row>
    <row r="2528" spans="1:3" ht="17.25" thickBot="1">
      <c r="A2528" s="145" t="s">
        <v>4659</v>
      </c>
      <c r="B2528" s="6" t="s">
        <v>3513</v>
      </c>
      <c r="C2528" s="5" t="s">
        <v>3484</v>
      </c>
    </row>
    <row r="2529" spans="1:3" ht="17.25" thickBot="1">
      <c r="A2529" s="145" t="s">
        <v>4660</v>
      </c>
      <c r="B2529" s="5" t="s">
        <v>1632</v>
      </c>
      <c r="C2529" s="5" t="s">
        <v>4661</v>
      </c>
    </row>
    <row r="2530" spans="1:3" ht="17.25" thickBot="1">
      <c r="A2530" s="145" t="s">
        <v>4662</v>
      </c>
      <c r="B2530" s="5" t="s">
        <v>1632</v>
      </c>
      <c r="C2530" s="5" t="s">
        <v>4663</v>
      </c>
    </row>
    <row r="2531" spans="1:3" ht="26.25" thickBot="1">
      <c r="A2531" s="145" t="s">
        <v>4664</v>
      </c>
      <c r="B2531" s="5" t="s">
        <v>1632</v>
      </c>
      <c r="C2531" s="6" t="s">
        <v>4665</v>
      </c>
    </row>
    <row r="2532" spans="1:3" ht="26.25" thickBot="1">
      <c r="A2532" s="145" t="s">
        <v>4666</v>
      </c>
      <c r="B2532" s="5" t="s">
        <v>1632</v>
      </c>
      <c r="C2532" s="5" t="s">
        <v>4667</v>
      </c>
    </row>
    <row r="2533" spans="1:3">
      <c r="A2533" s="176" t="s">
        <v>4668</v>
      </c>
      <c r="B2533" s="91" t="s">
        <v>1632</v>
      </c>
      <c r="C2533" s="7" t="s">
        <v>4669</v>
      </c>
    </row>
    <row r="2534" spans="1:3" ht="17.25" thickBot="1">
      <c r="A2534" s="177"/>
      <c r="B2534" s="97"/>
      <c r="C2534" s="5" t="s">
        <v>4670</v>
      </c>
    </row>
    <row r="2535" spans="1:3" ht="26.25" thickBot="1">
      <c r="A2535" s="145" t="s">
        <v>4671</v>
      </c>
      <c r="B2535" s="5" t="s">
        <v>1632</v>
      </c>
      <c r="C2535" s="6" t="s">
        <v>4672</v>
      </c>
    </row>
    <row r="2536" spans="1:3">
      <c r="A2536" s="117" t="s">
        <v>4673</v>
      </c>
    </row>
    <row r="2537" spans="1:3">
      <c r="A2537" s="115" t="s">
        <v>4674</v>
      </c>
      <c r="B2537" s="115" t="s">
        <v>4675</v>
      </c>
    </row>
    <row r="2538" spans="1:3" ht="17.25" thickBot="1">
      <c r="A2538" s="126" t="s">
        <v>2677</v>
      </c>
    </row>
    <row r="2539" spans="1:3" ht="17.25" thickBot="1">
      <c r="A2539" s="102" t="s">
        <v>1591</v>
      </c>
      <c r="B2539" s="103" t="s">
        <v>1593</v>
      </c>
    </row>
    <row r="2540" spans="1:3" ht="64.5" thickBot="1">
      <c r="A2540" s="162" t="s">
        <v>4676</v>
      </c>
      <c r="B2540" s="6" t="s">
        <v>4677</v>
      </c>
    </row>
    <row r="2541" spans="1:3" ht="39" thickBot="1">
      <c r="A2541" s="145" t="s">
        <v>4678</v>
      </c>
      <c r="B2541" s="6" t="s">
        <v>4679</v>
      </c>
    </row>
    <row r="2542" spans="1:3" ht="17.25" thickBot="1">
      <c r="A2542" s="126" t="s">
        <v>4680</v>
      </c>
    </row>
    <row r="2543" spans="1:3" ht="17.25" thickBot="1">
      <c r="A2543" s="102" t="s">
        <v>1591</v>
      </c>
      <c r="B2543" s="103" t="s">
        <v>1592</v>
      </c>
      <c r="C2543" s="103" t="s">
        <v>1593</v>
      </c>
    </row>
    <row r="2544" spans="1:3" ht="17.25" thickBot="1">
      <c r="A2544" s="145" t="s">
        <v>4681</v>
      </c>
      <c r="B2544" s="5" t="s">
        <v>2698</v>
      </c>
      <c r="C2544" s="6" t="s">
        <v>4682</v>
      </c>
    </row>
    <row r="2545" spans="1:3" ht="17.25" thickBot="1">
      <c r="A2545" s="145" t="s">
        <v>4683</v>
      </c>
      <c r="B2545" s="5" t="s">
        <v>2698</v>
      </c>
      <c r="C2545" s="6" t="s">
        <v>4684</v>
      </c>
    </row>
    <row r="2546" spans="1:3" ht="17.25" thickBot="1">
      <c r="A2546" s="145" t="s">
        <v>4685</v>
      </c>
      <c r="B2546" s="5" t="s">
        <v>2698</v>
      </c>
      <c r="C2546" s="6" t="s">
        <v>4686</v>
      </c>
    </row>
    <row r="2547" spans="1:3" ht="17.25" thickBot="1">
      <c r="A2547" s="145" t="s">
        <v>4687</v>
      </c>
      <c r="B2547" s="5" t="s">
        <v>2698</v>
      </c>
      <c r="C2547" s="5" t="s">
        <v>4688</v>
      </c>
    </row>
    <row r="2548" spans="1:3" ht="17.25" thickBot="1">
      <c r="A2548" s="145" t="s">
        <v>4689</v>
      </c>
      <c r="B2548" s="5" t="s">
        <v>2698</v>
      </c>
      <c r="C2548" s="6" t="s">
        <v>4690</v>
      </c>
    </row>
    <row r="2549" spans="1:3" ht="17.25" thickBot="1">
      <c r="A2549" s="145" t="s">
        <v>4691</v>
      </c>
      <c r="B2549" s="5" t="s">
        <v>2698</v>
      </c>
      <c r="C2549" s="6" t="s">
        <v>4692</v>
      </c>
    </row>
    <row r="2550" spans="1:3" ht="17.25" thickBot="1">
      <c r="A2550" s="145" t="s">
        <v>4693</v>
      </c>
      <c r="B2550" s="5" t="s">
        <v>2698</v>
      </c>
      <c r="C2550" s="6" t="s">
        <v>4694</v>
      </c>
    </row>
    <row r="2551" spans="1:3" ht="17.25" thickBot="1">
      <c r="A2551" s="145" t="s">
        <v>4695</v>
      </c>
      <c r="B2551" s="5" t="s">
        <v>2698</v>
      </c>
      <c r="C2551" s="5" t="s">
        <v>4696</v>
      </c>
    </row>
    <row r="2552" spans="1:3" ht="26.25" thickBot="1">
      <c r="A2552" s="145" t="s">
        <v>4697</v>
      </c>
      <c r="B2552" s="5" t="s">
        <v>2698</v>
      </c>
      <c r="C2552" s="6" t="s">
        <v>4698</v>
      </c>
    </row>
    <row r="2553" spans="1:3" ht="17.25" thickBot="1">
      <c r="A2553" s="126" t="s">
        <v>2708</v>
      </c>
    </row>
    <row r="2554" spans="1:3" ht="17.25" thickBot="1">
      <c r="A2554" s="102" t="s">
        <v>1591</v>
      </c>
      <c r="B2554" s="172" t="s">
        <v>1592</v>
      </c>
      <c r="C2554" s="173"/>
    </row>
    <row r="2555" spans="1:3" ht="17.25" thickBot="1">
      <c r="A2555" s="145" t="s">
        <v>4699</v>
      </c>
      <c r="B2555" s="174" t="s">
        <v>1566</v>
      </c>
      <c r="C2555" s="175"/>
    </row>
    <row r="2556" spans="1:3" ht="17.25" thickBot="1">
      <c r="A2556" s="145" t="s">
        <v>4700</v>
      </c>
      <c r="B2556" s="174" t="s">
        <v>1557</v>
      </c>
      <c r="C2556" s="175"/>
    </row>
    <row r="2557" spans="1:3" ht="17.25" thickBot="1">
      <c r="A2557" s="145" t="s">
        <v>4701</v>
      </c>
      <c r="B2557" s="174" t="s">
        <v>1620</v>
      </c>
      <c r="C2557" s="175"/>
    </row>
    <row r="2558" spans="1:3" ht="17.25" thickBot="1">
      <c r="A2558" s="145" t="s">
        <v>4702</v>
      </c>
      <c r="B2558" s="174" t="s">
        <v>1561</v>
      </c>
      <c r="C2558" s="175"/>
    </row>
    <row r="2559" spans="1:3" ht="17.25" thickBot="1">
      <c r="A2559" s="145" t="s">
        <v>4703</v>
      </c>
      <c r="B2559" s="111" t="s">
        <v>4704</v>
      </c>
      <c r="C2559" s="6" t="s">
        <v>2716</v>
      </c>
    </row>
    <row r="2560" spans="1:3" ht="17.25" thickBot="1">
      <c r="A2560" s="145" t="s">
        <v>4705</v>
      </c>
      <c r="B2560" s="111" t="s">
        <v>1566</v>
      </c>
      <c r="C2560" s="5"/>
    </row>
    <row r="2561" spans="1:3">
      <c r="A2561" s="117" t="s">
        <v>4706</v>
      </c>
    </row>
    <row r="2562" spans="1:3">
      <c r="A2562" s="115" t="s">
        <v>4707</v>
      </c>
      <c r="B2562" s="115" t="s">
        <v>4708</v>
      </c>
    </row>
    <row r="2563" spans="1:3" ht="17.25" thickBot="1">
      <c r="A2563" s="126" t="s">
        <v>1874</v>
      </c>
    </row>
    <row r="2564" spans="1:3" ht="17.25" thickBot="1">
      <c r="A2564" s="102" t="s">
        <v>1591</v>
      </c>
      <c r="B2564" s="103" t="s">
        <v>1635</v>
      </c>
      <c r="C2564" s="110" t="s">
        <v>1593</v>
      </c>
    </row>
    <row r="2565" spans="1:3">
      <c r="A2565" s="92" t="s">
        <v>4709</v>
      </c>
      <c r="B2565" s="8" t="s">
        <v>1603</v>
      </c>
      <c r="C2565" s="179" t="s">
        <v>4710</v>
      </c>
    </row>
    <row r="2566" spans="1:3" ht="17.25" thickBot="1">
      <c r="A2566" s="98"/>
      <c r="B2566" s="5" t="s">
        <v>1550</v>
      </c>
      <c r="C2566" s="181"/>
    </row>
    <row r="2567" spans="1:3">
      <c r="A2567" s="117" t="s">
        <v>4711</v>
      </c>
    </row>
    <row r="2568" spans="1:3" ht="17.25" thickBot="1">
      <c r="A2568" s="126" t="s">
        <v>1646</v>
      </c>
    </row>
    <row r="2569" spans="1:3" ht="17.25" thickBot="1">
      <c r="A2569" s="102" t="s">
        <v>1591</v>
      </c>
      <c r="B2569" s="103" t="s">
        <v>1592</v>
      </c>
      <c r="C2569" s="103" t="s">
        <v>1593</v>
      </c>
    </row>
    <row r="2570" spans="1:3" ht="17.25" thickBot="1">
      <c r="A2570" s="4" t="s">
        <v>1775</v>
      </c>
      <c r="B2570" s="6" t="s">
        <v>1632</v>
      </c>
      <c r="C2570" s="6" t="s">
        <v>4712</v>
      </c>
    </row>
    <row r="2571" spans="1:3" ht="17.25" thickBot="1">
      <c r="A2571" s="4" t="s">
        <v>4713</v>
      </c>
      <c r="B2571" s="6" t="s">
        <v>1632</v>
      </c>
      <c r="C2571" s="5" t="s">
        <v>2158</v>
      </c>
    </row>
    <row r="2572" spans="1:3" ht="17.25" thickBot="1">
      <c r="A2572" s="4" t="s">
        <v>2021</v>
      </c>
      <c r="B2572" s="6" t="s">
        <v>1632</v>
      </c>
      <c r="C2572" s="6" t="s">
        <v>4714</v>
      </c>
    </row>
    <row r="2573" spans="1:3" ht="26.25" thickBot="1">
      <c r="A2573" s="4" t="s">
        <v>4715</v>
      </c>
      <c r="B2573" s="6" t="s">
        <v>1632</v>
      </c>
      <c r="C2573" s="6" t="s">
        <v>4716</v>
      </c>
    </row>
    <row r="2574" spans="1:3">
      <c r="A2574" s="92" t="s">
        <v>2025</v>
      </c>
      <c r="B2574" s="91" t="s">
        <v>1603</v>
      </c>
      <c r="C2574" s="8" t="s">
        <v>2930</v>
      </c>
    </row>
    <row r="2575" spans="1:3" ht="39" thickBot="1">
      <c r="A2575" s="98"/>
      <c r="B2575" s="97"/>
      <c r="C2575" s="6" t="s">
        <v>2027</v>
      </c>
    </row>
    <row r="2576" spans="1:3">
      <c r="A2576" s="115" t="s">
        <v>4717</v>
      </c>
      <c r="B2576" s="115" t="s">
        <v>4718</v>
      </c>
    </row>
    <row r="2577" spans="1:3" ht="17.25" thickBot="1">
      <c r="A2577" s="126" t="s">
        <v>1874</v>
      </c>
    </row>
    <row r="2578" spans="1:3" ht="17.25" thickBot="1">
      <c r="A2578" s="102" t="s">
        <v>1591</v>
      </c>
      <c r="B2578" s="103" t="s">
        <v>1635</v>
      </c>
      <c r="C2578" s="103" t="s">
        <v>1593</v>
      </c>
    </row>
    <row r="2579" spans="1:3">
      <c r="A2579" s="92" t="s">
        <v>4719</v>
      </c>
      <c r="B2579" s="8" t="s">
        <v>0</v>
      </c>
      <c r="C2579" s="8" t="s">
        <v>4721</v>
      </c>
    </row>
    <row r="2580" spans="1:3">
      <c r="A2580" s="171"/>
      <c r="B2580" s="8" t="s">
        <v>4720</v>
      </c>
      <c r="C2580" s="8" t="s">
        <v>4722</v>
      </c>
    </row>
    <row r="2581" spans="1:3" ht="17.25" thickBot="1">
      <c r="A2581" s="98"/>
      <c r="B2581" s="5" t="s">
        <v>1550</v>
      </c>
      <c r="C2581" s="136"/>
    </row>
    <row r="2582" spans="1:3">
      <c r="A2582" s="92" t="s">
        <v>4723</v>
      </c>
      <c r="B2582" s="8" t="s">
        <v>1566</v>
      </c>
      <c r="C2582" s="91" t="s">
        <v>4724</v>
      </c>
    </row>
    <row r="2583" spans="1:3" ht="17.25" thickBot="1">
      <c r="A2583" s="98"/>
      <c r="B2583" s="5" t="s">
        <v>1550</v>
      </c>
      <c r="C2583" s="97"/>
    </row>
    <row r="2584" spans="1:3">
      <c r="A2584" s="92" t="s">
        <v>1996</v>
      </c>
      <c r="B2584" s="8" t="s">
        <v>2112</v>
      </c>
      <c r="C2584" s="7" t="s">
        <v>4725</v>
      </c>
    </row>
    <row r="2585" spans="1:3" ht="17.25" thickBot="1">
      <c r="A2585" s="98"/>
      <c r="B2585" s="5" t="s">
        <v>2657</v>
      </c>
      <c r="C2585" s="5" t="s">
        <v>2284</v>
      </c>
    </row>
    <row r="2586" spans="1:3" ht="17.25" thickBot="1">
      <c r="A2586" s="4" t="s">
        <v>1996</v>
      </c>
      <c r="B2586" s="5" t="s">
        <v>4726</v>
      </c>
      <c r="C2586" s="5" t="s">
        <v>4727</v>
      </c>
    </row>
    <row r="2587" spans="1:3">
      <c r="A2587" s="92" t="s">
        <v>4728</v>
      </c>
      <c r="B2587" s="8" t="s">
        <v>0</v>
      </c>
      <c r="C2587" s="91" t="s">
        <v>4730</v>
      </c>
    </row>
    <row r="2588" spans="1:3">
      <c r="A2588" s="171"/>
      <c r="B2588" s="8" t="s">
        <v>4729</v>
      </c>
      <c r="C2588" s="170"/>
    </row>
    <row r="2589" spans="1:3" ht="17.25" thickBot="1">
      <c r="A2589" s="98"/>
      <c r="B2589" s="5" t="s">
        <v>1550</v>
      </c>
      <c r="C2589" s="97"/>
    </row>
    <row r="2590" spans="1:3">
      <c r="A2590" s="92" t="s">
        <v>4731</v>
      </c>
      <c r="B2590" s="8" t="s">
        <v>1603</v>
      </c>
      <c r="C2590" s="91" t="s">
        <v>4732</v>
      </c>
    </row>
    <row r="2591" spans="1:3" ht="17.25" thickBot="1">
      <c r="A2591" s="98"/>
      <c r="B2591" s="5" t="s">
        <v>1550</v>
      </c>
      <c r="C2591" s="97"/>
    </row>
    <row r="2592" spans="1:3">
      <c r="A2592" s="92" t="s">
        <v>4733</v>
      </c>
      <c r="B2592" s="8" t="s">
        <v>2660</v>
      </c>
      <c r="C2592" s="91" t="s">
        <v>4734</v>
      </c>
    </row>
    <row r="2593" spans="1:3" ht="17.25" thickBot="1">
      <c r="A2593" s="98"/>
      <c r="B2593" s="5" t="s">
        <v>2884</v>
      </c>
      <c r="C2593" s="97"/>
    </row>
    <row r="2594" spans="1:3">
      <c r="A2594" s="92" t="s">
        <v>4735</v>
      </c>
      <c r="B2594" s="8" t="s">
        <v>2112</v>
      </c>
      <c r="C2594" s="91" t="s">
        <v>4736</v>
      </c>
    </row>
    <row r="2595" spans="1:3" ht="17.25" thickBot="1">
      <c r="A2595" s="98"/>
      <c r="B2595" s="5" t="s">
        <v>2657</v>
      </c>
      <c r="C2595" s="97"/>
    </row>
    <row r="2596" spans="1:3" ht="17.25" thickBot="1">
      <c r="A2596" s="4" t="s">
        <v>4735</v>
      </c>
      <c r="B2596" s="5" t="s">
        <v>4726</v>
      </c>
      <c r="C2596" s="5" t="s">
        <v>4737</v>
      </c>
    </row>
    <row r="2597" spans="1:3">
      <c r="A2597" s="92" t="s">
        <v>4738</v>
      </c>
      <c r="B2597" s="8" t="s">
        <v>2509</v>
      </c>
      <c r="C2597" s="91" t="s">
        <v>4739</v>
      </c>
    </row>
    <row r="2598" spans="1:3" ht="17.25" thickBot="1">
      <c r="A2598" s="98"/>
      <c r="B2598" s="5" t="s">
        <v>1550</v>
      </c>
      <c r="C2598" s="97"/>
    </row>
    <row r="2599" spans="1:3" ht="17.25" thickBot="1">
      <c r="A2599" s="4" t="s">
        <v>4740</v>
      </c>
      <c r="B2599" s="5" t="s">
        <v>2119</v>
      </c>
      <c r="C2599" s="5" t="s">
        <v>4741</v>
      </c>
    </row>
    <row r="2600" spans="1:3">
      <c r="A2600" s="92" t="s">
        <v>4742</v>
      </c>
      <c r="B2600" s="8" t="s">
        <v>2660</v>
      </c>
      <c r="C2600" s="91" t="s">
        <v>4743</v>
      </c>
    </row>
    <row r="2601" spans="1:3" ht="17.25" thickBot="1">
      <c r="A2601" s="98"/>
      <c r="B2601" s="5" t="s">
        <v>2884</v>
      </c>
      <c r="C2601" s="97"/>
    </row>
    <row r="2602" spans="1:3">
      <c r="A2602" s="117" t="s">
        <v>4744</v>
      </c>
    </row>
    <row r="2603" spans="1:3" ht="17.25" thickBot="1">
      <c r="A2603" s="126" t="s">
        <v>1646</v>
      </c>
    </row>
    <row r="2604" spans="1:3" ht="17.25" thickBot="1">
      <c r="A2604" s="102" t="s">
        <v>1591</v>
      </c>
      <c r="B2604" s="103" t="s">
        <v>1592</v>
      </c>
      <c r="C2604" s="103" t="s">
        <v>1593</v>
      </c>
    </row>
    <row r="2605" spans="1:3" ht="17.25" thickBot="1">
      <c r="A2605" s="4" t="s">
        <v>2025</v>
      </c>
      <c r="B2605" s="5" t="s">
        <v>1603</v>
      </c>
      <c r="C2605" s="6" t="s">
        <v>4745</v>
      </c>
    </row>
    <row r="2606" spans="1:3" ht="17.25" thickBot="1">
      <c r="A2606" s="4" t="s">
        <v>1775</v>
      </c>
      <c r="B2606" s="6" t="s">
        <v>1632</v>
      </c>
      <c r="C2606" s="5" t="s">
        <v>4746</v>
      </c>
    </row>
    <row r="2607" spans="1:3" ht="17.25" thickBot="1">
      <c r="A2607" s="4" t="s">
        <v>4747</v>
      </c>
      <c r="B2607" s="5" t="s">
        <v>1603</v>
      </c>
      <c r="C2607" s="6" t="s">
        <v>4745</v>
      </c>
    </row>
    <row r="2608" spans="1:3" ht="17.25" thickBot="1">
      <c r="A2608" s="4" t="s">
        <v>2023</v>
      </c>
      <c r="B2608" s="6" t="s">
        <v>1632</v>
      </c>
      <c r="C2608" s="5" t="s">
        <v>4748</v>
      </c>
    </row>
    <row r="2609" spans="1:3" ht="17.25" thickBot="1">
      <c r="A2609" s="4" t="s">
        <v>4749</v>
      </c>
      <c r="B2609" s="6" t="s">
        <v>1632</v>
      </c>
      <c r="C2609" s="6" t="s">
        <v>4750</v>
      </c>
    </row>
    <row r="2610" spans="1:3" ht="17.25" thickBot="1">
      <c r="A2610" s="4" t="s">
        <v>4751</v>
      </c>
      <c r="B2610" s="6" t="s">
        <v>1632</v>
      </c>
      <c r="C2610" s="6" t="s">
        <v>4752</v>
      </c>
    </row>
    <row r="2611" spans="1:3" ht="27.75" thickBot="1">
      <c r="A2611" s="4" t="s">
        <v>4753</v>
      </c>
      <c r="B2611" s="6" t="s">
        <v>1632</v>
      </c>
      <c r="C2611" s="5" t="s">
        <v>4754</v>
      </c>
    </row>
    <row r="2612" spans="1:3">
      <c r="A2612" s="117" t="s">
        <v>4755</v>
      </c>
    </row>
    <row r="2613" spans="1:3">
      <c r="A2613" s="126" t="s">
        <v>1888</v>
      </c>
    </row>
    <row r="2614" spans="1:3" ht="51">
      <c r="A2614" s="105" t="s">
        <v>4756</v>
      </c>
    </row>
    <row r="2615" spans="1:3">
      <c r="A2615" s="121" t="s">
        <v>4757</v>
      </c>
    </row>
    <row r="2616" spans="1:3">
      <c r="A2616" s="167" t="s">
        <v>1640</v>
      </c>
      <c r="B2616" s="124" t="s">
        <v>1641</v>
      </c>
    </row>
    <row r="2617" spans="1:3" ht="24">
      <c r="A2617" s="123" t="s">
        <v>4758</v>
      </c>
      <c r="B2617" s="124" t="s">
        <v>1641</v>
      </c>
    </row>
    <row r="2618" spans="1:3" ht="24">
      <c r="A2618" s="167" t="s">
        <v>4759</v>
      </c>
      <c r="B2618" s="124" t="s">
        <v>1641</v>
      </c>
    </row>
    <row r="2619" spans="1:3" ht="24">
      <c r="A2619" s="167" t="s">
        <v>4760</v>
      </c>
      <c r="B2619" s="124" t="s">
        <v>1641</v>
      </c>
    </row>
    <row r="2620" spans="1:3" ht="24">
      <c r="A2620" s="167" t="s">
        <v>4761</v>
      </c>
      <c r="B2620" s="124" t="s">
        <v>1641</v>
      </c>
    </row>
    <row r="2621" spans="1:3">
      <c r="A2621" s="146" t="s">
        <v>4762</v>
      </c>
    </row>
    <row r="2622" spans="1:3">
      <c r="A2622" s="146" t="s">
        <v>4763</v>
      </c>
    </row>
    <row r="2623" spans="1:3">
      <c r="A2623" s="146" t="s">
        <v>4764</v>
      </c>
    </row>
    <row r="2624" spans="1:3">
      <c r="A2624" s="146" t="s">
        <v>2674</v>
      </c>
    </row>
    <row r="2625" spans="1:3">
      <c r="B2625" s="114" t="s">
        <v>4765</v>
      </c>
      <c r="C2625" s="114" t="s">
        <v>4766</v>
      </c>
    </row>
    <row r="2626" spans="1:3" ht="63.75">
      <c r="A2626" s="105" t="s">
        <v>4767</v>
      </c>
    </row>
    <row r="2627" spans="1:3" ht="25.5">
      <c r="A2627" s="105" t="s">
        <v>4768</v>
      </c>
    </row>
    <row r="2628" spans="1:3">
      <c r="A2628" s="118" t="s">
        <v>4769</v>
      </c>
    </row>
    <row r="2629" spans="1:3">
      <c r="A2629" s="121" t="s">
        <v>4770</v>
      </c>
    </row>
    <row r="2630" spans="1:3">
      <c r="A2630" s="121" t="s">
        <v>2579</v>
      </c>
    </row>
    <row r="2631" spans="1:3">
      <c r="A2631" s="160" t="s">
        <v>4771</v>
      </c>
    </row>
    <row r="2632" spans="1:3">
      <c r="A2632" s="117" t="s">
        <v>4772</v>
      </c>
    </row>
    <row r="2633" spans="1:3">
      <c r="A2633" s="118" t="s">
        <v>4773</v>
      </c>
    </row>
    <row r="2634" spans="1:3">
      <c r="A2634" s="121" t="s">
        <v>4774</v>
      </c>
    </row>
    <row r="2635" spans="1:3">
      <c r="B2635" s="114" t="s">
        <v>4775</v>
      </c>
      <c r="C2635" s="114" t="s">
        <v>4776</v>
      </c>
    </row>
    <row r="2636" spans="1:3">
      <c r="A2636" s="115" t="s">
        <v>4777</v>
      </c>
      <c r="B2636" s="115" t="s">
        <v>4778</v>
      </c>
    </row>
    <row r="2637" spans="1:3" ht="17.25" thickBot="1">
      <c r="A2637" s="126" t="s">
        <v>1874</v>
      </c>
    </row>
    <row r="2638" spans="1:3" ht="17.25" thickBot="1">
      <c r="A2638" s="102" t="s">
        <v>1591</v>
      </c>
      <c r="B2638" s="103" t="s">
        <v>1635</v>
      </c>
      <c r="C2638" s="103" t="s">
        <v>1593</v>
      </c>
    </row>
    <row r="2639" spans="1:3">
      <c r="A2639" s="92" t="s">
        <v>1996</v>
      </c>
      <c r="B2639" s="8" t="s">
        <v>2112</v>
      </c>
      <c r="C2639" s="91" t="s">
        <v>4779</v>
      </c>
    </row>
    <row r="2640" spans="1:3" ht="17.25" thickBot="1">
      <c r="A2640" s="98"/>
      <c r="B2640" s="5" t="s">
        <v>2657</v>
      </c>
      <c r="C2640" s="97"/>
    </row>
    <row r="2641" spans="1:3" ht="17.25" thickBot="1">
      <c r="A2641" s="4" t="s">
        <v>1996</v>
      </c>
      <c r="B2641" s="5" t="s">
        <v>4726</v>
      </c>
      <c r="C2641" s="5" t="s">
        <v>4780</v>
      </c>
    </row>
    <row r="2642" spans="1:3">
      <c r="A2642" s="92" t="s">
        <v>4723</v>
      </c>
      <c r="B2642" s="8" t="s">
        <v>1566</v>
      </c>
      <c r="C2642" s="91" t="s">
        <v>4724</v>
      </c>
    </row>
    <row r="2643" spans="1:3" ht="17.25" thickBot="1">
      <c r="A2643" s="98"/>
      <c r="B2643" s="5" t="s">
        <v>1550</v>
      </c>
      <c r="C2643" s="97"/>
    </row>
    <row r="2644" spans="1:3">
      <c r="A2644" s="92" t="s">
        <v>4728</v>
      </c>
      <c r="B2644" s="8" t="s">
        <v>0</v>
      </c>
      <c r="C2644" s="91" t="s">
        <v>4781</v>
      </c>
    </row>
    <row r="2645" spans="1:3">
      <c r="A2645" s="171"/>
      <c r="B2645" s="8" t="s">
        <v>4729</v>
      </c>
      <c r="C2645" s="170"/>
    </row>
    <row r="2646" spans="1:3" ht="17.25" thickBot="1">
      <c r="A2646" s="98"/>
      <c r="B2646" s="5" t="s">
        <v>1550</v>
      </c>
      <c r="C2646" s="97"/>
    </row>
    <row r="2647" spans="1:3">
      <c r="A2647" s="92" t="s">
        <v>4731</v>
      </c>
      <c r="B2647" s="8" t="s">
        <v>1603</v>
      </c>
      <c r="C2647" s="91" t="s">
        <v>4732</v>
      </c>
    </row>
    <row r="2648" spans="1:3" ht="17.25" thickBot="1">
      <c r="A2648" s="98"/>
      <c r="B2648" s="5" t="s">
        <v>1550</v>
      </c>
      <c r="C2648" s="97"/>
    </row>
    <row r="2649" spans="1:3">
      <c r="A2649" s="92" t="s">
        <v>4733</v>
      </c>
      <c r="B2649" s="8" t="s">
        <v>2660</v>
      </c>
      <c r="C2649" s="91" t="s">
        <v>4734</v>
      </c>
    </row>
    <row r="2650" spans="1:3" ht="17.25" thickBot="1">
      <c r="A2650" s="98"/>
      <c r="B2650" s="5" t="s">
        <v>2884</v>
      </c>
      <c r="C2650" s="97"/>
    </row>
    <row r="2651" spans="1:3">
      <c r="A2651" s="92" t="s">
        <v>4735</v>
      </c>
      <c r="B2651" s="8" t="s">
        <v>2112</v>
      </c>
      <c r="C2651" s="91" t="s">
        <v>4736</v>
      </c>
    </row>
    <row r="2652" spans="1:3" ht="17.25" thickBot="1">
      <c r="A2652" s="98"/>
      <c r="B2652" s="5" t="s">
        <v>2657</v>
      </c>
      <c r="C2652" s="97"/>
    </row>
    <row r="2653" spans="1:3" ht="17.25" thickBot="1">
      <c r="A2653" s="4" t="s">
        <v>4735</v>
      </c>
      <c r="B2653" s="5" t="s">
        <v>4726</v>
      </c>
      <c r="C2653" s="5" t="s">
        <v>4782</v>
      </c>
    </row>
    <row r="2654" spans="1:3">
      <c r="A2654" s="92" t="s">
        <v>4738</v>
      </c>
      <c r="B2654" s="8" t="s">
        <v>2509</v>
      </c>
      <c r="C2654" s="91" t="s">
        <v>4783</v>
      </c>
    </row>
    <row r="2655" spans="1:3" ht="17.25" thickBot="1">
      <c r="A2655" s="98"/>
      <c r="B2655" s="5" t="s">
        <v>1550</v>
      </c>
      <c r="C2655" s="97"/>
    </row>
    <row r="2656" spans="1:3" ht="17.25" thickBot="1">
      <c r="A2656" s="4" t="s">
        <v>4740</v>
      </c>
      <c r="B2656" s="5" t="s">
        <v>2119</v>
      </c>
      <c r="C2656" s="5" t="s">
        <v>4741</v>
      </c>
    </row>
    <row r="2657" spans="1:3">
      <c r="A2657" s="92" t="s">
        <v>4742</v>
      </c>
      <c r="B2657" s="8" t="s">
        <v>2660</v>
      </c>
      <c r="C2657" s="91" t="s">
        <v>4743</v>
      </c>
    </row>
    <row r="2658" spans="1:3" ht="17.25" thickBot="1">
      <c r="A2658" s="98"/>
      <c r="B2658" s="5" t="s">
        <v>2884</v>
      </c>
      <c r="C2658" s="97"/>
    </row>
    <row r="2659" spans="1:3">
      <c r="A2659" s="117" t="s">
        <v>4784</v>
      </c>
    </row>
    <row r="2660" spans="1:3" ht="17.25" thickBot="1">
      <c r="A2660" s="126" t="s">
        <v>1646</v>
      </c>
    </row>
    <row r="2661" spans="1:3" ht="17.25" thickBot="1">
      <c r="A2661" s="102" t="s">
        <v>1591</v>
      </c>
      <c r="B2661" s="103" t="s">
        <v>1592</v>
      </c>
      <c r="C2661" s="103" t="s">
        <v>1593</v>
      </c>
    </row>
    <row r="2662" spans="1:3" ht="17.25" thickBot="1">
      <c r="A2662" s="4" t="s">
        <v>4785</v>
      </c>
      <c r="B2662" s="6" t="s">
        <v>1632</v>
      </c>
      <c r="C2662" s="6" t="s">
        <v>4786</v>
      </c>
    </row>
    <row r="2663" spans="1:3" ht="17.25" thickBot="1">
      <c r="A2663" s="4" t="s">
        <v>2025</v>
      </c>
      <c r="B2663" s="5" t="s">
        <v>1603</v>
      </c>
      <c r="C2663" s="6" t="s">
        <v>4787</v>
      </c>
    </row>
    <row r="2664" spans="1:3" ht="17.25" thickBot="1">
      <c r="A2664" s="4" t="s">
        <v>1775</v>
      </c>
      <c r="B2664" s="6" t="s">
        <v>1632</v>
      </c>
      <c r="C2664" s="5" t="s">
        <v>4788</v>
      </c>
    </row>
    <row r="2665" spans="1:3" ht="17.25" thickBot="1">
      <c r="A2665" s="4" t="s">
        <v>4747</v>
      </c>
      <c r="B2665" s="5" t="s">
        <v>1603</v>
      </c>
      <c r="C2665" s="6" t="s">
        <v>4789</v>
      </c>
    </row>
    <row r="2666" spans="1:3" ht="17.25" thickBot="1">
      <c r="A2666" s="4" t="s">
        <v>2023</v>
      </c>
      <c r="B2666" s="6" t="s">
        <v>1632</v>
      </c>
      <c r="C2666" s="5" t="s">
        <v>4748</v>
      </c>
    </row>
    <row r="2667" spans="1:3" ht="27.75" thickBot="1">
      <c r="A2667" s="4" t="s">
        <v>4753</v>
      </c>
      <c r="B2667" s="6" t="s">
        <v>1632</v>
      </c>
      <c r="C2667" s="5" t="s">
        <v>4790</v>
      </c>
    </row>
    <row r="2668" spans="1:3">
      <c r="A2668" s="117" t="s">
        <v>4791</v>
      </c>
    </row>
    <row r="2669" spans="1:3">
      <c r="A2669" s="126" t="s">
        <v>1888</v>
      </c>
    </row>
    <row r="2670" spans="1:3" ht="51">
      <c r="A2670" s="105" t="s">
        <v>4792</v>
      </c>
    </row>
    <row r="2671" spans="1:3">
      <c r="A2671" s="121" t="s">
        <v>4757</v>
      </c>
    </row>
    <row r="2672" spans="1:3">
      <c r="A2672" s="167" t="s">
        <v>1640</v>
      </c>
      <c r="B2672" s="124" t="s">
        <v>1641</v>
      </c>
    </row>
    <row r="2673" spans="1:3" ht="24">
      <c r="A2673" s="123" t="s">
        <v>4793</v>
      </c>
      <c r="B2673" s="124" t="s">
        <v>1641</v>
      </c>
    </row>
    <row r="2674" spans="1:3" ht="24">
      <c r="A2674" s="167" t="s">
        <v>4794</v>
      </c>
      <c r="B2674" s="124" t="s">
        <v>1641</v>
      </c>
    </row>
    <row r="2675" spans="1:3" ht="24">
      <c r="A2675" s="167" t="s">
        <v>4795</v>
      </c>
      <c r="B2675" s="124" t="s">
        <v>1641</v>
      </c>
    </row>
    <row r="2676" spans="1:3" ht="24">
      <c r="A2676" s="167" t="s">
        <v>4761</v>
      </c>
      <c r="B2676" s="124" t="s">
        <v>1641</v>
      </c>
    </row>
    <row r="2677" spans="1:3">
      <c r="A2677" s="146" t="s">
        <v>4796</v>
      </c>
    </row>
    <row r="2678" spans="1:3">
      <c r="A2678" s="146" t="s">
        <v>4764</v>
      </c>
    </row>
    <row r="2679" spans="1:3">
      <c r="A2679" s="146" t="s">
        <v>2674</v>
      </c>
    </row>
    <row r="2680" spans="1:3">
      <c r="A2680" s="117" t="s">
        <v>4797</v>
      </c>
      <c r="B2680" s="117" t="s">
        <v>4798</v>
      </c>
    </row>
    <row r="2681" spans="1:3" ht="25.5">
      <c r="A2681" s="105" t="s">
        <v>4799</v>
      </c>
    </row>
    <row r="2682" spans="1:3" ht="25.5">
      <c r="A2682" s="105" t="s">
        <v>4800</v>
      </c>
    </row>
    <row r="2683" spans="1:3" ht="25.5">
      <c r="A2683" s="105" t="s">
        <v>4801</v>
      </c>
    </row>
    <row r="2684" spans="1:3">
      <c r="A2684" s="115" t="s">
        <v>4802</v>
      </c>
      <c r="B2684" s="115" t="s">
        <v>4803</v>
      </c>
    </row>
    <row r="2685" spans="1:3" ht="17.25" thickBot="1">
      <c r="A2685" s="126" t="s">
        <v>1874</v>
      </c>
    </row>
    <row r="2686" spans="1:3" ht="17.25" thickBot="1">
      <c r="A2686" s="102" t="s">
        <v>1591</v>
      </c>
      <c r="B2686" s="103" t="s">
        <v>1635</v>
      </c>
      <c r="C2686" s="103" t="s">
        <v>1593</v>
      </c>
    </row>
    <row r="2687" spans="1:3">
      <c r="A2687" s="92" t="s">
        <v>1996</v>
      </c>
      <c r="B2687" s="8" t="s">
        <v>2112</v>
      </c>
      <c r="C2687" s="8" t="s">
        <v>4804</v>
      </c>
    </row>
    <row r="2688" spans="1:3" ht="17.25" thickBot="1">
      <c r="A2688" s="98"/>
      <c r="B2688" s="5" t="s">
        <v>2657</v>
      </c>
      <c r="C2688" s="5" t="s">
        <v>1999</v>
      </c>
    </row>
    <row r="2689" spans="1:3" ht="17.25" thickBot="1">
      <c r="A2689" s="4" t="s">
        <v>1996</v>
      </c>
      <c r="B2689" s="5" t="s">
        <v>4726</v>
      </c>
      <c r="C2689" s="5" t="s">
        <v>3255</v>
      </c>
    </row>
    <row r="2690" spans="1:3">
      <c r="A2690" s="92" t="s">
        <v>4728</v>
      </c>
      <c r="B2690" s="8" t="s">
        <v>0</v>
      </c>
      <c r="C2690" s="91" t="s">
        <v>4781</v>
      </c>
    </row>
    <row r="2691" spans="1:3">
      <c r="A2691" s="171"/>
      <c r="B2691" s="8" t="s">
        <v>4729</v>
      </c>
      <c r="C2691" s="170"/>
    </row>
    <row r="2692" spans="1:3" ht="17.25" thickBot="1">
      <c r="A2692" s="98"/>
      <c r="B2692" s="5" t="s">
        <v>1550</v>
      </c>
      <c r="C2692" s="97"/>
    </row>
    <row r="2693" spans="1:3">
      <c r="A2693" s="92" t="s">
        <v>4731</v>
      </c>
      <c r="B2693" s="8" t="s">
        <v>1603</v>
      </c>
      <c r="C2693" s="91" t="s">
        <v>4732</v>
      </c>
    </row>
    <row r="2694" spans="1:3" ht="17.25" thickBot="1">
      <c r="A2694" s="98"/>
      <c r="B2694" s="5" t="s">
        <v>1550</v>
      </c>
      <c r="C2694" s="97"/>
    </row>
    <row r="2695" spans="1:3">
      <c r="A2695" s="92" t="s">
        <v>4733</v>
      </c>
      <c r="B2695" s="8" t="s">
        <v>2660</v>
      </c>
      <c r="C2695" s="91" t="s">
        <v>4805</v>
      </c>
    </row>
    <row r="2696" spans="1:3" ht="17.25" thickBot="1">
      <c r="A2696" s="98"/>
      <c r="B2696" s="5" t="s">
        <v>2884</v>
      </c>
      <c r="C2696" s="97"/>
    </row>
    <row r="2697" spans="1:3">
      <c r="A2697" s="92" t="s">
        <v>4735</v>
      </c>
      <c r="B2697" s="8" t="s">
        <v>2112</v>
      </c>
      <c r="C2697" s="91" t="s">
        <v>4806</v>
      </c>
    </row>
    <row r="2698" spans="1:3" ht="17.25" thickBot="1">
      <c r="A2698" s="98"/>
      <c r="B2698" s="5" t="s">
        <v>2657</v>
      </c>
      <c r="C2698" s="97"/>
    </row>
    <row r="2699" spans="1:3" ht="17.25" thickBot="1">
      <c r="A2699" s="4" t="s">
        <v>4735</v>
      </c>
      <c r="B2699" s="5" t="s">
        <v>4726</v>
      </c>
      <c r="C2699" s="5" t="s">
        <v>4807</v>
      </c>
    </row>
    <row r="2700" spans="1:3">
      <c r="A2700" s="92" t="s">
        <v>4738</v>
      </c>
      <c r="B2700" s="8" t="s">
        <v>2509</v>
      </c>
      <c r="C2700" s="91" t="s">
        <v>4808</v>
      </c>
    </row>
    <row r="2701" spans="1:3" ht="17.25" thickBot="1">
      <c r="A2701" s="98"/>
      <c r="B2701" s="5" t="s">
        <v>1550</v>
      </c>
      <c r="C2701" s="97"/>
    </row>
    <row r="2702" spans="1:3" ht="17.25" thickBot="1">
      <c r="A2702" s="4" t="s">
        <v>4740</v>
      </c>
      <c r="B2702" s="5" t="s">
        <v>2119</v>
      </c>
      <c r="C2702" s="5" t="s">
        <v>4809</v>
      </c>
    </row>
    <row r="2703" spans="1:3">
      <c r="A2703" s="92" t="s">
        <v>4742</v>
      </c>
      <c r="B2703" s="8" t="s">
        <v>2660</v>
      </c>
      <c r="C2703" s="91" t="s">
        <v>4810</v>
      </c>
    </row>
    <row r="2704" spans="1:3" ht="17.25" thickBot="1">
      <c r="A2704" s="98"/>
      <c r="B2704" s="5" t="s">
        <v>2884</v>
      </c>
      <c r="C2704" s="97"/>
    </row>
    <row r="2705" spans="1:3">
      <c r="A2705" s="92" t="s">
        <v>4723</v>
      </c>
      <c r="B2705" s="8" t="s">
        <v>1566</v>
      </c>
      <c r="C2705" s="91" t="s">
        <v>4811</v>
      </c>
    </row>
    <row r="2706" spans="1:3" ht="17.25" thickBot="1">
      <c r="A2706" s="98"/>
      <c r="B2706" s="5" t="s">
        <v>1550</v>
      </c>
      <c r="C2706" s="97"/>
    </row>
    <row r="2707" spans="1:3">
      <c r="A2707" s="92" t="s">
        <v>3525</v>
      </c>
      <c r="B2707" s="8" t="s">
        <v>0</v>
      </c>
      <c r="C2707" s="91" t="s">
        <v>4813</v>
      </c>
    </row>
    <row r="2708" spans="1:3">
      <c r="A2708" s="171"/>
      <c r="B2708" s="8" t="s">
        <v>4812</v>
      </c>
      <c r="C2708" s="170"/>
    </row>
    <row r="2709" spans="1:3" ht="17.25" thickBot="1">
      <c r="A2709" s="98"/>
      <c r="B2709" s="5" t="s">
        <v>1550</v>
      </c>
      <c r="C2709" s="97"/>
    </row>
    <row r="2710" spans="1:3">
      <c r="A2710" s="92" t="s">
        <v>4814</v>
      </c>
      <c r="B2710" s="8" t="s">
        <v>1566</v>
      </c>
      <c r="C2710" s="91" t="s">
        <v>4815</v>
      </c>
    </row>
    <row r="2711" spans="1:3" ht="17.25" thickBot="1">
      <c r="A2711" s="98"/>
      <c r="B2711" s="5" t="s">
        <v>1550</v>
      </c>
      <c r="C2711" s="97"/>
    </row>
    <row r="2712" spans="1:3">
      <c r="A2712" s="92" t="s">
        <v>4816</v>
      </c>
      <c r="B2712" s="8" t="s">
        <v>0</v>
      </c>
      <c r="C2712" s="8" t="s">
        <v>4818</v>
      </c>
    </row>
    <row r="2713" spans="1:3">
      <c r="A2713" s="171"/>
      <c r="B2713" s="8" t="s">
        <v>4817</v>
      </c>
      <c r="C2713" s="8" t="s">
        <v>4819</v>
      </c>
    </row>
    <row r="2714" spans="1:3" ht="17.25" thickBot="1">
      <c r="A2714" s="98"/>
      <c r="B2714" s="5" t="s">
        <v>1550</v>
      </c>
      <c r="C2714" s="136"/>
    </row>
    <row r="2715" spans="1:3">
      <c r="A2715" s="92" t="s">
        <v>4820</v>
      </c>
      <c r="B2715" s="8" t="s">
        <v>1603</v>
      </c>
      <c r="C2715" s="91" t="s">
        <v>4821</v>
      </c>
    </row>
    <row r="2716" spans="1:3" ht="17.25" thickBot="1">
      <c r="A2716" s="98"/>
      <c r="B2716" s="5" t="s">
        <v>1550</v>
      </c>
      <c r="C2716" s="97"/>
    </row>
    <row r="2717" spans="1:3">
      <c r="A2717" s="92" t="s">
        <v>4822</v>
      </c>
      <c r="B2717" s="8" t="s">
        <v>1603</v>
      </c>
      <c r="C2717" s="8" t="s">
        <v>4823</v>
      </c>
    </row>
    <row r="2718" spans="1:3" ht="17.25" thickBot="1">
      <c r="A2718" s="98"/>
      <c r="B2718" s="5" t="s">
        <v>1550</v>
      </c>
      <c r="C2718" s="5" t="s">
        <v>4824</v>
      </c>
    </row>
    <row r="2719" spans="1:3" ht="17.25" thickBot="1">
      <c r="A2719" s="99" t="s">
        <v>1591</v>
      </c>
      <c r="B2719" s="100" t="s">
        <v>1635</v>
      </c>
      <c r="C2719" s="100" t="s">
        <v>1593</v>
      </c>
    </row>
    <row r="2720" spans="1:3">
      <c r="A2720" s="92" t="s">
        <v>1679</v>
      </c>
      <c r="B2720" s="8" t="s">
        <v>2112</v>
      </c>
      <c r="C2720" s="91" t="s">
        <v>4825</v>
      </c>
    </row>
    <row r="2721" spans="1:3" ht="17.25" thickBot="1">
      <c r="A2721" s="98"/>
      <c r="B2721" s="5" t="s">
        <v>2657</v>
      </c>
      <c r="C2721" s="97"/>
    </row>
    <row r="2722" spans="1:3">
      <c r="A2722" s="92" t="s">
        <v>4826</v>
      </c>
      <c r="B2722" s="8" t="s">
        <v>2112</v>
      </c>
      <c r="C2722" s="91" t="s">
        <v>4827</v>
      </c>
    </row>
    <row r="2723" spans="1:3" ht="17.25" thickBot="1">
      <c r="A2723" s="98"/>
      <c r="B2723" s="5" t="s">
        <v>2657</v>
      </c>
      <c r="C2723" s="97"/>
    </row>
    <row r="2724" spans="1:3" ht="17.25" thickBot="1">
      <c r="A2724" s="4" t="s">
        <v>4713</v>
      </c>
      <c r="B2724" s="6" t="s">
        <v>1632</v>
      </c>
      <c r="C2724" s="5" t="s">
        <v>2158</v>
      </c>
    </row>
    <row r="2725" spans="1:3">
      <c r="A2725" s="92" t="s">
        <v>4828</v>
      </c>
      <c r="B2725" s="8" t="s">
        <v>2112</v>
      </c>
      <c r="C2725" s="91" t="s">
        <v>4829</v>
      </c>
    </row>
    <row r="2726" spans="1:3" ht="17.25" thickBot="1">
      <c r="A2726" s="98"/>
      <c r="B2726" s="5" t="s">
        <v>2657</v>
      </c>
      <c r="C2726" s="97"/>
    </row>
    <row r="2727" spans="1:3">
      <c r="A2727" s="92" t="s">
        <v>4830</v>
      </c>
      <c r="B2727" s="8" t="s">
        <v>2112</v>
      </c>
      <c r="C2727" s="91" t="s">
        <v>4831</v>
      </c>
    </row>
    <row r="2728" spans="1:3" ht="17.25" thickBot="1">
      <c r="A2728" s="98"/>
      <c r="B2728" s="5" t="s">
        <v>2657</v>
      </c>
      <c r="C2728" s="97"/>
    </row>
    <row r="2729" spans="1:3">
      <c r="A2729" s="92" t="s">
        <v>4832</v>
      </c>
      <c r="B2729" s="8" t="s">
        <v>1566</v>
      </c>
      <c r="C2729" s="91" t="s">
        <v>4833</v>
      </c>
    </row>
    <row r="2730" spans="1:3" ht="17.25" thickBot="1">
      <c r="A2730" s="98"/>
      <c r="B2730" s="5" t="s">
        <v>1550</v>
      </c>
      <c r="C2730" s="97"/>
    </row>
    <row r="2731" spans="1:3">
      <c r="A2731" s="92" t="s">
        <v>4834</v>
      </c>
      <c r="B2731" s="8" t="s">
        <v>2112</v>
      </c>
      <c r="C2731" s="91" t="s">
        <v>4835</v>
      </c>
    </row>
    <row r="2732" spans="1:3" ht="17.25" thickBot="1">
      <c r="A2732" s="98"/>
      <c r="B2732" s="5" t="s">
        <v>2657</v>
      </c>
      <c r="C2732" s="97"/>
    </row>
    <row r="2733" spans="1:3">
      <c r="A2733" s="92" t="s">
        <v>4836</v>
      </c>
      <c r="B2733" s="8" t="s">
        <v>0</v>
      </c>
      <c r="C2733" s="91" t="s">
        <v>4837</v>
      </c>
    </row>
    <row r="2734" spans="1:3">
      <c r="A2734" s="171"/>
      <c r="B2734" s="8" t="s">
        <v>4812</v>
      </c>
      <c r="C2734" s="170"/>
    </row>
    <row r="2735" spans="1:3" ht="17.25" thickBot="1">
      <c r="A2735" s="98"/>
      <c r="B2735" s="5" t="s">
        <v>1550</v>
      </c>
      <c r="C2735" s="97"/>
    </row>
    <row r="2736" spans="1:3">
      <c r="A2736" s="92" t="s">
        <v>4838</v>
      </c>
      <c r="B2736" s="8" t="s">
        <v>1566</v>
      </c>
      <c r="C2736" s="8" t="s">
        <v>4839</v>
      </c>
    </row>
    <row r="2737" spans="1:3" ht="17.25" thickBot="1">
      <c r="A2737" s="98"/>
      <c r="B2737" s="5" t="s">
        <v>1550</v>
      </c>
      <c r="C2737" s="5" t="s">
        <v>4840</v>
      </c>
    </row>
    <row r="2738" spans="1:3">
      <c r="A2738" s="92" t="s">
        <v>4841</v>
      </c>
      <c r="B2738" s="8" t="s">
        <v>1603</v>
      </c>
      <c r="C2738" s="91" t="s">
        <v>4842</v>
      </c>
    </row>
    <row r="2739" spans="1:3" ht="17.25" thickBot="1">
      <c r="A2739" s="98"/>
      <c r="B2739" s="5" t="s">
        <v>1550</v>
      </c>
      <c r="C2739" s="97"/>
    </row>
    <row r="2740" spans="1:3">
      <c r="A2740" s="176" t="s">
        <v>4843</v>
      </c>
      <c r="B2740" s="8" t="s">
        <v>2112</v>
      </c>
      <c r="C2740" s="8" t="s">
        <v>4844</v>
      </c>
    </row>
    <row r="2741" spans="1:3" ht="17.25" thickBot="1">
      <c r="A2741" s="177"/>
      <c r="B2741" s="5" t="s">
        <v>2657</v>
      </c>
      <c r="C2741" s="5" t="s">
        <v>4845</v>
      </c>
    </row>
    <row r="2742" spans="1:3">
      <c r="A2742" s="176" t="s">
        <v>4846</v>
      </c>
      <c r="B2742" s="8" t="s">
        <v>2112</v>
      </c>
      <c r="C2742" s="8" t="s">
        <v>4847</v>
      </c>
    </row>
    <row r="2743" spans="1:3" ht="17.25" thickBot="1">
      <c r="A2743" s="177"/>
      <c r="B2743" s="5" t="s">
        <v>2657</v>
      </c>
      <c r="C2743" s="5" t="s">
        <v>4848</v>
      </c>
    </row>
    <row r="2744" spans="1:3">
      <c r="A2744" s="117" t="s">
        <v>4849</v>
      </c>
    </row>
    <row r="2745" spans="1:3" ht="17.25" thickBot="1">
      <c r="A2745" s="126" t="s">
        <v>1646</v>
      </c>
    </row>
    <row r="2746" spans="1:3" ht="17.25" thickBot="1">
      <c r="A2746" s="102" t="s">
        <v>1591</v>
      </c>
      <c r="B2746" s="103" t="s">
        <v>1592</v>
      </c>
      <c r="C2746" s="103" t="s">
        <v>1593</v>
      </c>
    </row>
    <row r="2747" spans="1:3" ht="17.25" thickBot="1">
      <c r="A2747" s="4" t="s">
        <v>2025</v>
      </c>
      <c r="B2747" s="5" t="s">
        <v>1603</v>
      </c>
      <c r="C2747" s="6" t="s">
        <v>4850</v>
      </c>
    </row>
    <row r="2748" spans="1:3" ht="17.25" thickBot="1">
      <c r="A2748" s="4" t="s">
        <v>4747</v>
      </c>
      <c r="B2748" s="5" t="s">
        <v>1603</v>
      </c>
      <c r="C2748" s="6" t="s">
        <v>4851</v>
      </c>
    </row>
    <row r="2749" spans="1:3" ht="27.75" thickBot="1">
      <c r="A2749" s="4" t="s">
        <v>4753</v>
      </c>
      <c r="B2749" s="6" t="s">
        <v>1632</v>
      </c>
      <c r="C2749" s="5" t="s">
        <v>4790</v>
      </c>
    </row>
    <row r="2750" spans="1:3" ht="17.25" thickBot="1">
      <c r="A2750" s="4" t="s">
        <v>4749</v>
      </c>
      <c r="B2750" s="6" t="s">
        <v>1632</v>
      </c>
      <c r="C2750" s="6" t="s">
        <v>4829</v>
      </c>
    </row>
    <row r="2751" spans="1:3" ht="17.25" thickBot="1">
      <c r="A2751" s="4" t="s">
        <v>4751</v>
      </c>
      <c r="B2751" s="6" t="s">
        <v>1632</v>
      </c>
      <c r="C2751" s="5" t="s">
        <v>4852</v>
      </c>
    </row>
    <row r="2752" spans="1:3">
      <c r="A2752" s="117" t="s">
        <v>4853</v>
      </c>
    </row>
    <row r="2753" spans="1:3">
      <c r="A2753" s="126" t="s">
        <v>1888</v>
      </c>
    </row>
    <row r="2754" spans="1:3" ht="51">
      <c r="A2754" s="105" t="s">
        <v>4854</v>
      </c>
    </row>
    <row r="2755" spans="1:3">
      <c r="A2755" s="168" t="s">
        <v>4855</v>
      </c>
    </row>
    <row r="2756" spans="1:3">
      <c r="B2756" s="127" t="s">
        <v>1641</v>
      </c>
      <c r="C2756" s="127" t="s">
        <v>4856</v>
      </c>
    </row>
    <row r="2757" spans="1:3">
      <c r="B2757" s="127" t="s">
        <v>1641</v>
      </c>
      <c r="C2757" s="127" t="s">
        <v>4857</v>
      </c>
    </row>
    <row r="2758" spans="1:3">
      <c r="B2758" s="127" t="s">
        <v>1641</v>
      </c>
      <c r="C2758" s="127" t="s">
        <v>4858</v>
      </c>
    </row>
    <row r="2759" spans="1:3">
      <c r="B2759" s="127" t="s">
        <v>1641</v>
      </c>
      <c r="C2759" s="127" t="s">
        <v>4859</v>
      </c>
    </row>
    <row r="2760" spans="1:3">
      <c r="B2760" s="127" t="s">
        <v>1641</v>
      </c>
      <c r="C2760" s="127" t="s">
        <v>4860</v>
      </c>
    </row>
    <row r="2761" spans="1:3">
      <c r="A2761" s="169" t="s">
        <v>4861</v>
      </c>
      <c r="B2761" s="169" t="s">
        <v>2957</v>
      </c>
      <c r="C2761" s="169" t="s">
        <v>4862</v>
      </c>
    </row>
    <row r="2762" spans="1:3">
      <c r="A2762" s="169" t="s">
        <v>4863</v>
      </c>
    </row>
    <row r="2763" spans="1:3">
      <c r="A2763" s="169" t="s">
        <v>4864</v>
      </c>
    </row>
    <row r="2764" spans="1:3">
      <c r="B2764" s="127" t="s">
        <v>4865</v>
      </c>
      <c r="C2764" s="127" t="s">
        <v>1641</v>
      </c>
    </row>
    <row r="2765" spans="1:3">
      <c r="B2765" s="127" t="s">
        <v>1641</v>
      </c>
      <c r="C2765" s="127" t="s">
        <v>4866</v>
      </c>
    </row>
    <row r="2766" spans="1:3">
      <c r="B2766" s="127" t="s">
        <v>4867</v>
      </c>
      <c r="C2766" s="127" t="s">
        <v>1641</v>
      </c>
    </row>
    <row r="2767" spans="1:3">
      <c r="B2767" s="127" t="s">
        <v>1641</v>
      </c>
      <c r="C2767" s="127" t="s">
        <v>4866</v>
      </c>
    </row>
    <row r="2768" spans="1:3">
      <c r="B2768" s="127" t="s">
        <v>4868</v>
      </c>
      <c r="C2768" s="127" t="s">
        <v>1641</v>
      </c>
    </row>
    <row r="2769" spans="1:3">
      <c r="B2769" s="127" t="s">
        <v>1641</v>
      </c>
      <c r="C2769" s="127" t="s">
        <v>4866</v>
      </c>
    </row>
    <row r="2770" spans="1:3">
      <c r="B2770" s="127" t="s">
        <v>4869</v>
      </c>
      <c r="C2770" s="127" t="s">
        <v>1641</v>
      </c>
    </row>
    <row r="2771" spans="1:3">
      <c r="B2771" s="127" t="s">
        <v>1641</v>
      </c>
      <c r="C2771" s="127" t="s">
        <v>4866</v>
      </c>
    </row>
    <row r="2772" spans="1:3">
      <c r="A2772" s="169" t="s">
        <v>4870</v>
      </c>
    </row>
    <row r="2773" spans="1:3">
      <c r="A2773" s="169" t="s">
        <v>4871</v>
      </c>
    </row>
    <row r="2774" spans="1:3">
      <c r="A2774" s="169" t="s">
        <v>4872</v>
      </c>
    </row>
    <row r="2775" spans="1:3">
      <c r="A2775" s="117" t="s">
        <v>4873</v>
      </c>
      <c r="B2775" s="117" t="s">
        <v>4874</v>
      </c>
    </row>
    <row r="2776" spans="1:3" ht="38.25">
      <c r="A2776" s="105" t="s">
        <v>4875</v>
      </c>
    </row>
    <row r="2777" spans="1:3" ht="25.5">
      <c r="A2777" s="105" t="s">
        <v>4800</v>
      </c>
    </row>
    <row r="2778" spans="1:3" ht="25.5">
      <c r="A2778" s="105" t="s">
        <v>4801</v>
      </c>
    </row>
    <row r="2779" spans="1:3">
      <c r="B2779" s="101" t="s">
        <v>2578</v>
      </c>
      <c r="C2779" s="109" t="s">
        <v>4876</v>
      </c>
    </row>
    <row r="2780" spans="1:3">
      <c r="A2780" s="133" t="s">
        <v>4877</v>
      </c>
    </row>
    <row r="2781" spans="1:3">
      <c r="A2781" s="133" t="s">
        <v>4878</v>
      </c>
    </row>
    <row r="2782" spans="1:3">
      <c r="A2782" s="115" t="s">
        <v>4879</v>
      </c>
      <c r="B2782" s="115" t="s">
        <v>4880</v>
      </c>
    </row>
    <row r="2783" spans="1:3" ht="17.25" thickBot="1">
      <c r="A2783" s="126" t="s">
        <v>1874</v>
      </c>
    </row>
    <row r="2784" spans="1:3" ht="17.25" thickBot="1">
      <c r="A2784" s="102" t="s">
        <v>1591</v>
      </c>
      <c r="B2784" s="103" t="s">
        <v>1635</v>
      </c>
      <c r="C2784" s="103" t="s">
        <v>1593</v>
      </c>
    </row>
    <row r="2785" spans="1:3" ht="17.25" thickBot="1">
      <c r="A2785" s="4" t="s">
        <v>4881</v>
      </c>
      <c r="B2785" s="5" t="s">
        <v>1559</v>
      </c>
      <c r="C2785" s="6" t="s">
        <v>4882</v>
      </c>
    </row>
    <row r="2786" spans="1:3" ht="17.25" thickBot="1">
      <c r="A2786" s="4" t="s">
        <v>1172</v>
      </c>
      <c r="B2786" s="5" t="s">
        <v>1559</v>
      </c>
      <c r="C2786" s="6" t="s">
        <v>4883</v>
      </c>
    </row>
    <row r="2787" spans="1:3">
      <c r="A2787" s="117" t="s">
        <v>4884</v>
      </c>
    </row>
    <row r="2788" spans="1:3" ht="17.25" thickBot="1">
      <c r="A2788" s="126" t="s">
        <v>1646</v>
      </c>
    </row>
    <row r="2789" spans="1:3" ht="17.25" thickBot="1">
      <c r="A2789" s="102" t="s">
        <v>1591</v>
      </c>
      <c r="B2789" s="103" t="s">
        <v>1592</v>
      </c>
      <c r="C2789" s="103" t="s">
        <v>1593</v>
      </c>
    </row>
    <row r="2790" spans="1:3" ht="17.25" thickBot="1">
      <c r="A2790" s="4" t="s">
        <v>4885</v>
      </c>
      <c r="B2790" s="6" t="s">
        <v>1615</v>
      </c>
      <c r="C2790" s="6" t="s">
        <v>4886</v>
      </c>
    </row>
    <row r="2791" spans="1:3" ht="17.25" thickBot="1">
      <c r="A2791" s="4" t="s">
        <v>1634</v>
      </c>
      <c r="B2791" s="5" t="s">
        <v>1603</v>
      </c>
      <c r="C2791" s="5" t="s">
        <v>4887</v>
      </c>
    </row>
  </sheetData>
  <phoneticPr fontId="4"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FFFF00"/>
    <pageSetUpPr autoPageBreaks="0"/>
  </sheetPr>
  <dimension ref="A2:F341"/>
  <sheetViews>
    <sheetView showGridLines="0" workbookViewId="0">
      <pane ySplit="3" topLeftCell="A4" activePane="bottomLeft" state="frozen"/>
      <selection sqref="A1:XFD1048576"/>
      <selection pane="bottomLeft" sqref="A1:XFD1048576"/>
    </sheetView>
  </sheetViews>
  <sheetFormatPr defaultRowHeight="12"/>
  <cols>
    <col min="1" max="1" width="13" style="26" customWidth="1"/>
    <col min="2" max="2" width="18.25" style="10" bestFit="1" customWidth="1"/>
    <col min="3" max="3" width="15.75" style="11" bestFit="1" customWidth="1"/>
    <col min="4" max="4" width="50.625" style="10" customWidth="1"/>
    <col min="5" max="5" width="52.625" style="10" customWidth="1"/>
    <col min="6" max="6" width="16.625" style="10" bestFit="1" customWidth="1"/>
    <col min="7" max="256" width="9" style="10"/>
    <col min="257" max="257" width="13" style="10" customWidth="1"/>
    <col min="258" max="258" width="18.25" style="10" bestFit="1" customWidth="1"/>
    <col min="259" max="259" width="15.75" style="10" bestFit="1" customWidth="1"/>
    <col min="260" max="260" width="50.625" style="10" customWidth="1"/>
    <col min="261" max="261" width="72.375" style="10" customWidth="1"/>
    <col min="262" max="512" width="9" style="10"/>
    <col min="513" max="513" width="13" style="10" customWidth="1"/>
    <col min="514" max="514" width="18.25" style="10" bestFit="1" customWidth="1"/>
    <col min="515" max="515" width="15.75" style="10" bestFit="1" customWidth="1"/>
    <col min="516" max="516" width="50.625" style="10" customWidth="1"/>
    <col min="517" max="517" width="72.375" style="10" customWidth="1"/>
    <col min="518" max="768" width="9" style="10"/>
    <col min="769" max="769" width="13" style="10" customWidth="1"/>
    <col min="770" max="770" width="18.25" style="10" bestFit="1" customWidth="1"/>
    <col min="771" max="771" width="15.75" style="10" bestFit="1" customWidth="1"/>
    <col min="772" max="772" width="50.625" style="10" customWidth="1"/>
    <col min="773" max="773" width="72.375" style="10" customWidth="1"/>
    <col min="774" max="1024" width="9" style="10"/>
    <col min="1025" max="1025" width="13" style="10" customWidth="1"/>
    <col min="1026" max="1026" width="18.25" style="10" bestFit="1" customWidth="1"/>
    <col min="1027" max="1027" width="15.75" style="10" bestFit="1" customWidth="1"/>
    <col min="1028" max="1028" width="50.625" style="10" customWidth="1"/>
    <col min="1029" max="1029" width="72.375" style="10" customWidth="1"/>
    <col min="1030" max="1280" width="9" style="10"/>
    <col min="1281" max="1281" width="13" style="10" customWidth="1"/>
    <col min="1282" max="1282" width="18.25" style="10" bestFit="1" customWidth="1"/>
    <col min="1283" max="1283" width="15.75" style="10" bestFit="1" customWidth="1"/>
    <col min="1284" max="1284" width="50.625" style="10" customWidth="1"/>
    <col min="1285" max="1285" width="72.375" style="10" customWidth="1"/>
    <col min="1286" max="1536" width="9" style="10"/>
    <col min="1537" max="1537" width="13" style="10" customWidth="1"/>
    <col min="1538" max="1538" width="18.25" style="10" bestFit="1" customWidth="1"/>
    <col min="1539" max="1539" width="15.75" style="10" bestFit="1" customWidth="1"/>
    <col min="1540" max="1540" width="50.625" style="10" customWidth="1"/>
    <col min="1541" max="1541" width="72.375" style="10" customWidth="1"/>
    <col min="1542" max="1792" width="9" style="10"/>
    <col min="1793" max="1793" width="13" style="10" customWidth="1"/>
    <col min="1794" max="1794" width="18.25" style="10" bestFit="1" customWidth="1"/>
    <col min="1795" max="1795" width="15.75" style="10" bestFit="1" customWidth="1"/>
    <col min="1796" max="1796" width="50.625" style="10" customWidth="1"/>
    <col min="1797" max="1797" width="72.375" style="10" customWidth="1"/>
    <col min="1798" max="2048" width="9" style="10"/>
    <col min="2049" max="2049" width="13" style="10" customWidth="1"/>
    <col min="2050" max="2050" width="18.25" style="10" bestFit="1" customWidth="1"/>
    <col min="2051" max="2051" width="15.75" style="10" bestFit="1" customWidth="1"/>
    <col min="2052" max="2052" width="50.625" style="10" customWidth="1"/>
    <col min="2053" max="2053" width="72.375" style="10" customWidth="1"/>
    <col min="2054" max="2304" width="9" style="10"/>
    <col min="2305" max="2305" width="13" style="10" customWidth="1"/>
    <col min="2306" max="2306" width="18.25" style="10" bestFit="1" customWidth="1"/>
    <col min="2307" max="2307" width="15.75" style="10" bestFit="1" customWidth="1"/>
    <col min="2308" max="2308" width="50.625" style="10" customWidth="1"/>
    <col min="2309" max="2309" width="72.375" style="10" customWidth="1"/>
    <col min="2310" max="2560" width="9" style="10"/>
    <col min="2561" max="2561" width="13" style="10" customWidth="1"/>
    <col min="2562" max="2562" width="18.25" style="10" bestFit="1" customWidth="1"/>
    <col min="2563" max="2563" width="15.75" style="10" bestFit="1" customWidth="1"/>
    <col min="2564" max="2564" width="50.625" style="10" customWidth="1"/>
    <col min="2565" max="2565" width="72.375" style="10" customWidth="1"/>
    <col min="2566" max="2816" width="9" style="10"/>
    <col min="2817" max="2817" width="13" style="10" customWidth="1"/>
    <col min="2818" max="2818" width="18.25" style="10" bestFit="1" customWidth="1"/>
    <col min="2819" max="2819" width="15.75" style="10" bestFit="1" customWidth="1"/>
    <col min="2820" max="2820" width="50.625" style="10" customWidth="1"/>
    <col min="2821" max="2821" width="72.375" style="10" customWidth="1"/>
    <col min="2822" max="3072" width="9" style="10"/>
    <col min="3073" max="3073" width="13" style="10" customWidth="1"/>
    <col min="3074" max="3074" width="18.25" style="10" bestFit="1" customWidth="1"/>
    <col min="3075" max="3075" width="15.75" style="10" bestFit="1" customWidth="1"/>
    <col min="3076" max="3076" width="50.625" style="10" customWidth="1"/>
    <col min="3077" max="3077" width="72.375" style="10" customWidth="1"/>
    <col min="3078" max="3328" width="9" style="10"/>
    <col min="3329" max="3329" width="13" style="10" customWidth="1"/>
    <col min="3330" max="3330" width="18.25" style="10" bestFit="1" customWidth="1"/>
    <col min="3331" max="3331" width="15.75" style="10" bestFit="1" customWidth="1"/>
    <col min="3332" max="3332" width="50.625" style="10" customWidth="1"/>
    <col min="3333" max="3333" width="72.375" style="10" customWidth="1"/>
    <col min="3334" max="3584" width="9" style="10"/>
    <col min="3585" max="3585" width="13" style="10" customWidth="1"/>
    <col min="3586" max="3586" width="18.25" style="10" bestFit="1" customWidth="1"/>
    <col min="3587" max="3587" width="15.75" style="10" bestFit="1" customWidth="1"/>
    <col min="3588" max="3588" width="50.625" style="10" customWidth="1"/>
    <col min="3589" max="3589" width="72.375" style="10" customWidth="1"/>
    <col min="3590" max="3840" width="9" style="10"/>
    <col min="3841" max="3841" width="13" style="10" customWidth="1"/>
    <col min="3842" max="3842" width="18.25" style="10" bestFit="1" customWidth="1"/>
    <col min="3843" max="3843" width="15.75" style="10" bestFit="1" customWidth="1"/>
    <col min="3844" max="3844" width="50.625" style="10" customWidth="1"/>
    <col min="3845" max="3845" width="72.375" style="10" customWidth="1"/>
    <col min="3846" max="4096" width="9" style="10"/>
    <col min="4097" max="4097" width="13" style="10" customWidth="1"/>
    <col min="4098" max="4098" width="18.25" style="10" bestFit="1" customWidth="1"/>
    <col min="4099" max="4099" width="15.75" style="10" bestFit="1" customWidth="1"/>
    <col min="4100" max="4100" width="50.625" style="10" customWidth="1"/>
    <col min="4101" max="4101" width="72.375" style="10" customWidth="1"/>
    <col min="4102" max="4352" width="9" style="10"/>
    <col min="4353" max="4353" width="13" style="10" customWidth="1"/>
    <col min="4354" max="4354" width="18.25" style="10" bestFit="1" customWidth="1"/>
    <col min="4355" max="4355" width="15.75" style="10" bestFit="1" customWidth="1"/>
    <col min="4356" max="4356" width="50.625" style="10" customWidth="1"/>
    <col min="4357" max="4357" width="72.375" style="10" customWidth="1"/>
    <col min="4358" max="4608" width="9" style="10"/>
    <col min="4609" max="4609" width="13" style="10" customWidth="1"/>
    <col min="4610" max="4610" width="18.25" style="10" bestFit="1" customWidth="1"/>
    <col min="4611" max="4611" width="15.75" style="10" bestFit="1" customWidth="1"/>
    <col min="4612" max="4612" width="50.625" style="10" customWidth="1"/>
    <col min="4613" max="4613" width="72.375" style="10" customWidth="1"/>
    <col min="4614" max="4864" width="9" style="10"/>
    <col min="4865" max="4865" width="13" style="10" customWidth="1"/>
    <col min="4866" max="4866" width="18.25" style="10" bestFit="1" customWidth="1"/>
    <col min="4867" max="4867" width="15.75" style="10" bestFit="1" customWidth="1"/>
    <col min="4868" max="4868" width="50.625" style="10" customWidth="1"/>
    <col min="4869" max="4869" width="72.375" style="10" customWidth="1"/>
    <col min="4870" max="5120" width="9" style="10"/>
    <col min="5121" max="5121" width="13" style="10" customWidth="1"/>
    <col min="5122" max="5122" width="18.25" style="10" bestFit="1" customWidth="1"/>
    <col min="5123" max="5123" width="15.75" style="10" bestFit="1" customWidth="1"/>
    <col min="5124" max="5124" width="50.625" style="10" customWidth="1"/>
    <col min="5125" max="5125" width="72.375" style="10" customWidth="1"/>
    <col min="5126" max="5376" width="9" style="10"/>
    <col min="5377" max="5377" width="13" style="10" customWidth="1"/>
    <col min="5378" max="5378" width="18.25" style="10" bestFit="1" customWidth="1"/>
    <col min="5379" max="5379" width="15.75" style="10" bestFit="1" customWidth="1"/>
    <col min="5380" max="5380" width="50.625" style="10" customWidth="1"/>
    <col min="5381" max="5381" width="72.375" style="10" customWidth="1"/>
    <col min="5382" max="5632" width="9" style="10"/>
    <col min="5633" max="5633" width="13" style="10" customWidth="1"/>
    <col min="5634" max="5634" width="18.25" style="10" bestFit="1" customWidth="1"/>
    <col min="5635" max="5635" width="15.75" style="10" bestFit="1" customWidth="1"/>
    <col min="5636" max="5636" width="50.625" style="10" customWidth="1"/>
    <col min="5637" max="5637" width="72.375" style="10" customWidth="1"/>
    <col min="5638" max="5888" width="9" style="10"/>
    <col min="5889" max="5889" width="13" style="10" customWidth="1"/>
    <col min="5890" max="5890" width="18.25" style="10" bestFit="1" customWidth="1"/>
    <col min="5891" max="5891" width="15.75" style="10" bestFit="1" customWidth="1"/>
    <col min="5892" max="5892" width="50.625" style="10" customWidth="1"/>
    <col min="5893" max="5893" width="72.375" style="10" customWidth="1"/>
    <col min="5894" max="6144" width="9" style="10"/>
    <col min="6145" max="6145" width="13" style="10" customWidth="1"/>
    <col min="6146" max="6146" width="18.25" style="10" bestFit="1" customWidth="1"/>
    <col min="6147" max="6147" width="15.75" style="10" bestFit="1" customWidth="1"/>
    <col min="6148" max="6148" width="50.625" style="10" customWidth="1"/>
    <col min="6149" max="6149" width="72.375" style="10" customWidth="1"/>
    <col min="6150" max="6400" width="9" style="10"/>
    <col min="6401" max="6401" width="13" style="10" customWidth="1"/>
    <col min="6402" max="6402" width="18.25" style="10" bestFit="1" customWidth="1"/>
    <col min="6403" max="6403" width="15.75" style="10" bestFit="1" customWidth="1"/>
    <col min="6404" max="6404" width="50.625" style="10" customWidth="1"/>
    <col min="6405" max="6405" width="72.375" style="10" customWidth="1"/>
    <col min="6406" max="6656" width="9" style="10"/>
    <col min="6657" max="6657" width="13" style="10" customWidth="1"/>
    <col min="6658" max="6658" width="18.25" style="10" bestFit="1" customWidth="1"/>
    <col min="6659" max="6659" width="15.75" style="10" bestFit="1" customWidth="1"/>
    <col min="6660" max="6660" width="50.625" style="10" customWidth="1"/>
    <col min="6661" max="6661" width="72.375" style="10" customWidth="1"/>
    <col min="6662" max="6912" width="9" style="10"/>
    <col min="6913" max="6913" width="13" style="10" customWidth="1"/>
    <col min="6914" max="6914" width="18.25" style="10" bestFit="1" customWidth="1"/>
    <col min="6915" max="6915" width="15.75" style="10" bestFit="1" customWidth="1"/>
    <col min="6916" max="6916" width="50.625" style="10" customWidth="1"/>
    <col min="6917" max="6917" width="72.375" style="10" customWidth="1"/>
    <col min="6918" max="7168" width="9" style="10"/>
    <col min="7169" max="7169" width="13" style="10" customWidth="1"/>
    <col min="7170" max="7170" width="18.25" style="10" bestFit="1" customWidth="1"/>
    <col min="7171" max="7171" width="15.75" style="10" bestFit="1" customWidth="1"/>
    <col min="7172" max="7172" width="50.625" style="10" customWidth="1"/>
    <col min="7173" max="7173" width="72.375" style="10" customWidth="1"/>
    <col min="7174" max="7424" width="9" style="10"/>
    <col min="7425" max="7425" width="13" style="10" customWidth="1"/>
    <col min="7426" max="7426" width="18.25" style="10" bestFit="1" customWidth="1"/>
    <col min="7427" max="7427" width="15.75" style="10" bestFit="1" customWidth="1"/>
    <col min="7428" max="7428" width="50.625" style="10" customWidth="1"/>
    <col min="7429" max="7429" width="72.375" style="10" customWidth="1"/>
    <col min="7430" max="7680" width="9" style="10"/>
    <col min="7681" max="7681" width="13" style="10" customWidth="1"/>
    <col min="7682" max="7682" width="18.25" style="10" bestFit="1" customWidth="1"/>
    <col min="7683" max="7683" width="15.75" style="10" bestFit="1" customWidth="1"/>
    <col min="7684" max="7684" width="50.625" style="10" customWidth="1"/>
    <col min="7685" max="7685" width="72.375" style="10" customWidth="1"/>
    <col min="7686" max="7936" width="9" style="10"/>
    <col min="7937" max="7937" width="13" style="10" customWidth="1"/>
    <col min="7938" max="7938" width="18.25" style="10" bestFit="1" customWidth="1"/>
    <col min="7939" max="7939" width="15.75" style="10" bestFit="1" customWidth="1"/>
    <col min="7940" max="7940" width="50.625" style="10" customWidth="1"/>
    <col min="7941" max="7941" width="72.375" style="10" customWidth="1"/>
    <col min="7942" max="8192" width="9" style="10"/>
    <col min="8193" max="8193" width="13" style="10" customWidth="1"/>
    <col min="8194" max="8194" width="18.25" style="10" bestFit="1" customWidth="1"/>
    <col min="8195" max="8195" width="15.75" style="10" bestFit="1" customWidth="1"/>
    <col min="8196" max="8196" width="50.625" style="10" customWidth="1"/>
    <col min="8197" max="8197" width="72.375" style="10" customWidth="1"/>
    <col min="8198" max="8448" width="9" style="10"/>
    <col min="8449" max="8449" width="13" style="10" customWidth="1"/>
    <col min="8450" max="8450" width="18.25" style="10" bestFit="1" customWidth="1"/>
    <col min="8451" max="8451" width="15.75" style="10" bestFit="1" customWidth="1"/>
    <col min="8452" max="8452" width="50.625" style="10" customWidth="1"/>
    <col min="8453" max="8453" width="72.375" style="10" customWidth="1"/>
    <col min="8454" max="8704" width="9" style="10"/>
    <col min="8705" max="8705" width="13" style="10" customWidth="1"/>
    <col min="8706" max="8706" width="18.25" style="10" bestFit="1" customWidth="1"/>
    <col min="8707" max="8707" width="15.75" style="10" bestFit="1" customWidth="1"/>
    <col min="8708" max="8708" width="50.625" style="10" customWidth="1"/>
    <col min="8709" max="8709" width="72.375" style="10" customWidth="1"/>
    <col min="8710" max="8960" width="9" style="10"/>
    <col min="8961" max="8961" width="13" style="10" customWidth="1"/>
    <col min="8962" max="8962" width="18.25" style="10" bestFit="1" customWidth="1"/>
    <col min="8963" max="8963" width="15.75" style="10" bestFit="1" customWidth="1"/>
    <col min="8964" max="8964" width="50.625" style="10" customWidth="1"/>
    <col min="8965" max="8965" width="72.375" style="10" customWidth="1"/>
    <col min="8966" max="9216" width="9" style="10"/>
    <col min="9217" max="9217" width="13" style="10" customWidth="1"/>
    <col min="9218" max="9218" width="18.25" style="10" bestFit="1" customWidth="1"/>
    <col min="9219" max="9219" width="15.75" style="10" bestFit="1" customWidth="1"/>
    <col min="9220" max="9220" width="50.625" style="10" customWidth="1"/>
    <col min="9221" max="9221" width="72.375" style="10" customWidth="1"/>
    <col min="9222" max="9472" width="9" style="10"/>
    <col min="9473" max="9473" width="13" style="10" customWidth="1"/>
    <col min="9474" max="9474" width="18.25" style="10" bestFit="1" customWidth="1"/>
    <col min="9475" max="9475" width="15.75" style="10" bestFit="1" customWidth="1"/>
    <col min="9476" max="9476" width="50.625" style="10" customWidth="1"/>
    <col min="9477" max="9477" width="72.375" style="10" customWidth="1"/>
    <col min="9478" max="9728" width="9" style="10"/>
    <col min="9729" max="9729" width="13" style="10" customWidth="1"/>
    <col min="9730" max="9730" width="18.25" style="10" bestFit="1" customWidth="1"/>
    <col min="9731" max="9731" width="15.75" style="10" bestFit="1" customWidth="1"/>
    <col min="9732" max="9732" width="50.625" style="10" customWidth="1"/>
    <col min="9733" max="9733" width="72.375" style="10" customWidth="1"/>
    <col min="9734" max="9984" width="9" style="10"/>
    <col min="9985" max="9985" width="13" style="10" customWidth="1"/>
    <col min="9986" max="9986" width="18.25" style="10" bestFit="1" customWidth="1"/>
    <col min="9987" max="9987" width="15.75" style="10" bestFit="1" customWidth="1"/>
    <col min="9988" max="9988" width="50.625" style="10" customWidth="1"/>
    <col min="9989" max="9989" width="72.375" style="10" customWidth="1"/>
    <col min="9990" max="10240" width="9" style="10"/>
    <col min="10241" max="10241" width="13" style="10" customWidth="1"/>
    <col min="10242" max="10242" width="18.25" style="10" bestFit="1" customWidth="1"/>
    <col min="10243" max="10243" width="15.75" style="10" bestFit="1" customWidth="1"/>
    <col min="10244" max="10244" width="50.625" style="10" customWidth="1"/>
    <col min="10245" max="10245" width="72.375" style="10" customWidth="1"/>
    <col min="10246" max="10496" width="9" style="10"/>
    <col min="10497" max="10497" width="13" style="10" customWidth="1"/>
    <col min="10498" max="10498" width="18.25" style="10" bestFit="1" customWidth="1"/>
    <col min="10499" max="10499" width="15.75" style="10" bestFit="1" customWidth="1"/>
    <col min="10500" max="10500" width="50.625" style="10" customWidth="1"/>
    <col min="10501" max="10501" width="72.375" style="10" customWidth="1"/>
    <col min="10502" max="10752" width="9" style="10"/>
    <col min="10753" max="10753" width="13" style="10" customWidth="1"/>
    <col min="10754" max="10754" width="18.25" style="10" bestFit="1" customWidth="1"/>
    <col min="10755" max="10755" width="15.75" style="10" bestFit="1" customWidth="1"/>
    <col min="10756" max="10756" width="50.625" style="10" customWidth="1"/>
    <col min="10757" max="10757" width="72.375" style="10" customWidth="1"/>
    <col min="10758" max="11008" width="9" style="10"/>
    <col min="11009" max="11009" width="13" style="10" customWidth="1"/>
    <col min="11010" max="11010" width="18.25" style="10" bestFit="1" customWidth="1"/>
    <col min="11011" max="11011" width="15.75" style="10" bestFit="1" customWidth="1"/>
    <col min="11012" max="11012" width="50.625" style="10" customWidth="1"/>
    <col min="11013" max="11013" width="72.375" style="10" customWidth="1"/>
    <col min="11014" max="11264" width="9" style="10"/>
    <col min="11265" max="11265" width="13" style="10" customWidth="1"/>
    <col min="11266" max="11266" width="18.25" style="10" bestFit="1" customWidth="1"/>
    <col min="11267" max="11267" width="15.75" style="10" bestFit="1" customWidth="1"/>
    <col min="11268" max="11268" width="50.625" style="10" customWidth="1"/>
    <col min="11269" max="11269" width="72.375" style="10" customWidth="1"/>
    <col min="11270" max="11520" width="9" style="10"/>
    <col min="11521" max="11521" width="13" style="10" customWidth="1"/>
    <col min="11522" max="11522" width="18.25" style="10" bestFit="1" customWidth="1"/>
    <col min="11523" max="11523" width="15.75" style="10" bestFit="1" customWidth="1"/>
    <col min="11524" max="11524" width="50.625" style="10" customWidth="1"/>
    <col min="11525" max="11525" width="72.375" style="10" customWidth="1"/>
    <col min="11526" max="11776" width="9" style="10"/>
    <col min="11777" max="11777" width="13" style="10" customWidth="1"/>
    <col min="11778" max="11778" width="18.25" style="10" bestFit="1" customWidth="1"/>
    <col min="11779" max="11779" width="15.75" style="10" bestFit="1" customWidth="1"/>
    <col min="11780" max="11780" width="50.625" style="10" customWidth="1"/>
    <col min="11781" max="11781" width="72.375" style="10" customWidth="1"/>
    <col min="11782" max="12032" width="9" style="10"/>
    <col min="12033" max="12033" width="13" style="10" customWidth="1"/>
    <col min="12034" max="12034" width="18.25" style="10" bestFit="1" customWidth="1"/>
    <col min="12035" max="12035" width="15.75" style="10" bestFit="1" customWidth="1"/>
    <col min="12036" max="12036" width="50.625" style="10" customWidth="1"/>
    <col min="12037" max="12037" width="72.375" style="10" customWidth="1"/>
    <col min="12038" max="12288" width="9" style="10"/>
    <col min="12289" max="12289" width="13" style="10" customWidth="1"/>
    <col min="12290" max="12290" width="18.25" style="10" bestFit="1" customWidth="1"/>
    <col min="12291" max="12291" width="15.75" style="10" bestFit="1" customWidth="1"/>
    <col min="12292" max="12292" width="50.625" style="10" customWidth="1"/>
    <col min="12293" max="12293" width="72.375" style="10" customWidth="1"/>
    <col min="12294" max="12544" width="9" style="10"/>
    <col min="12545" max="12545" width="13" style="10" customWidth="1"/>
    <col min="12546" max="12546" width="18.25" style="10" bestFit="1" customWidth="1"/>
    <col min="12547" max="12547" width="15.75" style="10" bestFit="1" customWidth="1"/>
    <col min="12548" max="12548" width="50.625" style="10" customWidth="1"/>
    <col min="12549" max="12549" width="72.375" style="10" customWidth="1"/>
    <col min="12550" max="12800" width="9" style="10"/>
    <col min="12801" max="12801" width="13" style="10" customWidth="1"/>
    <col min="12802" max="12802" width="18.25" style="10" bestFit="1" customWidth="1"/>
    <col min="12803" max="12803" width="15.75" style="10" bestFit="1" customWidth="1"/>
    <col min="12804" max="12804" width="50.625" style="10" customWidth="1"/>
    <col min="12805" max="12805" width="72.375" style="10" customWidth="1"/>
    <col min="12806" max="13056" width="9" style="10"/>
    <col min="13057" max="13057" width="13" style="10" customWidth="1"/>
    <col min="13058" max="13058" width="18.25" style="10" bestFit="1" customWidth="1"/>
    <col min="13059" max="13059" width="15.75" style="10" bestFit="1" customWidth="1"/>
    <col min="13060" max="13060" width="50.625" style="10" customWidth="1"/>
    <col min="13061" max="13061" width="72.375" style="10" customWidth="1"/>
    <col min="13062" max="13312" width="9" style="10"/>
    <col min="13313" max="13313" width="13" style="10" customWidth="1"/>
    <col min="13314" max="13314" width="18.25" style="10" bestFit="1" customWidth="1"/>
    <col min="13315" max="13315" width="15.75" style="10" bestFit="1" customWidth="1"/>
    <col min="13316" max="13316" width="50.625" style="10" customWidth="1"/>
    <col min="13317" max="13317" width="72.375" style="10" customWidth="1"/>
    <col min="13318" max="13568" width="9" style="10"/>
    <col min="13569" max="13569" width="13" style="10" customWidth="1"/>
    <col min="13570" max="13570" width="18.25" style="10" bestFit="1" customWidth="1"/>
    <col min="13571" max="13571" width="15.75" style="10" bestFit="1" customWidth="1"/>
    <col min="13572" max="13572" width="50.625" style="10" customWidth="1"/>
    <col min="13573" max="13573" width="72.375" style="10" customWidth="1"/>
    <col min="13574" max="13824" width="9" style="10"/>
    <col min="13825" max="13825" width="13" style="10" customWidth="1"/>
    <col min="13826" max="13826" width="18.25" style="10" bestFit="1" customWidth="1"/>
    <col min="13827" max="13827" width="15.75" style="10" bestFit="1" customWidth="1"/>
    <col min="13828" max="13828" width="50.625" style="10" customWidth="1"/>
    <col min="13829" max="13829" width="72.375" style="10" customWidth="1"/>
    <col min="13830" max="14080" width="9" style="10"/>
    <col min="14081" max="14081" width="13" style="10" customWidth="1"/>
    <col min="14082" max="14082" width="18.25" style="10" bestFit="1" customWidth="1"/>
    <col min="14083" max="14083" width="15.75" style="10" bestFit="1" customWidth="1"/>
    <col min="14084" max="14084" width="50.625" style="10" customWidth="1"/>
    <col min="14085" max="14085" width="72.375" style="10" customWidth="1"/>
    <col min="14086" max="14336" width="9" style="10"/>
    <col min="14337" max="14337" width="13" style="10" customWidth="1"/>
    <col min="14338" max="14338" width="18.25" style="10" bestFit="1" customWidth="1"/>
    <col min="14339" max="14339" width="15.75" style="10" bestFit="1" customWidth="1"/>
    <col min="14340" max="14340" width="50.625" style="10" customWidth="1"/>
    <col min="14341" max="14341" width="72.375" style="10" customWidth="1"/>
    <col min="14342" max="14592" width="9" style="10"/>
    <col min="14593" max="14593" width="13" style="10" customWidth="1"/>
    <col min="14594" max="14594" width="18.25" style="10" bestFit="1" customWidth="1"/>
    <col min="14595" max="14595" width="15.75" style="10" bestFit="1" customWidth="1"/>
    <col min="14596" max="14596" width="50.625" style="10" customWidth="1"/>
    <col min="14597" max="14597" width="72.375" style="10" customWidth="1"/>
    <col min="14598" max="14848" width="9" style="10"/>
    <col min="14849" max="14849" width="13" style="10" customWidth="1"/>
    <col min="14850" max="14850" width="18.25" style="10" bestFit="1" customWidth="1"/>
    <col min="14851" max="14851" width="15.75" style="10" bestFit="1" customWidth="1"/>
    <col min="14852" max="14852" width="50.625" style="10" customWidth="1"/>
    <col min="14853" max="14853" width="72.375" style="10" customWidth="1"/>
    <col min="14854" max="15104" width="9" style="10"/>
    <col min="15105" max="15105" width="13" style="10" customWidth="1"/>
    <col min="15106" max="15106" width="18.25" style="10" bestFit="1" customWidth="1"/>
    <col min="15107" max="15107" width="15.75" style="10" bestFit="1" customWidth="1"/>
    <col min="15108" max="15108" width="50.625" style="10" customWidth="1"/>
    <col min="15109" max="15109" width="72.375" style="10" customWidth="1"/>
    <col min="15110" max="15360" width="9" style="10"/>
    <col min="15361" max="15361" width="13" style="10" customWidth="1"/>
    <col min="15362" max="15362" width="18.25" style="10" bestFit="1" customWidth="1"/>
    <col min="15363" max="15363" width="15.75" style="10" bestFit="1" customWidth="1"/>
    <col min="15364" max="15364" width="50.625" style="10" customWidth="1"/>
    <col min="15365" max="15365" width="72.375" style="10" customWidth="1"/>
    <col min="15366" max="15616" width="9" style="10"/>
    <col min="15617" max="15617" width="13" style="10" customWidth="1"/>
    <col min="15618" max="15618" width="18.25" style="10" bestFit="1" customWidth="1"/>
    <col min="15619" max="15619" width="15.75" style="10" bestFit="1" customWidth="1"/>
    <col min="15620" max="15620" width="50.625" style="10" customWidth="1"/>
    <col min="15621" max="15621" width="72.375" style="10" customWidth="1"/>
    <col min="15622" max="15872" width="9" style="10"/>
    <col min="15873" max="15873" width="13" style="10" customWidth="1"/>
    <col min="15874" max="15874" width="18.25" style="10" bestFit="1" customWidth="1"/>
    <col min="15875" max="15875" width="15.75" style="10" bestFit="1" customWidth="1"/>
    <col min="15876" max="15876" width="50.625" style="10" customWidth="1"/>
    <col min="15877" max="15877" width="72.375" style="10" customWidth="1"/>
    <col min="15878" max="16128" width="9" style="10"/>
    <col min="16129" max="16129" width="13" style="10" customWidth="1"/>
    <col min="16130" max="16130" width="18.25" style="10" bestFit="1" customWidth="1"/>
    <col min="16131" max="16131" width="15.75" style="10" bestFit="1" customWidth="1"/>
    <col min="16132" max="16132" width="50.625" style="10" customWidth="1"/>
    <col min="16133" max="16133" width="72.375" style="10" customWidth="1"/>
    <col min="16134" max="16384" width="9" style="10"/>
  </cols>
  <sheetData>
    <row r="2" spans="1:6" ht="33.75" customHeight="1">
      <c r="A2" s="9" t="s">
        <v>1</v>
      </c>
    </row>
    <row r="3" spans="1:6" s="13" customFormat="1" ht="20.100000000000001" customHeight="1">
      <c r="A3" s="12" t="s">
        <v>2</v>
      </c>
      <c r="B3" s="12" t="s">
        <v>3</v>
      </c>
      <c r="C3" s="12" t="s">
        <v>4</v>
      </c>
      <c r="D3" s="12" t="s">
        <v>5</v>
      </c>
      <c r="E3" s="12" t="s">
        <v>6</v>
      </c>
      <c r="F3" s="12" t="s">
        <v>7</v>
      </c>
    </row>
    <row r="4" spans="1:6" ht="20.100000000000001" customHeight="1">
      <c r="A4" s="14" t="s">
        <v>8</v>
      </c>
      <c r="B4" s="15" t="s">
        <v>9</v>
      </c>
      <c r="C4" s="16" t="s">
        <v>10</v>
      </c>
      <c r="D4" s="17" t="s">
        <v>11</v>
      </c>
      <c r="E4" s="15" t="s">
        <v>12</v>
      </c>
      <c r="F4" s="15"/>
    </row>
    <row r="5" spans="1:6" ht="20.100000000000001" customHeight="1">
      <c r="A5" s="14" t="s">
        <v>8</v>
      </c>
      <c r="B5" s="15" t="s">
        <v>13</v>
      </c>
      <c r="C5" s="16" t="s">
        <v>14</v>
      </c>
      <c r="D5" s="17" t="s">
        <v>15</v>
      </c>
      <c r="E5" s="15" t="s">
        <v>16</v>
      </c>
      <c r="F5" s="15"/>
    </row>
    <row r="6" spans="1:6" ht="20.100000000000001" customHeight="1">
      <c r="A6" s="14" t="s">
        <v>8</v>
      </c>
      <c r="B6" s="15" t="s">
        <v>17</v>
      </c>
      <c r="C6" s="16" t="s">
        <v>18</v>
      </c>
      <c r="D6" s="17" t="s">
        <v>19</v>
      </c>
      <c r="E6" s="15" t="s">
        <v>20</v>
      </c>
      <c r="F6" s="15"/>
    </row>
    <row r="7" spans="1:6" ht="20.100000000000001" customHeight="1">
      <c r="A7" s="14" t="s">
        <v>8</v>
      </c>
      <c r="B7" s="15" t="s">
        <v>17</v>
      </c>
      <c r="C7" s="16" t="s">
        <v>21</v>
      </c>
      <c r="D7" s="17" t="s">
        <v>22</v>
      </c>
      <c r="E7" s="15" t="s">
        <v>23</v>
      </c>
      <c r="F7" s="15"/>
    </row>
    <row r="8" spans="1:6" ht="20.100000000000001" customHeight="1">
      <c r="A8" s="14" t="s">
        <v>8</v>
      </c>
      <c r="B8" s="15" t="s">
        <v>17</v>
      </c>
      <c r="C8" s="16" t="s">
        <v>24</v>
      </c>
      <c r="D8" s="17" t="s">
        <v>25</v>
      </c>
      <c r="E8" s="15" t="s">
        <v>26</v>
      </c>
      <c r="F8" s="15"/>
    </row>
    <row r="9" spans="1:6" ht="20.100000000000001" customHeight="1">
      <c r="A9" s="14" t="s">
        <v>8</v>
      </c>
      <c r="B9" s="15" t="s">
        <v>17</v>
      </c>
      <c r="C9" s="16" t="s">
        <v>27</v>
      </c>
      <c r="D9" s="17" t="s">
        <v>28</v>
      </c>
      <c r="E9" s="15" t="s">
        <v>29</v>
      </c>
      <c r="F9" s="15"/>
    </row>
    <row r="10" spans="1:6" ht="20.100000000000001" customHeight="1">
      <c r="A10" s="14" t="s">
        <v>8</v>
      </c>
      <c r="B10" s="15" t="s">
        <v>30</v>
      </c>
      <c r="C10" s="16" t="s">
        <v>31</v>
      </c>
      <c r="D10" s="17" t="s">
        <v>32</v>
      </c>
      <c r="E10" s="15" t="s">
        <v>33</v>
      </c>
      <c r="F10" s="15"/>
    </row>
    <row r="11" spans="1:6" ht="20.100000000000001" customHeight="1">
      <c r="A11" s="14" t="s">
        <v>8</v>
      </c>
      <c r="B11" s="15" t="s">
        <v>30</v>
      </c>
      <c r="C11" s="16" t="s">
        <v>34</v>
      </c>
      <c r="D11" s="17" t="s">
        <v>35</v>
      </c>
      <c r="E11" s="15" t="s">
        <v>36</v>
      </c>
      <c r="F11" s="15"/>
    </row>
    <row r="12" spans="1:6" ht="20.100000000000001" customHeight="1">
      <c r="A12" s="14" t="s">
        <v>8</v>
      </c>
      <c r="B12" s="15" t="s">
        <v>30</v>
      </c>
      <c r="C12" s="16" t="s">
        <v>37</v>
      </c>
      <c r="D12" s="17" t="s">
        <v>38</v>
      </c>
      <c r="E12" s="15" t="s">
        <v>39</v>
      </c>
      <c r="F12" s="15"/>
    </row>
    <row r="13" spans="1:6" ht="20.100000000000001" customHeight="1">
      <c r="A13" s="14" t="s">
        <v>8</v>
      </c>
      <c r="B13" s="15" t="s">
        <v>30</v>
      </c>
      <c r="C13" s="16" t="s">
        <v>40</v>
      </c>
      <c r="D13" s="17" t="s">
        <v>41</v>
      </c>
      <c r="E13" s="15" t="s">
        <v>42</v>
      </c>
      <c r="F13" s="15"/>
    </row>
    <row r="14" spans="1:6" ht="20.100000000000001" customHeight="1">
      <c r="A14" s="14" t="s">
        <v>8</v>
      </c>
      <c r="B14" s="15" t="s">
        <v>13</v>
      </c>
      <c r="C14" s="16" t="s">
        <v>43</v>
      </c>
      <c r="D14" s="17" t="s">
        <v>44</v>
      </c>
      <c r="E14" s="15" t="s">
        <v>45</v>
      </c>
      <c r="F14" s="15"/>
    </row>
    <row r="15" spans="1:6" ht="20.100000000000001" customHeight="1">
      <c r="A15" s="14" t="s">
        <v>8</v>
      </c>
      <c r="B15" s="15" t="s">
        <v>17</v>
      </c>
      <c r="C15" s="16" t="s">
        <v>46</v>
      </c>
      <c r="D15" s="17" t="s">
        <v>47</v>
      </c>
      <c r="E15" s="15" t="s">
        <v>48</v>
      </c>
      <c r="F15" s="15"/>
    </row>
    <row r="16" spans="1:6" ht="20.100000000000001" customHeight="1">
      <c r="A16" s="14" t="s">
        <v>8</v>
      </c>
      <c r="B16" s="15" t="s">
        <v>17</v>
      </c>
      <c r="C16" s="16" t="s">
        <v>49</v>
      </c>
      <c r="D16" s="17" t="s">
        <v>50</v>
      </c>
      <c r="E16" s="15" t="s">
        <v>51</v>
      </c>
      <c r="F16" s="15"/>
    </row>
    <row r="17" spans="1:6" ht="20.100000000000001" customHeight="1">
      <c r="A17" s="14" t="s">
        <v>8</v>
      </c>
      <c r="B17" s="15" t="s">
        <v>17</v>
      </c>
      <c r="C17" s="16" t="s">
        <v>52</v>
      </c>
      <c r="D17" s="17" t="s">
        <v>53</v>
      </c>
      <c r="E17" s="15" t="s">
        <v>54</v>
      </c>
      <c r="F17" s="15"/>
    </row>
    <row r="18" spans="1:6" ht="20.100000000000001" customHeight="1">
      <c r="A18" s="14" t="s">
        <v>8</v>
      </c>
      <c r="B18" s="15" t="s">
        <v>17</v>
      </c>
      <c r="C18" s="16" t="s">
        <v>55</v>
      </c>
      <c r="D18" s="17" t="s">
        <v>56</v>
      </c>
      <c r="E18" s="15" t="s">
        <v>57</v>
      </c>
      <c r="F18" s="15"/>
    </row>
    <row r="19" spans="1:6" ht="20.100000000000001" customHeight="1">
      <c r="A19" s="14" t="s">
        <v>8</v>
      </c>
      <c r="B19" s="15" t="s">
        <v>30</v>
      </c>
      <c r="C19" s="16" t="s">
        <v>58</v>
      </c>
      <c r="D19" s="17" t="s">
        <v>53</v>
      </c>
      <c r="E19" s="15" t="s">
        <v>59</v>
      </c>
      <c r="F19" s="15"/>
    </row>
    <row r="20" spans="1:6" ht="20.100000000000001" customHeight="1">
      <c r="A20" s="14" t="s">
        <v>8</v>
      </c>
      <c r="B20" s="15" t="s">
        <v>9</v>
      </c>
      <c r="C20" s="16" t="s">
        <v>60</v>
      </c>
      <c r="D20" s="17" t="s">
        <v>61</v>
      </c>
      <c r="E20" s="15" t="s">
        <v>62</v>
      </c>
      <c r="F20" s="15"/>
    </row>
    <row r="21" spans="1:6" ht="20.100000000000001" customHeight="1">
      <c r="A21" s="14" t="s">
        <v>8</v>
      </c>
      <c r="B21" s="15" t="s">
        <v>30</v>
      </c>
      <c r="C21" s="16" t="s">
        <v>63</v>
      </c>
      <c r="D21" s="17" t="s">
        <v>64</v>
      </c>
      <c r="E21" s="15" t="s">
        <v>65</v>
      </c>
      <c r="F21" s="15"/>
    </row>
    <row r="22" spans="1:6" ht="20.100000000000001" customHeight="1">
      <c r="A22" s="14" t="s">
        <v>8</v>
      </c>
      <c r="B22" s="15" t="s">
        <v>13</v>
      </c>
      <c r="C22" s="16" t="s">
        <v>66</v>
      </c>
      <c r="D22" s="17" t="s">
        <v>67</v>
      </c>
      <c r="E22" s="15" t="s">
        <v>68</v>
      </c>
      <c r="F22" s="15"/>
    </row>
    <row r="23" spans="1:6" ht="20.100000000000001" customHeight="1">
      <c r="A23" s="14" t="s">
        <v>8</v>
      </c>
      <c r="B23" s="15" t="s">
        <v>30</v>
      </c>
      <c r="C23" s="16" t="s">
        <v>69</v>
      </c>
      <c r="D23" s="17" t="s">
        <v>70</v>
      </c>
      <c r="E23" s="15" t="s">
        <v>71</v>
      </c>
      <c r="F23" s="15"/>
    </row>
    <row r="24" spans="1:6" ht="20.100000000000001" customHeight="1">
      <c r="A24" s="14" t="s">
        <v>8</v>
      </c>
      <c r="B24" s="15" t="s">
        <v>13</v>
      </c>
      <c r="C24" s="16" t="s">
        <v>72</v>
      </c>
      <c r="D24" s="17" t="s">
        <v>73</v>
      </c>
      <c r="E24" s="15" t="s">
        <v>74</v>
      </c>
      <c r="F24" s="15"/>
    </row>
    <row r="25" spans="1:6" ht="20.100000000000001" customHeight="1">
      <c r="A25" s="14" t="s">
        <v>8</v>
      </c>
      <c r="B25" s="15" t="s">
        <v>9</v>
      </c>
      <c r="C25" s="16" t="s">
        <v>75</v>
      </c>
      <c r="D25" s="17" t="s">
        <v>76</v>
      </c>
      <c r="E25" s="15" t="s">
        <v>77</v>
      </c>
      <c r="F25" s="15"/>
    </row>
    <row r="26" spans="1:6" ht="20.100000000000001" customHeight="1">
      <c r="A26" s="14" t="s">
        <v>8</v>
      </c>
      <c r="B26" s="15" t="s">
        <v>9</v>
      </c>
      <c r="C26" s="16" t="s">
        <v>78</v>
      </c>
      <c r="D26" s="17" t="s">
        <v>79</v>
      </c>
      <c r="E26" s="15" t="s">
        <v>80</v>
      </c>
      <c r="F26" s="15"/>
    </row>
    <row r="27" spans="1:6" ht="20.100000000000001" customHeight="1">
      <c r="A27" s="14" t="s">
        <v>8</v>
      </c>
      <c r="B27" s="15" t="s">
        <v>17</v>
      </c>
      <c r="C27" s="16" t="s">
        <v>81</v>
      </c>
      <c r="D27" s="17" t="s">
        <v>82</v>
      </c>
      <c r="E27" s="15" t="s">
        <v>83</v>
      </c>
      <c r="F27" s="15"/>
    </row>
    <row r="28" spans="1:6" ht="20.100000000000001" customHeight="1">
      <c r="A28" s="14" t="s">
        <v>8</v>
      </c>
      <c r="B28" s="15" t="s">
        <v>9</v>
      </c>
      <c r="C28" s="16" t="s">
        <v>84</v>
      </c>
      <c r="D28" s="17" t="s">
        <v>85</v>
      </c>
      <c r="E28" s="15" t="s">
        <v>86</v>
      </c>
      <c r="F28" s="15"/>
    </row>
    <row r="29" spans="1:6" ht="20.100000000000001" customHeight="1">
      <c r="A29" s="14" t="s">
        <v>8</v>
      </c>
      <c r="B29" s="15" t="s">
        <v>9</v>
      </c>
      <c r="C29" s="16" t="s">
        <v>87</v>
      </c>
      <c r="D29" s="17" t="s">
        <v>88</v>
      </c>
      <c r="E29" s="15" t="s">
        <v>89</v>
      </c>
      <c r="F29" s="15"/>
    </row>
    <row r="30" spans="1:6" ht="20.100000000000001" customHeight="1">
      <c r="A30" s="14" t="s">
        <v>8</v>
      </c>
      <c r="B30" s="15" t="s">
        <v>9</v>
      </c>
      <c r="C30" s="16" t="s">
        <v>90</v>
      </c>
      <c r="D30" s="17" t="s">
        <v>91</v>
      </c>
      <c r="E30" s="15" t="s">
        <v>92</v>
      </c>
      <c r="F30" s="15"/>
    </row>
    <row r="31" spans="1:6" ht="20.100000000000001" customHeight="1">
      <c r="A31" s="14" t="s">
        <v>8</v>
      </c>
      <c r="B31" s="15" t="s">
        <v>30</v>
      </c>
      <c r="C31" s="16" t="s">
        <v>93</v>
      </c>
      <c r="D31" s="17" t="s">
        <v>94</v>
      </c>
      <c r="E31" s="15" t="s">
        <v>95</v>
      </c>
      <c r="F31" s="15"/>
    </row>
    <row r="32" spans="1:6" ht="20.100000000000001" customHeight="1">
      <c r="A32" s="14" t="s">
        <v>8</v>
      </c>
      <c r="B32" s="15" t="s">
        <v>9</v>
      </c>
      <c r="C32" s="16" t="s">
        <v>96</v>
      </c>
      <c r="D32" s="17" t="s">
        <v>97</v>
      </c>
      <c r="E32" s="15" t="s">
        <v>98</v>
      </c>
      <c r="F32" s="15"/>
    </row>
    <row r="33" spans="1:6" ht="20.100000000000001" customHeight="1">
      <c r="A33" s="18" t="s">
        <v>8</v>
      </c>
      <c r="B33" s="19" t="s">
        <v>9</v>
      </c>
      <c r="C33" s="20" t="s">
        <v>99</v>
      </c>
      <c r="D33" s="21" t="s">
        <v>100</v>
      </c>
      <c r="E33" s="19" t="s">
        <v>101</v>
      </c>
      <c r="F33" s="19" t="s">
        <v>102</v>
      </c>
    </row>
    <row r="34" spans="1:6" ht="20.100000000000001" customHeight="1">
      <c r="A34" s="22" t="s">
        <v>8</v>
      </c>
      <c r="B34" s="23" t="s">
        <v>9</v>
      </c>
      <c r="C34" s="24" t="s">
        <v>103</v>
      </c>
      <c r="D34" s="25" t="s">
        <v>104</v>
      </c>
      <c r="E34" s="23" t="s">
        <v>101</v>
      </c>
      <c r="F34" s="15" t="s">
        <v>105</v>
      </c>
    </row>
    <row r="35" spans="1:6" ht="20.100000000000001" customHeight="1">
      <c r="A35" s="14" t="s">
        <v>8</v>
      </c>
      <c r="B35" s="15" t="s">
        <v>106</v>
      </c>
      <c r="C35" s="16" t="s">
        <v>107</v>
      </c>
      <c r="D35" s="17" t="s">
        <v>108</v>
      </c>
      <c r="E35" s="15" t="s">
        <v>109</v>
      </c>
      <c r="F35" s="15"/>
    </row>
    <row r="36" spans="1:6" ht="20.100000000000001" customHeight="1">
      <c r="A36" s="14" t="s">
        <v>8</v>
      </c>
      <c r="B36" s="15" t="s">
        <v>30</v>
      </c>
      <c r="C36" s="16" t="s">
        <v>110</v>
      </c>
      <c r="D36" s="17" t="s">
        <v>111</v>
      </c>
      <c r="E36" s="15" t="s">
        <v>112</v>
      </c>
      <c r="F36" s="15"/>
    </row>
    <row r="37" spans="1:6" ht="20.100000000000001" customHeight="1">
      <c r="A37" s="14" t="s">
        <v>8</v>
      </c>
      <c r="B37" s="15" t="s">
        <v>30</v>
      </c>
      <c r="C37" s="16" t="s">
        <v>113</v>
      </c>
      <c r="D37" s="17" t="s">
        <v>114</v>
      </c>
      <c r="E37" s="15" t="s">
        <v>115</v>
      </c>
      <c r="F37" s="15"/>
    </row>
    <row r="38" spans="1:6" ht="20.100000000000001" customHeight="1">
      <c r="A38" s="14" t="s">
        <v>8</v>
      </c>
      <c r="B38" s="15" t="s">
        <v>30</v>
      </c>
      <c r="C38" s="16" t="s">
        <v>116</v>
      </c>
      <c r="D38" s="17" t="s">
        <v>117</v>
      </c>
      <c r="E38" s="15" t="s">
        <v>118</v>
      </c>
      <c r="F38" s="15"/>
    </row>
    <row r="39" spans="1:6" ht="20.100000000000001" customHeight="1">
      <c r="A39" s="14" t="s">
        <v>8</v>
      </c>
      <c r="B39" s="15" t="s">
        <v>106</v>
      </c>
      <c r="C39" s="16" t="s">
        <v>119</v>
      </c>
      <c r="D39" s="17" t="s">
        <v>120</v>
      </c>
      <c r="E39" s="15" t="s">
        <v>121</v>
      </c>
      <c r="F39" s="15"/>
    </row>
    <row r="40" spans="1:6" ht="20.100000000000001" customHeight="1">
      <c r="A40" s="14" t="s">
        <v>8</v>
      </c>
      <c r="B40" s="15" t="s">
        <v>9</v>
      </c>
      <c r="C40" s="16" t="s">
        <v>122</v>
      </c>
      <c r="D40" s="17" t="s">
        <v>123</v>
      </c>
      <c r="E40" s="15" t="s">
        <v>124</v>
      </c>
      <c r="F40" s="15"/>
    </row>
    <row r="41" spans="1:6" ht="20.100000000000001" customHeight="1">
      <c r="A41" s="14" t="s">
        <v>8</v>
      </c>
      <c r="B41" s="15" t="s">
        <v>106</v>
      </c>
      <c r="C41" s="16" t="s">
        <v>125</v>
      </c>
      <c r="D41" s="17" t="s">
        <v>126</v>
      </c>
      <c r="E41" s="15" t="s">
        <v>127</v>
      </c>
      <c r="F41" s="15"/>
    </row>
    <row r="42" spans="1:6" ht="20.100000000000001" customHeight="1">
      <c r="A42" s="14" t="s">
        <v>8</v>
      </c>
      <c r="B42" s="15" t="s">
        <v>30</v>
      </c>
      <c r="C42" s="16" t="s">
        <v>128</v>
      </c>
      <c r="D42" s="17" t="s">
        <v>129</v>
      </c>
      <c r="E42" s="15" t="s">
        <v>130</v>
      </c>
      <c r="F42" s="15"/>
    </row>
    <row r="43" spans="1:6" ht="20.100000000000001" customHeight="1">
      <c r="A43" s="14" t="s">
        <v>8</v>
      </c>
      <c r="B43" s="15" t="s">
        <v>13</v>
      </c>
      <c r="C43" s="16" t="b">
        <v>0</v>
      </c>
      <c r="D43" s="17" t="s">
        <v>131</v>
      </c>
      <c r="E43" s="15" t="s">
        <v>132</v>
      </c>
      <c r="F43" s="15"/>
    </row>
    <row r="44" spans="1:6" ht="20.100000000000001" customHeight="1">
      <c r="A44" s="14" t="s">
        <v>8</v>
      </c>
      <c r="B44" s="15" t="s">
        <v>13</v>
      </c>
      <c r="C44" s="16" t="b">
        <v>1</v>
      </c>
      <c r="D44" s="17" t="s">
        <v>133</v>
      </c>
      <c r="E44" s="15" t="s">
        <v>134</v>
      </c>
      <c r="F44" s="15"/>
    </row>
    <row r="45" spans="1:6" ht="20.100000000000001" customHeight="1">
      <c r="A45" s="14" t="s">
        <v>135</v>
      </c>
      <c r="B45" s="15" t="s">
        <v>136</v>
      </c>
      <c r="C45" s="16" t="s">
        <v>137</v>
      </c>
      <c r="D45" s="17" t="s">
        <v>138</v>
      </c>
      <c r="E45" s="15" t="s">
        <v>139</v>
      </c>
      <c r="F45" s="15"/>
    </row>
    <row r="46" spans="1:6" ht="20.100000000000001" customHeight="1">
      <c r="A46" s="14" t="s">
        <v>135</v>
      </c>
      <c r="B46" s="15" t="s">
        <v>136</v>
      </c>
      <c r="C46" s="16" t="s">
        <v>140</v>
      </c>
      <c r="D46" s="17" t="s">
        <v>141</v>
      </c>
      <c r="E46" s="15" t="s">
        <v>142</v>
      </c>
      <c r="F46" s="15"/>
    </row>
    <row r="47" spans="1:6" ht="20.100000000000001" customHeight="1">
      <c r="A47" s="14" t="s">
        <v>135</v>
      </c>
      <c r="B47" s="15" t="s">
        <v>9</v>
      </c>
      <c r="C47" s="16" t="s">
        <v>143</v>
      </c>
      <c r="D47" s="17" t="s">
        <v>144</v>
      </c>
      <c r="E47" s="15" t="s">
        <v>145</v>
      </c>
      <c r="F47" s="15"/>
    </row>
    <row r="48" spans="1:6" ht="20.100000000000001" customHeight="1">
      <c r="A48" s="14" t="s">
        <v>135</v>
      </c>
      <c r="B48" s="15" t="s">
        <v>146</v>
      </c>
      <c r="C48" s="16" t="s">
        <v>147</v>
      </c>
      <c r="D48" s="17" t="s">
        <v>148</v>
      </c>
      <c r="E48" s="15" t="s">
        <v>149</v>
      </c>
      <c r="F48" s="15"/>
    </row>
    <row r="49" spans="1:6" ht="20.100000000000001" customHeight="1">
      <c r="A49" s="14" t="s">
        <v>135</v>
      </c>
      <c r="B49" s="15" t="s">
        <v>136</v>
      </c>
      <c r="C49" s="16" t="s">
        <v>150</v>
      </c>
      <c r="D49" s="17" t="s">
        <v>151</v>
      </c>
      <c r="E49" s="15" t="s">
        <v>152</v>
      </c>
      <c r="F49" s="15"/>
    </row>
    <row r="50" spans="1:6" ht="20.100000000000001" customHeight="1">
      <c r="A50" s="14" t="s">
        <v>135</v>
      </c>
      <c r="B50" s="15" t="s">
        <v>136</v>
      </c>
      <c r="C50" s="16" t="s">
        <v>153</v>
      </c>
      <c r="D50" s="17" t="s">
        <v>154</v>
      </c>
      <c r="E50" s="15" t="s">
        <v>155</v>
      </c>
      <c r="F50" s="15"/>
    </row>
    <row r="51" spans="1:6" ht="20.100000000000001" customHeight="1">
      <c r="A51" s="14" t="s">
        <v>135</v>
      </c>
      <c r="B51" s="15" t="s">
        <v>136</v>
      </c>
      <c r="C51" s="16" t="s">
        <v>156</v>
      </c>
      <c r="D51" s="17" t="s">
        <v>157</v>
      </c>
      <c r="E51" s="15" t="s">
        <v>158</v>
      </c>
      <c r="F51" s="15"/>
    </row>
    <row r="52" spans="1:6" ht="20.100000000000001" customHeight="1">
      <c r="A52" s="14" t="s">
        <v>135</v>
      </c>
      <c r="B52" s="15" t="s">
        <v>146</v>
      </c>
      <c r="C52" s="16" t="s">
        <v>159</v>
      </c>
      <c r="D52" s="17" t="s">
        <v>160</v>
      </c>
      <c r="E52" s="15" t="s">
        <v>161</v>
      </c>
      <c r="F52" s="15"/>
    </row>
    <row r="53" spans="1:6" ht="20.100000000000001" customHeight="1">
      <c r="A53" s="14" t="s">
        <v>135</v>
      </c>
      <c r="B53" s="15" t="s">
        <v>9</v>
      </c>
      <c r="C53" s="16" t="s">
        <v>162</v>
      </c>
      <c r="D53" s="17" t="s">
        <v>25</v>
      </c>
      <c r="E53" s="15" t="s">
        <v>163</v>
      </c>
      <c r="F53" s="15"/>
    </row>
    <row r="54" spans="1:6" ht="20.100000000000001" customHeight="1">
      <c r="A54" s="14" t="s">
        <v>135</v>
      </c>
      <c r="B54" s="15" t="s">
        <v>164</v>
      </c>
      <c r="C54" s="16" t="s">
        <v>165</v>
      </c>
      <c r="D54" s="17" t="s">
        <v>166</v>
      </c>
      <c r="E54" s="15" t="s">
        <v>167</v>
      </c>
      <c r="F54" s="15"/>
    </row>
    <row r="55" spans="1:6" ht="20.100000000000001" customHeight="1">
      <c r="A55" s="14" t="s">
        <v>135</v>
      </c>
      <c r="B55" s="15" t="s">
        <v>164</v>
      </c>
      <c r="C55" s="16" t="s">
        <v>168</v>
      </c>
      <c r="D55" s="17" t="s">
        <v>169</v>
      </c>
      <c r="E55" s="15" t="s">
        <v>170</v>
      </c>
      <c r="F55" s="15"/>
    </row>
    <row r="56" spans="1:6" ht="20.100000000000001" customHeight="1">
      <c r="A56" s="14" t="s">
        <v>135</v>
      </c>
      <c r="B56" s="15" t="s">
        <v>164</v>
      </c>
      <c r="C56" s="16" t="s">
        <v>171</v>
      </c>
      <c r="D56" s="17" t="s">
        <v>172</v>
      </c>
      <c r="E56" s="15" t="s">
        <v>173</v>
      </c>
      <c r="F56" s="15"/>
    </row>
    <row r="57" spans="1:6" ht="20.100000000000001" customHeight="1">
      <c r="A57" s="14" t="s">
        <v>135</v>
      </c>
      <c r="B57" s="15" t="s">
        <v>174</v>
      </c>
      <c r="C57" s="16" t="s">
        <v>175</v>
      </c>
      <c r="D57" s="17" t="s">
        <v>176</v>
      </c>
      <c r="E57" s="15" t="s">
        <v>177</v>
      </c>
      <c r="F57" s="15"/>
    </row>
    <row r="58" spans="1:6" ht="20.100000000000001" customHeight="1">
      <c r="A58" s="14" t="s">
        <v>135</v>
      </c>
      <c r="B58" s="15" t="s">
        <v>164</v>
      </c>
      <c r="C58" s="16" t="s">
        <v>178</v>
      </c>
      <c r="D58" s="17" t="s">
        <v>179</v>
      </c>
      <c r="E58" s="15" t="s">
        <v>180</v>
      </c>
      <c r="F58" s="15"/>
    </row>
    <row r="59" spans="1:6" ht="20.100000000000001" customHeight="1">
      <c r="A59" s="14" t="s">
        <v>135</v>
      </c>
      <c r="B59" s="15" t="s">
        <v>164</v>
      </c>
      <c r="C59" s="16" t="s">
        <v>181</v>
      </c>
      <c r="D59" s="17" t="s">
        <v>182</v>
      </c>
      <c r="E59" s="15" t="s">
        <v>183</v>
      </c>
      <c r="F59" s="15"/>
    </row>
    <row r="60" spans="1:6" ht="20.100000000000001" customHeight="1">
      <c r="A60" s="14" t="s">
        <v>135</v>
      </c>
      <c r="B60" s="15" t="s">
        <v>164</v>
      </c>
      <c r="C60" s="16" t="s">
        <v>184</v>
      </c>
      <c r="D60" s="17" t="s">
        <v>185</v>
      </c>
      <c r="E60" s="15" t="s">
        <v>186</v>
      </c>
      <c r="F60" s="15"/>
    </row>
    <row r="61" spans="1:6" ht="20.100000000000001" customHeight="1">
      <c r="A61" s="14" t="s">
        <v>135</v>
      </c>
      <c r="B61" s="15" t="s">
        <v>164</v>
      </c>
      <c r="C61" s="16" t="s">
        <v>187</v>
      </c>
      <c r="D61" s="17" t="s">
        <v>188</v>
      </c>
      <c r="E61" s="15" t="s">
        <v>189</v>
      </c>
      <c r="F61" s="15"/>
    </row>
    <row r="62" spans="1:6" ht="20.100000000000001" customHeight="1">
      <c r="A62" s="14" t="s">
        <v>135</v>
      </c>
      <c r="B62" s="15" t="s">
        <v>164</v>
      </c>
      <c r="C62" s="16" t="s">
        <v>190</v>
      </c>
      <c r="D62" s="17" t="s">
        <v>191</v>
      </c>
      <c r="E62" s="15" t="s">
        <v>192</v>
      </c>
      <c r="F62" s="15"/>
    </row>
    <row r="63" spans="1:6" ht="20.100000000000001" customHeight="1">
      <c r="A63" s="14" t="s">
        <v>135</v>
      </c>
      <c r="B63" s="15" t="s">
        <v>30</v>
      </c>
      <c r="C63" s="16" t="s">
        <v>193</v>
      </c>
      <c r="D63" s="17" t="s">
        <v>194</v>
      </c>
      <c r="E63" s="15" t="s">
        <v>195</v>
      </c>
      <c r="F63" s="15"/>
    </row>
    <row r="64" spans="1:6" ht="20.100000000000001" customHeight="1">
      <c r="A64" s="14" t="s">
        <v>135</v>
      </c>
      <c r="B64" s="15" t="s">
        <v>30</v>
      </c>
      <c r="C64" s="16" t="s">
        <v>196</v>
      </c>
      <c r="D64" s="17" t="s">
        <v>197</v>
      </c>
      <c r="E64" s="15" t="s">
        <v>198</v>
      </c>
      <c r="F64" s="15"/>
    </row>
    <row r="65" spans="1:6" ht="20.100000000000001" customHeight="1">
      <c r="A65" s="14" t="s">
        <v>135</v>
      </c>
      <c r="B65" s="15" t="s">
        <v>9</v>
      </c>
      <c r="C65" s="16" t="s">
        <v>199</v>
      </c>
      <c r="D65" s="17" t="s">
        <v>200</v>
      </c>
      <c r="E65" s="15" t="s">
        <v>201</v>
      </c>
      <c r="F65" s="15"/>
    </row>
    <row r="66" spans="1:6" ht="20.100000000000001" customHeight="1">
      <c r="A66" s="14" t="s">
        <v>135</v>
      </c>
      <c r="B66" s="15" t="s">
        <v>106</v>
      </c>
      <c r="C66" s="16" t="s">
        <v>202</v>
      </c>
      <c r="D66" s="17" t="s">
        <v>203</v>
      </c>
      <c r="E66" s="15" t="s">
        <v>204</v>
      </c>
      <c r="F66" s="15"/>
    </row>
    <row r="67" spans="1:6" ht="20.100000000000001" customHeight="1">
      <c r="A67" s="14" t="s">
        <v>135</v>
      </c>
      <c r="B67" s="15" t="s">
        <v>106</v>
      </c>
      <c r="C67" s="16" t="s">
        <v>205</v>
      </c>
      <c r="D67" s="17" t="s">
        <v>206</v>
      </c>
      <c r="E67" s="15" t="s">
        <v>207</v>
      </c>
      <c r="F67" s="15"/>
    </row>
    <row r="68" spans="1:6" ht="20.100000000000001" customHeight="1">
      <c r="A68" s="14" t="s">
        <v>135</v>
      </c>
      <c r="B68" s="15" t="s">
        <v>106</v>
      </c>
      <c r="C68" s="16" t="s">
        <v>208</v>
      </c>
      <c r="D68" s="17" t="s">
        <v>209</v>
      </c>
      <c r="E68" s="15" t="s">
        <v>207</v>
      </c>
      <c r="F68" s="15"/>
    </row>
    <row r="69" spans="1:6" ht="20.100000000000001" customHeight="1">
      <c r="A69" s="14" t="s">
        <v>135</v>
      </c>
      <c r="B69" s="15" t="s">
        <v>106</v>
      </c>
      <c r="C69" s="16" t="s">
        <v>210</v>
      </c>
      <c r="D69" s="17" t="s">
        <v>211</v>
      </c>
      <c r="E69" s="15" t="s">
        <v>212</v>
      </c>
      <c r="F69" s="15"/>
    </row>
    <row r="70" spans="1:6" ht="20.100000000000001" customHeight="1">
      <c r="A70" s="14" t="s">
        <v>135</v>
      </c>
      <c r="B70" s="15" t="s">
        <v>9</v>
      </c>
      <c r="C70" s="16" t="s">
        <v>213</v>
      </c>
      <c r="D70" s="17" t="s">
        <v>214</v>
      </c>
      <c r="E70" s="15" t="s">
        <v>215</v>
      </c>
      <c r="F70" s="15"/>
    </row>
    <row r="71" spans="1:6" ht="20.100000000000001" customHeight="1">
      <c r="A71" s="14" t="s">
        <v>135</v>
      </c>
      <c r="B71" s="15" t="s">
        <v>136</v>
      </c>
      <c r="C71" s="16" t="s">
        <v>216</v>
      </c>
      <c r="D71" s="17" t="s">
        <v>217</v>
      </c>
      <c r="E71" s="15" t="s">
        <v>218</v>
      </c>
      <c r="F71" s="15"/>
    </row>
    <row r="72" spans="1:6" ht="20.100000000000001" customHeight="1">
      <c r="A72" s="14" t="s">
        <v>135</v>
      </c>
      <c r="B72" s="15" t="s">
        <v>136</v>
      </c>
      <c r="C72" s="16" t="s">
        <v>219</v>
      </c>
      <c r="D72" s="17" t="s">
        <v>220</v>
      </c>
      <c r="E72" s="15" t="s">
        <v>221</v>
      </c>
      <c r="F72" s="15"/>
    </row>
    <row r="73" spans="1:6" ht="20.100000000000001" customHeight="1">
      <c r="A73" s="14" t="s">
        <v>135</v>
      </c>
      <c r="B73" s="15" t="s">
        <v>136</v>
      </c>
      <c r="C73" s="16" t="s">
        <v>222</v>
      </c>
      <c r="D73" s="17" t="s">
        <v>223</v>
      </c>
      <c r="E73" s="15" t="s">
        <v>224</v>
      </c>
      <c r="F73" s="15"/>
    </row>
    <row r="74" spans="1:6" ht="20.100000000000001" customHeight="1">
      <c r="A74" s="14" t="s">
        <v>135</v>
      </c>
      <c r="B74" s="15" t="s">
        <v>146</v>
      </c>
      <c r="C74" s="16" t="s">
        <v>225</v>
      </c>
      <c r="D74" s="17" t="s">
        <v>226</v>
      </c>
      <c r="E74" s="15" t="s">
        <v>227</v>
      </c>
      <c r="F74" s="15"/>
    </row>
    <row r="75" spans="1:6" ht="20.100000000000001" customHeight="1">
      <c r="A75" s="14" t="s">
        <v>135</v>
      </c>
      <c r="B75" s="15" t="s">
        <v>9</v>
      </c>
      <c r="C75" s="16" t="s">
        <v>228</v>
      </c>
      <c r="D75" s="17" t="s">
        <v>229</v>
      </c>
      <c r="E75" s="15" t="s">
        <v>230</v>
      </c>
      <c r="F75" s="15"/>
    </row>
    <row r="76" spans="1:6" ht="20.100000000000001" customHeight="1">
      <c r="A76" s="14" t="s">
        <v>135</v>
      </c>
      <c r="B76" s="15" t="s">
        <v>146</v>
      </c>
      <c r="C76" s="16" t="s">
        <v>231</v>
      </c>
      <c r="D76" s="17" t="s">
        <v>232</v>
      </c>
      <c r="E76" s="15" t="s">
        <v>233</v>
      </c>
      <c r="F76" s="15"/>
    </row>
    <row r="77" spans="1:6" ht="20.100000000000001" customHeight="1">
      <c r="A77" s="14" t="s">
        <v>135</v>
      </c>
      <c r="B77" s="15" t="s">
        <v>146</v>
      </c>
      <c r="C77" s="16" t="s">
        <v>234</v>
      </c>
      <c r="D77" s="17" t="s">
        <v>235</v>
      </c>
      <c r="E77" s="15" t="s">
        <v>236</v>
      </c>
      <c r="F77" s="15"/>
    </row>
    <row r="78" spans="1:6" ht="20.100000000000001" customHeight="1">
      <c r="A78" s="14" t="s">
        <v>135</v>
      </c>
      <c r="B78" s="15" t="s">
        <v>146</v>
      </c>
      <c r="C78" s="16" t="s">
        <v>237</v>
      </c>
      <c r="D78" s="17" t="s">
        <v>238</v>
      </c>
      <c r="E78" s="15" t="s">
        <v>239</v>
      </c>
      <c r="F78" s="15" t="s">
        <v>240</v>
      </c>
    </row>
    <row r="79" spans="1:6" ht="20.100000000000001" customHeight="1">
      <c r="A79" s="14" t="s">
        <v>135</v>
      </c>
      <c r="B79" s="15" t="s">
        <v>146</v>
      </c>
      <c r="C79" s="16" t="s">
        <v>241</v>
      </c>
      <c r="D79" s="17" t="s">
        <v>242</v>
      </c>
      <c r="E79" s="15" t="s">
        <v>243</v>
      </c>
      <c r="F79" s="15" t="s">
        <v>244</v>
      </c>
    </row>
    <row r="80" spans="1:6" ht="20.100000000000001" customHeight="1">
      <c r="A80" s="14" t="s">
        <v>135</v>
      </c>
      <c r="B80" s="15" t="s">
        <v>146</v>
      </c>
      <c r="C80" s="16" t="s">
        <v>245</v>
      </c>
      <c r="D80" s="17" t="s">
        <v>246</v>
      </c>
      <c r="E80" s="15" t="s">
        <v>247</v>
      </c>
      <c r="F80" s="15"/>
    </row>
    <row r="81" spans="1:6" ht="20.100000000000001" customHeight="1">
      <c r="A81" s="14" t="s">
        <v>135</v>
      </c>
      <c r="B81" s="15" t="s">
        <v>146</v>
      </c>
      <c r="C81" s="16" t="s">
        <v>248</v>
      </c>
      <c r="D81" s="17" t="s">
        <v>249</v>
      </c>
      <c r="E81" s="15" t="s">
        <v>250</v>
      </c>
      <c r="F81" s="15"/>
    </row>
    <row r="82" spans="1:6" ht="20.100000000000001" customHeight="1">
      <c r="A82" s="14" t="s">
        <v>135</v>
      </c>
      <c r="B82" s="15" t="s">
        <v>146</v>
      </c>
      <c r="C82" s="16" t="s">
        <v>251</v>
      </c>
      <c r="D82" s="17" t="s">
        <v>252</v>
      </c>
      <c r="E82" s="15" t="s">
        <v>253</v>
      </c>
      <c r="F82" s="15"/>
    </row>
    <row r="83" spans="1:6" ht="20.100000000000001" customHeight="1">
      <c r="A83" s="14" t="s">
        <v>135</v>
      </c>
      <c r="B83" s="15" t="s">
        <v>146</v>
      </c>
      <c r="C83" s="16" t="s">
        <v>254</v>
      </c>
      <c r="D83" s="17" t="s">
        <v>255</v>
      </c>
      <c r="E83" s="15" t="s">
        <v>256</v>
      </c>
      <c r="F83" s="15"/>
    </row>
    <row r="84" spans="1:6" ht="20.100000000000001" customHeight="1">
      <c r="A84" s="14" t="s">
        <v>135</v>
      </c>
      <c r="B84" s="15" t="s">
        <v>146</v>
      </c>
      <c r="C84" s="16" t="s">
        <v>257</v>
      </c>
      <c r="D84" s="17" t="s">
        <v>258</v>
      </c>
      <c r="E84" s="15" t="s">
        <v>259</v>
      </c>
      <c r="F84" s="15"/>
    </row>
    <row r="85" spans="1:6" ht="20.100000000000001" customHeight="1">
      <c r="A85" s="14" t="s">
        <v>135</v>
      </c>
      <c r="B85" s="15" t="s">
        <v>146</v>
      </c>
      <c r="C85" s="16" t="s">
        <v>260</v>
      </c>
      <c r="D85" s="17" t="s">
        <v>261</v>
      </c>
      <c r="E85" s="15" t="s">
        <v>262</v>
      </c>
      <c r="F85" s="15"/>
    </row>
    <row r="86" spans="1:6" ht="20.100000000000001" customHeight="1">
      <c r="A86" s="14" t="s">
        <v>135</v>
      </c>
      <c r="B86" s="15" t="s">
        <v>146</v>
      </c>
      <c r="C86" s="16" t="s">
        <v>263</v>
      </c>
      <c r="D86" s="17" t="s">
        <v>264</v>
      </c>
      <c r="E86" s="15" t="s">
        <v>265</v>
      </c>
      <c r="F86" s="15"/>
    </row>
    <row r="87" spans="1:6" ht="20.100000000000001" customHeight="1">
      <c r="A87" s="14" t="s">
        <v>135</v>
      </c>
      <c r="B87" s="15" t="s">
        <v>146</v>
      </c>
      <c r="C87" s="16" t="s">
        <v>266</v>
      </c>
      <c r="D87" s="17" t="s">
        <v>267</v>
      </c>
      <c r="E87" s="15" t="s">
        <v>268</v>
      </c>
      <c r="F87" s="15"/>
    </row>
    <row r="88" spans="1:6" ht="20.100000000000001" customHeight="1">
      <c r="A88" s="14" t="s">
        <v>135</v>
      </c>
      <c r="B88" s="15" t="s">
        <v>17</v>
      </c>
      <c r="C88" s="16" t="s">
        <v>269</v>
      </c>
      <c r="D88" s="17" t="s">
        <v>270</v>
      </c>
      <c r="E88" s="15" t="s">
        <v>271</v>
      </c>
      <c r="F88" s="15"/>
    </row>
    <row r="89" spans="1:6" ht="20.100000000000001" customHeight="1">
      <c r="A89" s="14" t="s">
        <v>135</v>
      </c>
      <c r="B89" s="15" t="s">
        <v>106</v>
      </c>
      <c r="C89" s="16" t="s">
        <v>272</v>
      </c>
      <c r="D89" s="17" t="s">
        <v>273</v>
      </c>
      <c r="E89" s="15" t="s">
        <v>274</v>
      </c>
      <c r="F89" s="15"/>
    </row>
    <row r="90" spans="1:6" ht="20.100000000000001" customHeight="1">
      <c r="A90" s="14" t="s">
        <v>135</v>
      </c>
      <c r="B90" s="15" t="s">
        <v>106</v>
      </c>
      <c r="C90" s="16" t="s">
        <v>275</v>
      </c>
      <c r="D90" s="17" t="s">
        <v>276</v>
      </c>
      <c r="E90" s="15" t="s">
        <v>274</v>
      </c>
      <c r="F90" s="15"/>
    </row>
    <row r="91" spans="1:6" ht="20.100000000000001" customHeight="1">
      <c r="A91" s="14" t="s">
        <v>135</v>
      </c>
      <c r="B91" s="15" t="s">
        <v>106</v>
      </c>
      <c r="C91" s="16" t="s">
        <v>277</v>
      </c>
      <c r="D91" s="17" t="s">
        <v>278</v>
      </c>
      <c r="E91" s="15" t="s">
        <v>279</v>
      </c>
      <c r="F91" s="15"/>
    </row>
    <row r="92" spans="1:6" ht="20.100000000000001" customHeight="1">
      <c r="A92" s="14" t="s">
        <v>135</v>
      </c>
      <c r="B92" s="15" t="s">
        <v>106</v>
      </c>
      <c r="C92" s="16" t="s">
        <v>280</v>
      </c>
      <c r="D92" s="17" t="s">
        <v>281</v>
      </c>
      <c r="E92" s="15" t="s">
        <v>279</v>
      </c>
      <c r="F92" s="15"/>
    </row>
    <row r="93" spans="1:6" ht="20.100000000000001" customHeight="1">
      <c r="A93" s="14" t="s">
        <v>135</v>
      </c>
      <c r="B93" s="15" t="s">
        <v>106</v>
      </c>
      <c r="C93" s="16" t="s">
        <v>282</v>
      </c>
      <c r="D93" s="17" t="s">
        <v>283</v>
      </c>
      <c r="E93" s="15" t="s">
        <v>284</v>
      </c>
      <c r="F93" s="15"/>
    </row>
    <row r="94" spans="1:6" ht="20.100000000000001" customHeight="1">
      <c r="A94" s="14" t="s">
        <v>135</v>
      </c>
      <c r="B94" s="15" t="s">
        <v>136</v>
      </c>
      <c r="C94" s="16" t="s">
        <v>285</v>
      </c>
      <c r="D94" s="17" t="s">
        <v>286</v>
      </c>
      <c r="E94" s="15" t="s">
        <v>287</v>
      </c>
      <c r="F94" s="15"/>
    </row>
    <row r="95" spans="1:6" ht="20.100000000000001" customHeight="1">
      <c r="A95" s="14" t="s">
        <v>135</v>
      </c>
      <c r="B95" s="15" t="s">
        <v>17</v>
      </c>
      <c r="C95" s="16" t="s">
        <v>288</v>
      </c>
      <c r="D95" s="17" t="s">
        <v>289</v>
      </c>
      <c r="E95" s="15" t="s">
        <v>290</v>
      </c>
      <c r="F95" s="15"/>
    </row>
    <row r="96" spans="1:6" ht="20.100000000000001" customHeight="1">
      <c r="A96" s="14" t="s">
        <v>135</v>
      </c>
      <c r="B96" s="15" t="s">
        <v>106</v>
      </c>
      <c r="C96" s="16" t="s">
        <v>291</v>
      </c>
      <c r="D96" s="17" t="s">
        <v>292</v>
      </c>
      <c r="E96" s="15" t="s">
        <v>293</v>
      </c>
      <c r="F96" s="15"/>
    </row>
    <row r="97" spans="1:6" ht="20.100000000000001" customHeight="1">
      <c r="A97" s="14" t="s">
        <v>135</v>
      </c>
      <c r="B97" s="15" t="s">
        <v>106</v>
      </c>
      <c r="C97" s="16" t="s">
        <v>294</v>
      </c>
      <c r="D97" s="17" t="s">
        <v>295</v>
      </c>
      <c r="E97" s="15" t="s">
        <v>293</v>
      </c>
      <c r="F97" s="15"/>
    </row>
    <row r="98" spans="1:6" ht="20.100000000000001" customHeight="1">
      <c r="A98" s="14" t="s">
        <v>135</v>
      </c>
      <c r="B98" s="15" t="s">
        <v>17</v>
      </c>
      <c r="C98" s="16" t="s">
        <v>296</v>
      </c>
      <c r="D98" s="17" t="s">
        <v>297</v>
      </c>
      <c r="E98" s="15" t="s">
        <v>298</v>
      </c>
      <c r="F98" s="15"/>
    </row>
    <row r="99" spans="1:6" ht="20.100000000000001" customHeight="1">
      <c r="A99" s="14" t="s">
        <v>135</v>
      </c>
      <c r="B99" s="15" t="s">
        <v>9</v>
      </c>
      <c r="C99" s="16" t="s">
        <v>299</v>
      </c>
      <c r="D99" s="17" t="s">
        <v>300</v>
      </c>
      <c r="E99" s="15" t="s">
        <v>301</v>
      </c>
      <c r="F99" s="15"/>
    </row>
    <row r="100" spans="1:6" ht="20.100000000000001" customHeight="1">
      <c r="A100" s="14" t="s">
        <v>135</v>
      </c>
      <c r="B100" s="15" t="s">
        <v>146</v>
      </c>
      <c r="C100" s="16" t="s">
        <v>302</v>
      </c>
      <c r="D100" s="17" t="s">
        <v>303</v>
      </c>
      <c r="E100" s="15" t="s">
        <v>304</v>
      </c>
      <c r="F100" s="15"/>
    </row>
    <row r="101" spans="1:6" ht="20.100000000000001" customHeight="1">
      <c r="A101" s="14" t="s">
        <v>135</v>
      </c>
      <c r="B101" s="15" t="s">
        <v>9</v>
      </c>
      <c r="C101" s="16" t="s">
        <v>305</v>
      </c>
      <c r="D101" s="17" t="s">
        <v>306</v>
      </c>
      <c r="E101" s="15" t="s">
        <v>307</v>
      </c>
      <c r="F101" s="15"/>
    </row>
    <row r="102" spans="1:6" ht="20.100000000000001" customHeight="1">
      <c r="A102" s="14" t="s">
        <v>135</v>
      </c>
      <c r="B102" s="15" t="s">
        <v>136</v>
      </c>
      <c r="C102" s="16" t="s">
        <v>308</v>
      </c>
      <c r="D102" s="17" t="s">
        <v>309</v>
      </c>
      <c r="E102" s="15" t="s">
        <v>310</v>
      </c>
      <c r="F102" s="15"/>
    </row>
    <row r="103" spans="1:6" ht="20.100000000000001" customHeight="1">
      <c r="A103" s="14" t="s">
        <v>135</v>
      </c>
      <c r="B103" s="15" t="s">
        <v>9</v>
      </c>
      <c r="C103" s="16" t="s">
        <v>311</v>
      </c>
      <c r="D103" s="17" t="s">
        <v>312</v>
      </c>
      <c r="E103" s="15" t="s">
        <v>313</v>
      </c>
      <c r="F103" s="15"/>
    </row>
    <row r="104" spans="1:6" ht="20.100000000000001" customHeight="1">
      <c r="A104" s="14" t="s">
        <v>135</v>
      </c>
      <c r="B104" s="15" t="s">
        <v>9</v>
      </c>
      <c r="C104" s="16" t="s">
        <v>314</v>
      </c>
      <c r="D104" s="17" t="s">
        <v>315</v>
      </c>
      <c r="E104" s="15" t="s">
        <v>316</v>
      </c>
      <c r="F104" s="15"/>
    </row>
    <row r="105" spans="1:6" ht="20.100000000000001" customHeight="1">
      <c r="A105" s="14" t="s">
        <v>135</v>
      </c>
      <c r="B105" s="15" t="s">
        <v>9</v>
      </c>
      <c r="C105" s="16" t="s">
        <v>317</v>
      </c>
      <c r="D105" s="17" t="s">
        <v>318</v>
      </c>
      <c r="E105" s="15" t="s">
        <v>319</v>
      </c>
      <c r="F105" s="15"/>
    </row>
    <row r="106" spans="1:6" ht="20.100000000000001" customHeight="1">
      <c r="A106" s="14" t="s">
        <v>135</v>
      </c>
      <c r="B106" s="15" t="s">
        <v>9</v>
      </c>
      <c r="C106" s="16" t="s">
        <v>320</v>
      </c>
      <c r="D106" s="17" t="s">
        <v>321</v>
      </c>
      <c r="E106" s="15" t="s">
        <v>322</v>
      </c>
      <c r="F106" s="15"/>
    </row>
    <row r="107" spans="1:6" ht="20.100000000000001" customHeight="1">
      <c r="A107" s="14" t="s">
        <v>135</v>
      </c>
      <c r="B107" s="15" t="s">
        <v>106</v>
      </c>
      <c r="C107" s="16" t="s">
        <v>323</v>
      </c>
      <c r="D107" s="17" t="s">
        <v>324</v>
      </c>
      <c r="E107" s="15" t="s">
        <v>325</v>
      </c>
      <c r="F107" s="15"/>
    </row>
    <row r="108" spans="1:6" ht="20.100000000000001" customHeight="1">
      <c r="A108" s="14" t="s">
        <v>135</v>
      </c>
      <c r="B108" s="15" t="s">
        <v>106</v>
      </c>
      <c r="C108" s="16" t="s">
        <v>326</v>
      </c>
      <c r="D108" s="17" t="s">
        <v>327</v>
      </c>
      <c r="E108" s="15" t="s">
        <v>325</v>
      </c>
      <c r="F108" s="15"/>
    </row>
    <row r="109" spans="1:6" ht="20.100000000000001" customHeight="1">
      <c r="A109" s="14" t="s">
        <v>135</v>
      </c>
      <c r="B109" s="15" t="s">
        <v>106</v>
      </c>
      <c r="C109" s="16" t="s">
        <v>328</v>
      </c>
      <c r="D109" s="17" t="s">
        <v>329</v>
      </c>
      <c r="E109" s="15" t="s">
        <v>330</v>
      </c>
      <c r="F109" s="15"/>
    </row>
    <row r="110" spans="1:6" ht="20.100000000000001" customHeight="1">
      <c r="A110" s="14" t="s">
        <v>135</v>
      </c>
      <c r="B110" s="15" t="s">
        <v>106</v>
      </c>
      <c r="C110" s="16" t="s">
        <v>331</v>
      </c>
      <c r="D110" s="17" t="s">
        <v>332</v>
      </c>
      <c r="E110" s="15" t="s">
        <v>333</v>
      </c>
      <c r="F110" s="15"/>
    </row>
    <row r="111" spans="1:6" ht="20.100000000000001" customHeight="1">
      <c r="A111" s="14" t="s">
        <v>135</v>
      </c>
      <c r="B111" s="15" t="s">
        <v>106</v>
      </c>
      <c r="C111" s="16" t="s">
        <v>334</v>
      </c>
      <c r="D111" s="17" t="s">
        <v>335</v>
      </c>
      <c r="E111" s="15" t="s">
        <v>333</v>
      </c>
      <c r="F111" s="15"/>
    </row>
    <row r="112" spans="1:6" ht="20.100000000000001" customHeight="1">
      <c r="A112" s="14" t="s">
        <v>135</v>
      </c>
      <c r="B112" s="15" t="s">
        <v>136</v>
      </c>
      <c r="C112" s="16" t="s">
        <v>336</v>
      </c>
      <c r="D112" s="17" t="s">
        <v>337</v>
      </c>
      <c r="E112" s="15" t="s">
        <v>338</v>
      </c>
      <c r="F112" s="15"/>
    </row>
    <row r="113" spans="1:6" ht="20.100000000000001" customHeight="1">
      <c r="A113" s="14" t="s">
        <v>135</v>
      </c>
      <c r="B113" s="15" t="s">
        <v>136</v>
      </c>
      <c r="C113" s="16" t="s">
        <v>339</v>
      </c>
      <c r="D113" s="17" t="s">
        <v>340</v>
      </c>
      <c r="E113" s="15" t="s">
        <v>341</v>
      </c>
      <c r="F113" s="15"/>
    </row>
    <row r="114" spans="1:6" ht="20.100000000000001" customHeight="1">
      <c r="A114" s="14" t="s">
        <v>135</v>
      </c>
      <c r="B114" s="15" t="s">
        <v>106</v>
      </c>
      <c r="C114" s="16" t="s">
        <v>342</v>
      </c>
      <c r="D114" s="17" t="s">
        <v>343</v>
      </c>
      <c r="E114" s="15" t="s">
        <v>344</v>
      </c>
      <c r="F114" s="15"/>
    </row>
    <row r="115" spans="1:6" ht="20.100000000000001" customHeight="1">
      <c r="A115" s="14" t="s">
        <v>135</v>
      </c>
      <c r="B115" s="15" t="s">
        <v>106</v>
      </c>
      <c r="C115" s="16" t="s">
        <v>345</v>
      </c>
      <c r="D115" s="17" t="s">
        <v>346</v>
      </c>
      <c r="E115" s="15" t="s">
        <v>344</v>
      </c>
      <c r="F115" s="15"/>
    </row>
    <row r="116" spans="1:6" ht="20.100000000000001" customHeight="1">
      <c r="A116" s="14" t="s">
        <v>135</v>
      </c>
      <c r="B116" s="15" t="s">
        <v>17</v>
      </c>
      <c r="C116" s="16" t="s">
        <v>347</v>
      </c>
      <c r="D116" s="17" t="s">
        <v>348</v>
      </c>
      <c r="E116" s="15" t="s">
        <v>349</v>
      </c>
      <c r="F116" s="15"/>
    </row>
    <row r="117" spans="1:6" ht="20.100000000000001" customHeight="1">
      <c r="A117" s="14" t="s">
        <v>135</v>
      </c>
      <c r="B117" s="15" t="s">
        <v>9</v>
      </c>
      <c r="C117" s="16" t="s">
        <v>350</v>
      </c>
      <c r="D117" s="17" t="s">
        <v>351</v>
      </c>
      <c r="E117" s="15" t="s">
        <v>352</v>
      </c>
      <c r="F117" s="15"/>
    </row>
    <row r="118" spans="1:6" ht="20.100000000000001" customHeight="1">
      <c r="A118" s="14" t="s">
        <v>135</v>
      </c>
      <c r="B118" s="15" t="s">
        <v>106</v>
      </c>
      <c r="C118" s="16" t="s">
        <v>353</v>
      </c>
      <c r="D118" s="17" t="s">
        <v>354</v>
      </c>
      <c r="E118" s="15" t="s">
        <v>355</v>
      </c>
      <c r="F118" s="15"/>
    </row>
    <row r="119" spans="1:6" ht="20.100000000000001" customHeight="1">
      <c r="A119" s="14" t="s">
        <v>135</v>
      </c>
      <c r="B119" s="15" t="s">
        <v>9</v>
      </c>
      <c r="C119" s="16" t="s">
        <v>356</v>
      </c>
      <c r="D119" s="17" t="s">
        <v>357</v>
      </c>
      <c r="E119" s="15" t="s">
        <v>358</v>
      </c>
      <c r="F119" s="15"/>
    </row>
    <row r="120" spans="1:6" ht="20.100000000000001" customHeight="1">
      <c r="A120" s="14" t="s">
        <v>135</v>
      </c>
      <c r="B120" s="15" t="s">
        <v>9</v>
      </c>
      <c r="C120" s="16" t="s">
        <v>359</v>
      </c>
      <c r="D120" s="17" t="s">
        <v>360</v>
      </c>
      <c r="E120" s="15" t="s">
        <v>361</v>
      </c>
      <c r="F120" s="15"/>
    </row>
    <row r="121" spans="1:6" ht="20.100000000000001" customHeight="1">
      <c r="A121" s="14" t="s">
        <v>135</v>
      </c>
      <c r="B121" s="15" t="s">
        <v>9</v>
      </c>
      <c r="C121" s="16" t="s">
        <v>362</v>
      </c>
      <c r="D121" s="17" t="s">
        <v>363</v>
      </c>
      <c r="E121" s="15" t="s">
        <v>364</v>
      </c>
      <c r="F121" s="15"/>
    </row>
    <row r="122" spans="1:6" ht="20.100000000000001" customHeight="1">
      <c r="A122" s="14" t="s">
        <v>135</v>
      </c>
      <c r="B122" s="15" t="s">
        <v>9</v>
      </c>
      <c r="C122" s="16" t="s">
        <v>365</v>
      </c>
      <c r="D122" s="17" t="s">
        <v>366</v>
      </c>
      <c r="E122" s="15" t="s">
        <v>367</v>
      </c>
      <c r="F122" s="15"/>
    </row>
    <row r="123" spans="1:6" ht="20.100000000000001" customHeight="1">
      <c r="A123" s="14" t="s">
        <v>135</v>
      </c>
      <c r="B123" s="15" t="s">
        <v>9</v>
      </c>
      <c r="C123" s="16" t="s">
        <v>368</v>
      </c>
      <c r="D123" s="17" t="s">
        <v>369</v>
      </c>
      <c r="E123" s="15" t="s">
        <v>370</v>
      </c>
      <c r="F123" s="15"/>
    </row>
    <row r="124" spans="1:6" ht="20.100000000000001" customHeight="1">
      <c r="A124" s="14" t="s">
        <v>135</v>
      </c>
      <c r="B124" s="15" t="s">
        <v>9</v>
      </c>
      <c r="C124" s="16" t="s">
        <v>371</v>
      </c>
      <c r="D124" s="17" t="s">
        <v>372</v>
      </c>
      <c r="E124" s="15" t="s">
        <v>373</v>
      </c>
      <c r="F124" s="15"/>
    </row>
    <row r="125" spans="1:6" ht="20.100000000000001" customHeight="1">
      <c r="A125" s="14" t="s">
        <v>135</v>
      </c>
      <c r="B125" s="15" t="s">
        <v>106</v>
      </c>
      <c r="C125" s="16" t="s">
        <v>374</v>
      </c>
      <c r="D125" s="17" t="s">
        <v>375</v>
      </c>
      <c r="E125" s="15" t="s">
        <v>376</v>
      </c>
      <c r="F125" s="15"/>
    </row>
    <row r="126" spans="1:6" ht="20.100000000000001" customHeight="1">
      <c r="A126" s="14" t="s">
        <v>135</v>
      </c>
      <c r="B126" s="15" t="s">
        <v>30</v>
      </c>
      <c r="C126" s="16" t="s">
        <v>377</v>
      </c>
      <c r="D126" s="17" t="s">
        <v>378</v>
      </c>
      <c r="E126" s="15" t="s">
        <v>379</v>
      </c>
      <c r="F126" s="15"/>
    </row>
    <row r="127" spans="1:6" ht="20.100000000000001" customHeight="1">
      <c r="A127" s="14" t="s">
        <v>135</v>
      </c>
      <c r="B127" s="15" t="s">
        <v>30</v>
      </c>
      <c r="C127" s="16" t="s">
        <v>380</v>
      </c>
      <c r="D127" s="17" t="s">
        <v>381</v>
      </c>
      <c r="E127" s="15" t="s">
        <v>382</v>
      </c>
      <c r="F127" s="15"/>
    </row>
    <row r="128" spans="1:6" ht="20.100000000000001" customHeight="1">
      <c r="A128" s="14" t="s">
        <v>135</v>
      </c>
      <c r="B128" s="15" t="s">
        <v>106</v>
      </c>
      <c r="C128" s="16" t="s">
        <v>383</v>
      </c>
      <c r="D128" s="17" t="s">
        <v>384</v>
      </c>
      <c r="E128" s="15" t="s">
        <v>385</v>
      </c>
      <c r="F128" s="15"/>
    </row>
    <row r="129" spans="1:6" ht="20.100000000000001" customHeight="1">
      <c r="A129" s="14" t="s">
        <v>135</v>
      </c>
      <c r="B129" s="15" t="s">
        <v>30</v>
      </c>
      <c r="C129" s="16" t="s">
        <v>386</v>
      </c>
      <c r="D129" s="17" t="s">
        <v>387</v>
      </c>
      <c r="E129" s="15" t="s">
        <v>388</v>
      </c>
      <c r="F129" s="15"/>
    </row>
    <row r="130" spans="1:6" ht="20.100000000000001" customHeight="1">
      <c r="A130" s="14" t="s">
        <v>389</v>
      </c>
      <c r="B130" s="15" t="s">
        <v>9</v>
      </c>
      <c r="C130" s="16" t="s">
        <v>390</v>
      </c>
      <c r="D130" s="17" t="s">
        <v>391</v>
      </c>
      <c r="E130" s="15" t="s">
        <v>392</v>
      </c>
      <c r="F130" s="15"/>
    </row>
    <row r="131" spans="1:6" ht="20.100000000000001" customHeight="1">
      <c r="A131" s="14" t="s">
        <v>389</v>
      </c>
      <c r="B131" s="15" t="s">
        <v>9</v>
      </c>
      <c r="C131" s="16" t="s">
        <v>393</v>
      </c>
      <c r="D131" s="17" t="s">
        <v>394</v>
      </c>
      <c r="E131" s="15" t="s">
        <v>395</v>
      </c>
      <c r="F131" s="15"/>
    </row>
    <row r="132" spans="1:6" ht="20.100000000000001" customHeight="1">
      <c r="A132" s="14" t="s">
        <v>389</v>
      </c>
      <c r="B132" s="15" t="s">
        <v>9</v>
      </c>
      <c r="C132" s="16" t="s">
        <v>396</v>
      </c>
      <c r="D132" s="17" t="s">
        <v>397</v>
      </c>
      <c r="E132" s="15" t="s">
        <v>398</v>
      </c>
      <c r="F132" s="15"/>
    </row>
    <row r="133" spans="1:6" ht="20.100000000000001" customHeight="1">
      <c r="A133" s="14" t="s">
        <v>389</v>
      </c>
      <c r="B133" s="15" t="s">
        <v>9</v>
      </c>
      <c r="C133" s="16" t="s">
        <v>399</v>
      </c>
      <c r="D133" s="17" t="s">
        <v>400</v>
      </c>
      <c r="E133" s="15" t="s">
        <v>401</v>
      </c>
      <c r="F133" s="15"/>
    </row>
    <row r="134" spans="1:6" ht="20.100000000000001" customHeight="1">
      <c r="A134" s="14" t="s">
        <v>389</v>
      </c>
      <c r="B134" s="15" t="s">
        <v>9</v>
      </c>
      <c r="C134" s="16" t="s">
        <v>402</v>
      </c>
      <c r="D134" s="17" t="s">
        <v>403</v>
      </c>
      <c r="E134" s="15" t="s">
        <v>404</v>
      </c>
      <c r="F134" s="15"/>
    </row>
    <row r="135" spans="1:6" ht="20.100000000000001" customHeight="1">
      <c r="A135" s="14" t="s">
        <v>389</v>
      </c>
      <c r="B135" s="15" t="s">
        <v>9</v>
      </c>
      <c r="C135" s="16" t="s">
        <v>405</v>
      </c>
      <c r="D135" s="17" t="s">
        <v>406</v>
      </c>
      <c r="E135" s="15" t="s">
        <v>407</v>
      </c>
      <c r="F135" s="15"/>
    </row>
    <row r="136" spans="1:6" ht="20.100000000000001" customHeight="1">
      <c r="A136" s="14" t="s">
        <v>389</v>
      </c>
      <c r="B136" s="15" t="s">
        <v>9</v>
      </c>
      <c r="C136" s="16" t="s">
        <v>408</v>
      </c>
      <c r="D136" s="17" t="s">
        <v>409</v>
      </c>
      <c r="E136" s="15" t="s">
        <v>410</v>
      </c>
      <c r="F136" s="15"/>
    </row>
    <row r="137" spans="1:6" ht="20.100000000000001" customHeight="1">
      <c r="A137" s="14" t="s">
        <v>389</v>
      </c>
      <c r="B137" s="15" t="s">
        <v>17</v>
      </c>
      <c r="C137" s="16" t="s">
        <v>411</v>
      </c>
      <c r="D137" s="17" t="s">
        <v>412</v>
      </c>
      <c r="E137" s="15" t="s">
        <v>413</v>
      </c>
      <c r="F137" s="15"/>
    </row>
    <row r="138" spans="1:6" ht="20.100000000000001" customHeight="1">
      <c r="A138" s="14" t="s">
        <v>389</v>
      </c>
      <c r="B138" s="15" t="s">
        <v>9</v>
      </c>
      <c r="C138" s="16" t="s">
        <v>414</v>
      </c>
      <c r="D138" s="17" t="s">
        <v>415</v>
      </c>
      <c r="E138" s="15" t="s">
        <v>416</v>
      </c>
      <c r="F138" s="15"/>
    </row>
    <row r="139" spans="1:6" ht="20.100000000000001" customHeight="1">
      <c r="A139" s="14" t="s">
        <v>389</v>
      </c>
      <c r="B139" s="15" t="s">
        <v>106</v>
      </c>
      <c r="C139" s="16" t="s">
        <v>417</v>
      </c>
      <c r="D139" s="17" t="s">
        <v>418</v>
      </c>
      <c r="E139" s="15" t="s">
        <v>419</v>
      </c>
      <c r="F139" s="15"/>
    </row>
    <row r="140" spans="1:6" ht="20.100000000000001" customHeight="1">
      <c r="A140" s="14" t="s">
        <v>389</v>
      </c>
      <c r="B140" s="15" t="s">
        <v>174</v>
      </c>
      <c r="C140" s="16" t="s">
        <v>420</v>
      </c>
      <c r="D140" s="17" t="s">
        <v>421</v>
      </c>
      <c r="E140" s="15" t="s">
        <v>422</v>
      </c>
      <c r="F140" s="15"/>
    </row>
    <row r="141" spans="1:6" ht="20.100000000000001" customHeight="1">
      <c r="A141" s="14" t="s">
        <v>389</v>
      </c>
      <c r="B141" s="15" t="s">
        <v>9</v>
      </c>
      <c r="C141" s="16" t="s">
        <v>423</v>
      </c>
      <c r="D141" s="17" t="s">
        <v>424</v>
      </c>
      <c r="E141" s="15" t="s">
        <v>425</v>
      </c>
      <c r="F141" s="15"/>
    </row>
    <row r="142" spans="1:6" ht="20.100000000000001" customHeight="1">
      <c r="A142" s="14" t="s">
        <v>389</v>
      </c>
      <c r="B142" s="15" t="s">
        <v>9</v>
      </c>
      <c r="C142" s="16" t="s">
        <v>426</v>
      </c>
      <c r="D142" s="17" t="s">
        <v>427</v>
      </c>
      <c r="E142" s="15" t="s">
        <v>395</v>
      </c>
      <c r="F142" s="15"/>
    </row>
    <row r="143" spans="1:6" ht="20.100000000000001" customHeight="1">
      <c r="A143" s="14" t="s">
        <v>389</v>
      </c>
      <c r="B143" s="15" t="s">
        <v>30</v>
      </c>
      <c r="C143" s="16" t="s">
        <v>428</v>
      </c>
      <c r="D143" s="17" t="s">
        <v>429</v>
      </c>
      <c r="E143" s="15" t="s">
        <v>430</v>
      </c>
      <c r="F143" s="15"/>
    </row>
    <row r="144" spans="1:6" ht="20.100000000000001" customHeight="1">
      <c r="A144" s="14" t="s">
        <v>389</v>
      </c>
      <c r="B144" s="15" t="s">
        <v>9</v>
      </c>
      <c r="C144" s="16" t="s">
        <v>431</v>
      </c>
      <c r="D144" s="17" t="s">
        <v>432</v>
      </c>
      <c r="E144" s="15" t="s">
        <v>433</v>
      </c>
      <c r="F144" s="15"/>
    </row>
    <row r="145" spans="1:6" ht="20.100000000000001" customHeight="1">
      <c r="A145" s="14" t="s">
        <v>389</v>
      </c>
      <c r="B145" s="15" t="s">
        <v>434</v>
      </c>
      <c r="C145" s="16" t="s">
        <v>435</v>
      </c>
      <c r="D145" s="17" t="s">
        <v>436</v>
      </c>
      <c r="E145" s="15" t="s">
        <v>437</v>
      </c>
      <c r="F145" s="15"/>
    </row>
    <row r="146" spans="1:6" ht="20.100000000000001" customHeight="1">
      <c r="A146" s="14" t="s">
        <v>389</v>
      </c>
      <c r="B146" s="15" t="s">
        <v>434</v>
      </c>
      <c r="C146" s="16" t="s">
        <v>438</v>
      </c>
      <c r="D146" s="17" t="s">
        <v>439</v>
      </c>
      <c r="E146" s="15" t="s">
        <v>440</v>
      </c>
      <c r="F146" s="15"/>
    </row>
    <row r="147" spans="1:6" ht="20.100000000000001" customHeight="1">
      <c r="A147" s="14" t="s">
        <v>389</v>
      </c>
      <c r="B147" s="15" t="s">
        <v>164</v>
      </c>
      <c r="C147" s="16" t="s">
        <v>441</v>
      </c>
      <c r="D147" s="17" t="s">
        <v>442</v>
      </c>
      <c r="E147" s="15" t="s">
        <v>443</v>
      </c>
      <c r="F147" s="15"/>
    </row>
    <row r="148" spans="1:6" ht="20.100000000000001" customHeight="1">
      <c r="A148" s="14" t="s">
        <v>389</v>
      </c>
      <c r="B148" s="15" t="s">
        <v>164</v>
      </c>
      <c r="C148" s="16" t="s">
        <v>444</v>
      </c>
      <c r="D148" s="17" t="s">
        <v>445</v>
      </c>
      <c r="E148" s="15" t="s">
        <v>446</v>
      </c>
      <c r="F148" s="15"/>
    </row>
    <row r="149" spans="1:6" ht="20.100000000000001" customHeight="1">
      <c r="A149" s="14" t="s">
        <v>389</v>
      </c>
      <c r="B149" s="15" t="s">
        <v>164</v>
      </c>
      <c r="C149" s="16" t="s">
        <v>447</v>
      </c>
      <c r="D149" s="17" t="s">
        <v>448</v>
      </c>
      <c r="E149" s="15" t="s">
        <v>449</v>
      </c>
      <c r="F149" s="15"/>
    </row>
    <row r="150" spans="1:6" ht="20.100000000000001" customHeight="1">
      <c r="A150" s="14" t="s">
        <v>389</v>
      </c>
      <c r="B150" s="15" t="s">
        <v>164</v>
      </c>
      <c r="C150" s="16" t="s">
        <v>450</v>
      </c>
      <c r="D150" s="17" t="s">
        <v>451</v>
      </c>
      <c r="E150" s="15" t="s">
        <v>452</v>
      </c>
      <c r="F150" s="15"/>
    </row>
    <row r="151" spans="1:6" ht="20.100000000000001" customHeight="1">
      <c r="A151" s="14" t="s">
        <v>389</v>
      </c>
      <c r="B151" s="15" t="s">
        <v>146</v>
      </c>
      <c r="C151" s="16" t="s">
        <v>453</v>
      </c>
      <c r="D151" s="17" t="s">
        <v>454</v>
      </c>
      <c r="E151" s="15" t="s">
        <v>455</v>
      </c>
      <c r="F151" s="15"/>
    </row>
    <row r="152" spans="1:6" ht="20.100000000000001" customHeight="1">
      <c r="A152" s="14" t="s">
        <v>389</v>
      </c>
      <c r="B152" s="15" t="s">
        <v>9</v>
      </c>
      <c r="C152" s="16" t="s">
        <v>456</v>
      </c>
      <c r="D152" s="17" t="s">
        <v>457</v>
      </c>
      <c r="E152" s="15" t="s">
        <v>458</v>
      </c>
      <c r="F152" s="15"/>
    </row>
    <row r="153" spans="1:6" ht="20.100000000000001" customHeight="1">
      <c r="A153" s="14" t="s">
        <v>389</v>
      </c>
      <c r="B153" s="15" t="s">
        <v>9</v>
      </c>
      <c r="C153" s="16" t="s">
        <v>459</v>
      </c>
      <c r="D153" s="17" t="s">
        <v>460</v>
      </c>
      <c r="E153" s="15" t="s">
        <v>461</v>
      </c>
      <c r="F153" s="15"/>
    </row>
    <row r="154" spans="1:6" ht="20.100000000000001" customHeight="1">
      <c r="A154" s="14" t="s">
        <v>389</v>
      </c>
      <c r="B154" s="15" t="s">
        <v>9</v>
      </c>
      <c r="C154" s="16" t="s">
        <v>462</v>
      </c>
      <c r="D154" s="17" t="s">
        <v>463</v>
      </c>
      <c r="E154" s="15" t="s">
        <v>464</v>
      </c>
      <c r="F154" s="15"/>
    </row>
    <row r="155" spans="1:6" ht="20.100000000000001" customHeight="1">
      <c r="A155" s="14" t="s">
        <v>389</v>
      </c>
      <c r="B155" s="15" t="s">
        <v>9</v>
      </c>
      <c r="C155" s="16" t="s">
        <v>465</v>
      </c>
      <c r="D155" s="17" t="s">
        <v>466</v>
      </c>
      <c r="E155" s="15" t="s">
        <v>467</v>
      </c>
      <c r="F155" s="15"/>
    </row>
    <row r="156" spans="1:6" ht="20.100000000000001" customHeight="1">
      <c r="A156" s="14" t="s">
        <v>389</v>
      </c>
      <c r="B156" s="15" t="s">
        <v>136</v>
      </c>
      <c r="C156" s="16" t="s">
        <v>468</v>
      </c>
      <c r="D156" s="17" t="s">
        <v>469</v>
      </c>
      <c r="E156" s="15" t="s">
        <v>470</v>
      </c>
      <c r="F156" s="15"/>
    </row>
    <row r="157" spans="1:6" ht="20.100000000000001" customHeight="1">
      <c r="A157" s="14" t="s">
        <v>389</v>
      </c>
      <c r="B157" s="15" t="s">
        <v>106</v>
      </c>
      <c r="C157" s="16" t="s">
        <v>471</v>
      </c>
      <c r="D157" s="17" t="s">
        <v>472</v>
      </c>
      <c r="E157" s="15" t="s">
        <v>473</v>
      </c>
      <c r="F157" s="15"/>
    </row>
    <row r="158" spans="1:6" ht="20.100000000000001" customHeight="1">
      <c r="A158" s="14" t="s">
        <v>389</v>
      </c>
      <c r="B158" s="15" t="s">
        <v>9</v>
      </c>
      <c r="C158" s="16" t="s">
        <v>474</v>
      </c>
      <c r="D158" s="17" t="s">
        <v>475</v>
      </c>
      <c r="E158" s="15" t="s">
        <v>476</v>
      </c>
      <c r="F158" s="15"/>
    </row>
    <row r="159" spans="1:6" ht="20.100000000000001" customHeight="1">
      <c r="A159" s="14" t="s">
        <v>389</v>
      </c>
      <c r="B159" s="15" t="s">
        <v>9</v>
      </c>
      <c r="C159" s="16" t="s">
        <v>477</v>
      </c>
      <c r="D159" s="17" t="s">
        <v>478</v>
      </c>
      <c r="E159" s="15" t="s">
        <v>479</v>
      </c>
      <c r="F159" s="15"/>
    </row>
    <row r="160" spans="1:6" ht="20.100000000000001" customHeight="1">
      <c r="A160" s="14" t="s">
        <v>389</v>
      </c>
      <c r="B160" s="15" t="s">
        <v>9</v>
      </c>
      <c r="C160" s="16" t="s">
        <v>480</v>
      </c>
      <c r="D160" s="17" t="s">
        <v>481</v>
      </c>
      <c r="E160" s="15" t="s">
        <v>482</v>
      </c>
      <c r="F160" s="15"/>
    </row>
    <row r="161" spans="1:6" ht="20.100000000000001" customHeight="1">
      <c r="A161" s="14" t="s">
        <v>389</v>
      </c>
      <c r="B161" s="15" t="s">
        <v>9</v>
      </c>
      <c r="C161" s="16" t="s">
        <v>483</v>
      </c>
      <c r="D161" s="17" t="s">
        <v>484</v>
      </c>
      <c r="E161" s="15" t="s">
        <v>485</v>
      </c>
      <c r="F161" s="15"/>
    </row>
    <row r="162" spans="1:6" ht="20.100000000000001" customHeight="1">
      <c r="A162" s="14" t="s">
        <v>389</v>
      </c>
      <c r="B162" s="15" t="s">
        <v>136</v>
      </c>
      <c r="C162" s="16" t="s">
        <v>486</v>
      </c>
      <c r="D162" s="17" t="s">
        <v>487</v>
      </c>
      <c r="E162" s="15" t="s">
        <v>488</v>
      </c>
      <c r="F162" s="15"/>
    </row>
    <row r="163" spans="1:6" ht="20.100000000000001" customHeight="1">
      <c r="A163" s="14" t="s">
        <v>389</v>
      </c>
      <c r="B163" s="15" t="s">
        <v>9</v>
      </c>
      <c r="C163" s="16" t="s">
        <v>489</v>
      </c>
      <c r="D163" s="17" t="s">
        <v>490</v>
      </c>
      <c r="E163" s="15" t="s">
        <v>491</v>
      </c>
      <c r="F163" s="15"/>
    </row>
    <row r="164" spans="1:6" ht="20.100000000000001" customHeight="1">
      <c r="A164" s="14" t="s">
        <v>389</v>
      </c>
      <c r="B164" s="15" t="s">
        <v>9</v>
      </c>
      <c r="C164" s="16" t="s">
        <v>492</v>
      </c>
      <c r="D164" s="17" t="s">
        <v>493</v>
      </c>
      <c r="E164" s="15" t="s">
        <v>494</v>
      </c>
      <c r="F164" s="15"/>
    </row>
    <row r="165" spans="1:6" ht="20.100000000000001" customHeight="1">
      <c r="A165" s="14" t="s">
        <v>389</v>
      </c>
      <c r="B165" s="15" t="s">
        <v>9</v>
      </c>
      <c r="C165" s="16" t="s">
        <v>495</v>
      </c>
      <c r="D165" s="17" t="s">
        <v>496</v>
      </c>
      <c r="E165" s="15" t="s">
        <v>497</v>
      </c>
      <c r="F165" s="15"/>
    </row>
    <row r="166" spans="1:6" ht="20.100000000000001" customHeight="1">
      <c r="A166" s="14" t="s">
        <v>389</v>
      </c>
      <c r="B166" s="15" t="s">
        <v>9</v>
      </c>
      <c r="C166" s="16" t="s">
        <v>498</v>
      </c>
      <c r="D166" s="17" t="s">
        <v>499</v>
      </c>
      <c r="E166" s="15" t="s">
        <v>500</v>
      </c>
      <c r="F166" s="15"/>
    </row>
    <row r="167" spans="1:6" ht="20.100000000000001" customHeight="1">
      <c r="A167" s="14" t="s">
        <v>389</v>
      </c>
      <c r="B167" s="15" t="s">
        <v>146</v>
      </c>
      <c r="C167" s="16" t="s">
        <v>501</v>
      </c>
      <c r="D167" s="17" t="s">
        <v>502</v>
      </c>
      <c r="E167" s="15" t="s">
        <v>503</v>
      </c>
      <c r="F167" s="15"/>
    </row>
    <row r="168" spans="1:6" ht="20.100000000000001" customHeight="1">
      <c r="A168" s="14" t="s">
        <v>389</v>
      </c>
      <c r="B168" s="15" t="s">
        <v>30</v>
      </c>
      <c r="C168" s="16" t="s">
        <v>504</v>
      </c>
      <c r="D168" s="17" t="s">
        <v>502</v>
      </c>
      <c r="E168" s="15" t="s">
        <v>505</v>
      </c>
      <c r="F168" s="15"/>
    </row>
    <row r="169" spans="1:6" ht="20.100000000000001" customHeight="1">
      <c r="A169" s="14" t="s">
        <v>389</v>
      </c>
      <c r="B169" s="15" t="s">
        <v>106</v>
      </c>
      <c r="C169" s="16" t="s">
        <v>506</v>
      </c>
      <c r="D169" s="17" t="s">
        <v>507</v>
      </c>
      <c r="E169" s="15" t="s">
        <v>508</v>
      </c>
      <c r="F169" s="15"/>
    </row>
    <row r="170" spans="1:6" ht="20.100000000000001" customHeight="1">
      <c r="A170" s="14" t="s">
        <v>389</v>
      </c>
      <c r="B170" s="15" t="s">
        <v>17</v>
      </c>
      <c r="C170" s="16" t="s">
        <v>509</v>
      </c>
      <c r="D170" s="17" t="s">
        <v>510</v>
      </c>
      <c r="E170" s="15" t="s">
        <v>511</v>
      </c>
      <c r="F170" s="15"/>
    </row>
    <row r="171" spans="1:6" ht="20.100000000000001" customHeight="1">
      <c r="A171" s="14" t="s">
        <v>389</v>
      </c>
      <c r="B171" s="15" t="s">
        <v>9</v>
      </c>
      <c r="C171" s="16" t="s">
        <v>512</v>
      </c>
      <c r="D171" s="17" t="s">
        <v>513</v>
      </c>
      <c r="E171" s="15" t="s">
        <v>514</v>
      </c>
      <c r="F171" s="15"/>
    </row>
    <row r="172" spans="1:6" ht="20.100000000000001" customHeight="1">
      <c r="A172" s="14" t="s">
        <v>389</v>
      </c>
      <c r="B172" s="15" t="s">
        <v>9</v>
      </c>
      <c r="C172" s="16" t="s">
        <v>515</v>
      </c>
      <c r="D172" s="17" t="s">
        <v>516</v>
      </c>
      <c r="E172" s="15" t="s">
        <v>517</v>
      </c>
      <c r="F172" s="15"/>
    </row>
    <row r="173" spans="1:6" ht="20.100000000000001" customHeight="1">
      <c r="A173" s="14" t="s">
        <v>389</v>
      </c>
      <c r="B173" s="15" t="s">
        <v>9</v>
      </c>
      <c r="C173" s="16" t="s">
        <v>518</v>
      </c>
      <c r="D173" s="17" t="s">
        <v>519</v>
      </c>
      <c r="E173" s="15" t="s">
        <v>520</v>
      </c>
      <c r="F173" s="15"/>
    </row>
    <row r="174" spans="1:6" ht="20.100000000000001" customHeight="1">
      <c r="A174" s="14" t="s">
        <v>389</v>
      </c>
      <c r="B174" s="15" t="s">
        <v>9</v>
      </c>
      <c r="C174" s="16" t="s">
        <v>521</v>
      </c>
      <c r="D174" s="17" t="s">
        <v>522</v>
      </c>
      <c r="E174" s="15" t="s">
        <v>523</v>
      </c>
      <c r="F174" s="15"/>
    </row>
    <row r="175" spans="1:6" ht="20.100000000000001" customHeight="1">
      <c r="A175" s="14" t="s">
        <v>389</v>
      </c>
      <c r="B175" s="15" t="s">
        <v>9</v>
      </c>
      <c r="C175" s="16" t="s">
        <v>524</v>
      </c>
      <c r="D175" s="17" t="s">
        <v>525</v>
      </c>
      <c r="E175" s="15" t="s">
        <v>526</v>
      </c>
      <c r="F175" s="15"/>
    </row>
    <row r="176" spans="1:6" ht="20.100000000000001" customHeight="1">
      <c r="A176" s="14" t="s">
        <v>389</v>
      </c>
      <c r="B176" s="15" t="s">
        <v>9</v>
      </c>
      <c r="C176" s="16" t="s">
        <v>527</v>
      </c>
      <c r="D176" s="17" t="s">
        <v>528</v>
      </c>
      <c r="E176" s="15" t="s">
        <v>529</v>
      </c>
      <c r="F176" s="15"/>
    </row>
    <row r="177" spans="1:6" ht="20.100000000000001" customHeight="1">
      <c r="A177" s="14" t="s">
        <v>389</v>
      </c>
      <c r="B177" s="15" t="s">
        <v>106</v>
      </c>
      <c r="C177" s="16" t="s">
        <v>530</v>
      </c>
      <c r="D177" s="17" t="s">
        <v>111</v>
      </c>
      <c r="E177" s="15" t="s">
        <v>531</v>
      </c>
      <c r="F177" s="15"/>
    </row>
    <row r="178" spans="1:6" ht="20.100000000000001" customHeight="1">
      <c r="A178" s="14" t="s">
        <v>389</v>
      </c>
      <c r="B178" s="15" t="s">
        <v>9</v>
      </c>
      <c r="C178" s="16" t="s">
        <v>532</v>
      </c>
      <c r="D178" s="17" t="s">
        <v>533</v>
      </c>
      <c r="E178" s="15" t="s">
        <v>534</v>
      </c>
      <c r="F178" s="15"/>
    </row>
    <row r="179" spans="1:6" ht="20.100000000000001" customHeight="1">
      <c r="A179" s="14" t="s">
        <v>389</v>
      </c>
      <c r="B179" s="15" t="s">
        <v>9</v>
      </c>
      <c r="C179" s="16" t="s">
        <v>535</v>
      </c>
      <c r="D179" s="17" t="s">
        <v>536</v>
      </c>
      <c r="E179" s="15" t="s">
        <v>537</v>
      </c>
      <c r="F179" s="15"/>
    </row>
    <row r="180" spans="1:6" ht="20.100000000000001" customHeight="1">
      <c r="A180" s="14" t="s">
        <v>389</v>
      </c>
      <c r="B180" s="15" t="s">
        <v>17</v>
      </c>
      <c r="C180" s="16" t="s">
        <v>538</v>
      </c>
      <c r="D180" s="17" t="s">
        <v>539</v>
      </c>
      <c r="E180" s="15" t="s">
        <v>540</v>
      </c>
      <c r="F180" s="15"/>
    </row>
    <row r="181" spans="1:6" ht="20.100000000000001" customHeight="1">
      <c r="A181" s="14" t="s">
        <v>389</v>
      </c>
      <c r="B181" s="15" t="s">
        <v>146</v>
      </c>
      <c r="C181" s="16" t="s">
        <v>541</v>
      </c>
      <c r="D181" s="17" t="s">
        <v>542</v>
      </c>
      <c r="E181" s="15" t="s">
        <v>543</v>
      </c>
      <c r="F181" s="15"/>
    </row>
    <row r="182" spans="1:6" ht="20.100000000000001" customHeight="1">
      <c r="A182" s="14" t="s">
        <v>389</v>
      </c>
      <c r="B182" s="15" t="s">
        <v>17</v>
      </c>
      <c r="C182" s="16" t="s">
        <v>544</v>
      </c>
      <c r="D182" s="17" t="s">
        <v>545</v>
      </c>
      <c r="E182" s="15" t="s">
        <v>546</v>
      </c>
      <c r="F182" s="15"/>
    </row>
    <row r="183" spans="1:6" ht="20.100000000000001" customHeight="1">
      <c r="A183" s="14" t="s">
        <v>389</v>
      </c>
      <c r="B183" s="15" t="s">
        <v>17</v>
      </c>
      <c r="C183" s="16" t="s">
        <v>547</v>
      </c>
      <c r="D183" s="17" t="s">
        <v>548</v>
      </c>
      <c r="E183" s="15" t="s">
        <v>549</v>
      </c>
      <c r="F183" s="15"/>
    </row>
    <row r="184" spans="1:6" ht="20.100000000000001" customHeight="1">
      <c r="A184" s="14" t="s">
        <v>389</v>
      </c>
      <c r="B184" s="15" t="s">
        <v>17</v>
      </c>
      <c r="C184" s="16" t="s">
        <v>550</v>
      </c>
      <c r="D184" s="17" t="s">
        <v>551</v>
      </c>
      <c r="E184" s="15" t="s">
        <v>552</v>
      </c>
      <c r="F184" s="15"/>
    </row>
    <row r="185" spans="1:6" ht="20.100000000000001" customHeight="1">
      <c r="A185" s="14" t="s">
        <v>389</v>
      </c>
      <c r="B185" s="15" t="s">
        <v>17</v>
      </c>
      <c r="C185" s="16" t="s">
        <v>553</v>
      </c>
      <c r="D185" s="17" t="s">
        <v>554</v>
      </c>
      <c r="E185" s="15" t="s">
        <v>555</v>
      </c>
      <c r="F185" s="15"/>
    </row>
    <row r="186" spans="1:6" ht="20.100000000000001" customHeight="1">
      <c r="A186" s="14" t="s">
        <v>389</v>
      </c>
      <c r="B186" s="15" t="s">
        <v>30</v>
      </c>
      <c r="C186" s="16" t="s">
        <v>556</v>
      </c>
      <c r="D186" s="17" t="s">
        <v>557</v>
      </c>
      <c r="E186" s="15" t="s">
        <v>558</v>
      </c>
      <c r="F186" s="15"/>
    </row>
    <row r="187" spans="1:6" ht="20.100000000000001" customHeight="1">
      <c r="A187" s="14" t="s">
        <v>559</v>
      </c>
      <c r="B187" s="15" t="s">
        <v>434</v>
      </c>
      <c r="C187" s="16" t="s">
        <v>560</v>
      </c>
      <c r="D187" s="17" t="s">
        <v>561</v>
      </c>
      <c r="E187" s="15" t="s">
        <v>562</v>
      </c>
      <c r="F187" s="15"/>
    </row>
    <row r="188" spans="1:6" ht="20.100000000000001" customHeight="1">
      <c r="A188" s="14" t="s">
        <v>559</v>
      </c>
      <c r="B188" s="15" t="s">
        <v>434</v>
      </c>
      <c r="C188" s="16" t="s">
        <v>563</v>
      </c>
      <c r="D188" s="17" t="s">
        <v>564</v>
      </c>
      <c r="E188" s="15" t="s">
        <v>565</v>
      </c>
      <c r="F188" s="15"/>
    </row>
    <row r="189" spans="1:6" ht="20.100000000000001" customHeight="1">
      <c r="A189" s="14" t="s">
        <v>559</v>
      </c>
      <c r="B189" s="15" t="s">
        <v>434</v>
      </c>
      <c r="C189" s="16" t="s">
        <v>566</v>
      </c>
      <c r="D189" s="17" t="s">
        <v>567</v>
      </c>
      <c r="E189" s="15" t="s">
        <v>568</v>
      </c>
      <c r="F189" s="15"/>
    </row>
    <row r="190" spans="1:6" ht="20.100000000000001" customHeight="1">
      <c r="A190" s="14" t="s">
        <v>559</v>
      </c>
      <c r="B190" s="15" t="s">
        <v>434</v>
      </c>
      <c r="C190" s="16" t="s">
        <v>569</v>
      </c>
      <c r="D190" s="17" t="s">
        <v>570</v>
      </c>
      <c r="E190" s="15" t="s">
        <v>571</v>
      </c>
      <c r="F190" s="15"/>
    </row>
    <row r="191" spans="1:6" ht="20.100000000000001" customHeight="1">
      <c r="A191" s="14" t="s">
        <v>559</v>
      </c>
      <c r="B191" s="15" t="s">
        <v>106</v>
      </c>
      <c r="C191" s="16" t="s">
        <v>572</v>
      </c>
      <c r="D191" s="17" t="s">
        <v>573</v>
      </c>
      <c r="E191" s="15" t="s">
        <v>574</v>
      </c>
      <c r="F191" s="15"/>
    </row>
    <row r="192" spans="1:6" ht="20.100000000000001" customHeight="1">
      <c r="A192" s="14" t="s">
        <v>559</v>
      </c>
      <c r="B192" s="15" t="s">
        <v>17</v>
      </c>
      <c r="C192" s="16" t="s">
        <v>575</v>
      </c>
      <c r="D192" s="17" t="s">
        <v>576</v>
      </c>
      <c r="E192" s="15" t="s">
        <v>577</v>
      </c>
      <c r="F192" s="15"/>
    </row>
    <row r="193" spans="1:6" ht="20.100000000000001" customHeight="1">
      <c r="A193" s="14" t="s">
        <v>559</v>
      </c>
      <c r="B193" s="15" t="s">
        <v>17</v>
      </c>
      <c r="C193" s="16" t="s">
        <v>578</v>
      </c>
      <c r="D193" s="17" t="s">
        <v>579</v>
      </c>
      <c r="E193" s="15" t="s">
        <v>580</v>
      </c>
      <c r="F193" s="15"/>
    </row>
    <row r="194" spans="1:6" ht="20.100000000000001" customHeight="1">
      <c r="A194" s="14" t="s">
        <v>559</v>
      </c>
      <c r="B194" s="15" t="s">
        <v>174</v>
      </c>
      <c r="C194" s="16" t="s">
        <v>581</v>
      </c>
      <c r="D194" s="17" t="s">
        <v>582</v>
      </c>
      <c r="E194" s="15" t="s">
        <v>583</v>
      </c>
      <c r="F194" s="15"/>
    </row>
    <row r="195" spans="1:6" ht="20.100000000000001" customHeight="1">
      <c r="A195" s="14" t="s">
        <v>559</v>
      </c>
      <c r="B195" s="15" t="s">
        <v>174</v>
      </c>
      <c r="C195" s="16" t="s">
        <v>584</v>
      </c>
      <c r="D195" s="17" t="s">
        <v>585</v>
      </c>
      <c r="E195" s="15" t="s">
        <v>586</v>
      </c>
      <c r="F195" s="15"/>
    </row>
    <row r="196" spans="1:6" ht="20.100000000000001" customHeight="1">
      <c r="A196" s="14" t="s">
        <v>559</v>
      </c>
      <c r="B196" s="15" t="s">
        <v>174</v>
      </c>
      <c r="C196" s="16" t="s">
        <v>587</v>
      </c>
      <c r="D196" s="17" t="s">
        <v>588</v>
      </c>
      <c r="E196" s="15" t="s">
        <v>589</v>
      </c>
      <c r="F196" s="15"/>
    </row>
    <row r="197" spans="1:6" ht="20.100000000000001" customHeight="1">
      <c r="A197" s="14" t="s">
        <v>559</v>
      </c>
      <c r="B197" s="15" t="s">
        <v>17</v>
      </c>
      <c r="C197" s="16" t="s">
        <v>590</v>
      </c>
      <c r="D197" s="17" t="s">
        <v>591</v>
      </c>
      <c r="E197" s="15" t="s">
        <v>592</v>
      </c>
      <c r="F197" s="15"/>
    </row>
    <row r="198" spans="1:6" ht="20.100000000000001" customHeight="1">
      <c r="A198" s="14" t="s">
        <v>559</v>
      </c>
      <c r="B198" s="15" t="s">
        <v>17</v>
      </c>
      <c r="C198" s="16" t="s">
        <v>593</v>
      </c>
      <c r="D198" s="17" t="s">
        <v>594</v>
      </c>
      <c r="E198" s="15" t="s">
        <v>595</v>
      </c>
      <c r="F198" s="15"/>
    </row>
    <row r="199" spans="1:6" ht="20.100000000000001" customHeight="1">
      <c r="A199" s="14" t="s">
        <v>559</v>
      </c>
      <c r="B199" s="15" t="s">
        <v>434</v>
      </c>
      <c r="C199" s="16" t="s">
        <v>596</v>
      </c>
      <c r="D199" s="17" t="s">
        <v>597</v>
      </c>
      <c r="E199" s="15" t="s">
        <v>598</v>
      </c>
      <c r="F199" s="15"/>
    </row>
    <row r="200" spans="1:6" ht="20.100000000000001" customHeight="1">
      <c r="A200" s="14" t="s">
        <v>559</v>
      </c>
      <c r="B200" s="15" t="s">
        <v>434</v>
      </c>
      <c r="C200" s="16" t="s">
        <v>599</v>
      </c>
      <c r="D200" s="17" t="s">
        <v>600</v>
      </c>
      <c r="E200" s="15" t="s">
        <v>601</v>
      </c>
      <c r="F200" s="15"/>
    </row>
    <row r="201" spans="1:6" ht="20.100000000000001" customHeight="1">
      <c r="A201" s="14" t="s">
        <v>559</v>
      </c>
      <c r="B201" s="15" t="s">
        <v>434</v>
      </c>
      <c r="C201" s="16" t="s">
        <v>602</v>
      </c>
      <c r="D201" s="17" t="s">
        <v>603</v>
      </c>
      <c r="E201" s="15" t="s">
        <v>604</v>
      </c>
      <c r="F201" s="15"/>
    </row>
    <row r="202" spans="1:6" ht="20.100000000000001" customHeight="1">
      <c r="A202" s="14" t="s">
        <v>559</v>
      </c>
      <c r="B202" s="15" t="s">
        <v>434</v>
      </c>
      <c r="C202" s="16" t="s">
        <v>605</v>
      </c>
      <c r="D202" s="17" t="s">
        <v>606</v>
      </c>
      <c r="E202" s="15" t="s">
        <v>607</v>
      </c>
      <c r="F202" s="15"/>
    </row>
    <row r="203" spans="1:6" ht="20.100000000000001" customHeight="1">
      <c r="A203" s="14" t="s">
        <v>559</v>
      </c>
      <c r="B203" s="15" t="s">
        <v>434</v>
      </c>
      <c r="C203" s="16" t="s">
        <v>608</v>
      </c>
      <c r="D203" s="17" t="s">
        <v>609</v>
      </c>
      <c r="E203" s="15" t="s">
        <v>610</v>
      </c>
      <c r="F203" s="15"/>
    </row>
    <row r="204" spans="1:6" ht="20.100000000000001" customHeight="1">
      <c r="A204" s="14" t="s">
        <v>559</v>
      </c>
      <c r="B204" s="15" t="s">
        <v>434</v>
      </c>
      <c r="C204" s="16" t="s">
        <v>611</v>
      </c>
      <c r="D204" s="17" t="s">
        <v>612</v>
      </c>
      <c r="E204" s="15" t="s">
        <v>613</v>
      </c>
      <c r="F204" s="15"/>
    </row>
    <row r="205" spans="1:6" ht="20.100000000000001" customHeight="1">
      <c r="A205" s="14" t="s">
        <v>559</v>
      </c>
      <c r="B205" s="15" t="s">
        <v>17</v>
      </c>
      <c r="C205" s="16" t="s">
        <v>614</v>
      </c>
      <c r="D205" s="17" t="s">
        <v>615</v>
      </c>
      <c r="E205" s="15" t="s">
        <v>616</v>
      </c>
      <c r="F205" s="15"/>
    </row>
    <row r="206" spans="1:6" ht="20.100000000000001" customHeight="1">
      <c r="A206" s="14" t="s">
        <v>559</v>
      </c>
      <c r="B206" s="15" t="s">
        <v>17</v>
      </c>
      <c r="C206" s="16" t="s">
        <v>617</v>
      </c>
      <c r="D206" s="17" t="s">
        <v>618</v>
      </c>
      <c r="E206" s="15" t="s">
        <v>619</v>
      </c>
      <c r="F206" s="15"/>
    </row>
    <row r="207" spans="1:6" ht="20.100000000000001" customHeight="1">
      <c r="A207" s="14" t="s">
        <v>559</v>
      </c>
      <c r="B207" s="15" t="s">
        <v>434</v>
      </c>
      <c r="C207" s="16" t="s">
        <v>620</v>
      </c>
      <c r="D207" s="17" t="s">
        <v>621</v>
      </c>
      <c r="E207" s="15" t="s">
        <v>622</v>
      </c>
      <c r="F207" s="15"/>
    </row>
    <row r="208" spans="1:6" ht="20.100000000000001" customHeight="1">
      <c r="A208" s="14" t="s">
        <v>559</v>
      </c>
      <c r="B208" s="15" t="s">
        <v>434</v>
      </c>
      <c r="C208" s="16" t="s">
        <v>623</v>
      </c>
      <c r="D208" s="17" t="s">
        <v>624</v>
      </c>
      <c r="E208" s="15" t="s">
        <v>625</v>
      </c>
      <c r="F208" s="15"/>
    </row>
    <row r="209" spans="1:6" ht="20.100000000000001" customHeight="1">
      <c r="A209" s="14" t="s">
        <v>559</v>
      </c>
      <c r="B209" s="15" t="s">
        <v>434</v>
      </c>
      <c r="C209" s="16" t="s">
        <v>626</v>
      </c>
      <c r="D209" s="17" t="s">
        <v>627</v>
      </c>
      <c r="E209" s="15" t="s">
        <v>628</v>
      </c>
      <c r="F209" s="15"/>
    </row>
    <row r="210" spans="1:6" ht="20.100000000000001" customHeight="1">
      <c r="A210" s="14" t="s">
        <v>559</v>
      </c>
      <c r="B210" s="15" t="s">
        <v>434</v>
      </c>
      <c r="C210" s="16" t="s">
        <v>629</v>
      </c>
      <c r="D210" s="17" t="s">
        <v>630</v>
      </c>
      <c r="E210" s="15" t="s">
        <v>631</v>
      </c>
      <c r="F210" s="15"/>
    </row>
    <row r="211" spans="1:6" ht="20.100000000000001" customHeight="1">
      <c r="A211" s="14" t="s">
        <v>559</v>
      </c>
      <c r="B211" s="15" t="s">
        <v>174</v>
      </c>
      <c r="C211" s="16" t="s">
        <v>632</v>
      </c>
      <c r="D211" s="17" t="s">
        <v>633</v>
      </c>
      <c r="E211" s="15" t="s">
        <v>634</v>
      </c>
      <c r="F211" s="15"/>
    </row>
    <row r="212" spans="1:6" ht="20.100000000000001" customHeight="1">
      <c r="A212" s="14" t="s">
        <v>559</v>
      </c>
      <c r="B212" s="15" t="s">
        <v>174</v>
      </c>
      <c r="C212" s="16" t="s">
        <v>635</v>
      </c>
      <c r="D212" s="17" t="s">
        <v>636</v>
      </c>
      <c r="E212" s="15" t="s">
        <v>637</v>
      </c>
      <c r="F212" s="15"/>
    </row>
    <row r="213" spans="1:6" ht="20.100000000000001" customHeight="1">
      <c r="A213" s="14" t="s">
        <v>559</v>
      </c>
      <c r="B213" s="15" t="s">
        <v>174</v>
      </c>
      <c r="C213" s="16" t="s">
        <v>638</v>
      </c>
      <c r="D213" s="17" t="s">
        <v>639</v>
      </c>
      <c r="E213" s="15" t="s">
        <v>640</v>
      </c>
      <c r="F213" s="15"/>
    </row>
    <row r="214" spans="1:6" ht="20.100000000000001" customHeight="1">
      <c r="A214" s="14" t="s">
        <v>559</v>
      </c>
      <c r="B214" s="15" t="s">
        <v>17</v>
      </c>
      <c r="C214" s="16" t="s">
        <v>641</v>
      </c>
      <c r="D214" s="17" t="s">
        <v>642</v>
      </c>
      <c r="E214" s="15" t="s">
        <v>643</v>
      </c>
      <c r="F214" s="15"/>
    </row>
    <row r="215" spans="1:6" ht="20.100000000000001" customHeight="1">
      <c r="A215" s="14" t="s">
        <v>559</v>
      </c>
      <c r="B215" s="15" t="s">
        <v>434</v>
      </c>
      <c r="C215" s="16" t="s">
        <v>644</v>
      </c>
      <c r="D215" s="17" t="s">
        <v>645</v>
      </c>
      <c r="E215" s="15" t="s">
        <v>646</v>
      </c>
      <c r="F215" s="15"/>
    </row>
    <row r="216" spans="1:6" ht="20.100000000000001" customHeight="1">
      <c r="A216" s="14" t="s">
        <v>559</v>
      </c>
      <c r="B216" s="15" t="s">
        <v>434</v>
      </c>
      <c r="C216" s="16" t="s">
        <v>647</v>
      </c>
      <c r="D216" s="17" t="s">
        <v>648</v>
      </c>
      <c r="E216" s="15" t="s">
        <v>649</v>
      </c>
      <c r="F216" s="15"/>
    </row>
    <row r="217" spans="1:6" ht="20.100000000000001" customHeight="1">
      <c r="A217" s="14" t="s">
        <v>559</v>
      </c>
      <c r="B217" s="15" t="s">
        <v>434</v>
      </c>
      <c r="C217" s="16" t="s">
        <v>650</v>
      </c>
      <c r="D217" s="17" t="s">
        <v>651</v>
      </c>
      <c r="E217" s="15" t="s">
        <v>652</v>
      </c>
      <c r="F217" s="15"/>
    </row>
    <row r="218" spans="1:6" ht="20.100000000000001" customHeight="1">
      <c r="A218" s="14" t="s">
        <v>559</v>
      </c>
      <c r="B218" s="15" t="s">
        <v>174</v>
      </c>
      <c r="C218" s="16" t="s">
        <v>653</v>
      </c>
      <c r="D218" s="17" t="s">
        <v>654</v>
      </c>
      <c r="E218" s="15" t="s">
        <v>655</v>
      </c>
      <c r="F218" s="15"/>
    </row>
    <row r="219" spans="1:6" ht="20.100000000000001" customHeight="1">
      <c r="A219" s="14" t="s">
        <v>559</v>
      </c>
      <c r="B219" s="15" t="s">
        <v>174</v>
      </c>
      <c r="C219" s="16" t="s">
        <v>656</v>
      </c>
      <c r="D219" s="17" t="s">
        <v>657</v>
      </c>
      <c r="E219" s="15" t="s">
        <v>658</v>
      </c>
      <c r="F219" s="15"/>
    </row>
    <row r="220" spans="1:6" ht="20.100000000000001" customHeight="1">
      <c r="A220" s="14" t="s">
        <v>559</v>
      </c>
      <c r="B220" s="15" t="s">
        <v>17</v>
      </c>
      <c r="C220" s="16" t="s">
        <v>659</v>
      </c>
      <c r="D220" s="17" t="s">
        <v>660</v>
      </c>
      <c r="E220" s="15" t="s">
        <v>661</v>
      </c>
      <c r="F220" s="15"/>
    </row>
    <row r="221" spans="1:6" ht="20.100000000000001" customHeight="1">
      <c r="A221" s="14" t="s">
        <v>559</v>
      </c>
      <c r="B221" s="15" t="s">
        <v>17</v>
      </c>
      <c r="C221" s="16" t="s">
        <v>662</v>
      </c>
      <c r="D221" s="17" t="s">
        <v>663</v>
      </c>
      <c r="E221" s="15" t="s">
        <v>664</v>
      </c>
      <c r="F221" s="15"/>
    </row>
    <row r="222" spans="1:6" ht="20.100000000000001" customHeight="1">
      <c r="A222" s="14" t="s">
        <v>559</v>
      </c>
      <c r="B222" s="15" t="s">
        <v>17</v>
      </c>
      <c r="C222" s="16" t="s">
        <v>665</v>
      </c>
      <c r="D222" s="17" t="s">
        <v>666</v>
      </c>
      <c r="E222" s="15" t="s">
        <v>667</v>
      </c>
      <c r="F222" s="15"/>
    </row>
    <row r="223" spans="1:6" ht="20.100000000000001" customHeight="1">
      <c r="A223" s="14" t="s">
        <v>559</v>
      </c>
      <c r="B223" s="15" t="s">
        <v>17</v>
      </c>
      <c r="C223" s="16" t="s">
        <v>668</v>
      </c>
      <c r="D223" s="17" t="s">
        <v>669</v>
      </c>
      <c r="E223" s="15" t="s">
        <v>670</v>
      </c>
      <c r="F223" s="15"/>
    </row>
    <row r="224" spans="1:6" ht="20.100000000000001" customHeight="1">
      <c r="A224" s="14" t="s">
        <v>559</v>
      </c>
      <c r="B224" s="15" t="s">
        <v>17</v>
      </c>
      <c r="C224" s="16" t="s">
        <v>671</v>
      </c>
      <c r="D224" s="17" t="s">
        <v>672</v>
      </c>
      <c r="E224" s="15" t="s">
        <v>673</v>
      </c>
      <c r="F224" s="15"/>
    </row>
    <row r="225" spans="1:6" ht="20.100000000000001" customHeight="1">
      <c r="A225" s="14" t="s">
        <v>559</v>
      </c>
      <c r="B225" s="15" t="s">
        <v>17</v>
      </c>
      <c r="C225" s="16" t="s">
        <v>674</v>
      </c>
      <c r="D225" s="17" t="s">
        <v>675</v>
      </c>
      <c r="E225" s="15" t="s">
        <v>676</v>
      </c>
      <c r="F225" s="15"/>
    </row>
    <row r="226" spans="1:6" ht="20.100000000000001" customHeight="1">
      <c r="A226" s="14" t="s">
        <v>559</v>
      </c>
      <c r="B226" s="15" t="s">
        <v>17</v>
      </c>
      <c r="C226" s="16" t="s">
        <v>677</v>
      </c>
      <c r="D226" s="17" t="s">
        <v>678</v>
      </c>
      <c r="E226" s="15" t="s">
        <v>679</v>
      </c>
      <c r="F226" s="15"/>
    </row>
    <row r="227" spans="1:6" ht="20.100000000000001" customHeight="1">
      <c r="A227" s="14" t="s">
        <v>559</v>
      </c>
      <c r="B227" s="15" t="s">
        <v>17</v>
      </c>
      <c r="C227" s="16" t="s">
        <v>680</v>
      </c>
      <c r="D227" s="17" t="s">
        <v>681</v>
      </c>
      <c r="E227" s="15" t="s">
        <v>682</v>
      </c>
      <c r="F227" s="15"/>
    </row>
    <row r="228" spans="1:6" ht="20.100000000000001" customHeight="1">
      <c r="A228" s="14" t="s">
        <v>559</v>
      </c>
      <c r="B228" s="15" t="s">
        <v>434</v>
      </c>
      <c r="C228" s="16" t="s">
        <v>683</v>
      </c>
      <c r="D228" s="17" t="s">
        <v>684</v>
      </c>
      <c r="E228" s="15" t="s">
        <v>685</v>
      </c>
      <c r="F228" s="15"/>
    </row>
    <row r="229" spans="1:6" ht="20.100000000000001" customHeight="1">
      <c r="A229" s="14" t="s">
        <v>559</v>
      </c>
      <c r="B229" s="15" t="s">
        <v>434</v>
      </c>
      <c r="C229" s="16" t="s">
        <v>686</v>
      </c>
      <c r="D229" s="17" t="s">
        <v>687</v>
      </c>
      <c r="E229" s="15" t="s">
        <v>688</v>
      </c>
      <c r="F229" s="15"/>
    </row>
    <row r="230" spans="1:6" ht="20.100000000000001" customHeight="1">
      <c r="A230" s="14" t="s">
        <v>559</v>
      </c>
      <c r="B230" s="15" t="s">
        <v>17</v>
      </c>
      <c r="C230" s="16" t="s">
        <v>689</v>
      </c>
      <c r="D230" s="17" t="s">
        <v>690</v>
      </c>
      <c r="E230" s="15" t="s">
        <v>691</v>
      </c>
      <c r="F230" s="15"/>
    </row>
    <row r="231" spans="1:6" ht="20.100000000000001" customHeight="1">
      <c r="A231" s="14" t="s">
        <v>559</v>
      </c>
      <c r="B231" s="15" t="s">
        <v>17</v>
      </c>
      <c r="C231" s="16" t="s">
        <v>692</v>
      </c>
      <c r="D231" s="17" t="s">
        <v>693</v>
      </c>
      <c r="E231" s="15" t="s">
        <v>694</v>
      </c>
      <c r="F231" s="15"/>
    </row>
    <row r="232" spans="1:6" ht="20.100000000000001" customHeight="1">
      <c r="A232" s="14" t="s">
        <v>559</v>
      </c>
      <c r="B232" s="15" t="s">
        <v>17</v>
      </c>
      <c r="C232" s="16" t="s">
        <v>695</v>
      </c>
      <c r="D232" s="17" t="s">
        <v>696</v>
      </c>
      <c r="E232" s="15" t="s">
        <v>697</v>
      </c>
      <c r="F232" s="15"/>
    </row>
    <row r="233" spans="1:6" ht="20.100000000000001" customHeight="1">
      <c r="A233" s="14" t="s">
        <v>559</v>
      </c>
      <c r="B233" s="15" t="s">
        <v>17</v>
      </c>
      <c r="C233" s="16" t="s">
        <v>698</v>
      </c>
      <c r="D233" s="17" t="s">
        <v>699</v>
      </c>
      <c r="E233" s="15" t="s">
        <v>700</v>
      </c>
      <c r="F233" s="15"/>
    </row>
    <row r="234" spans="1:6" ht="20.100000000000001" customHeight="1">
      <c r="A234" s="14" t="s">
        <v>559</v>
      </c>
      <c r="B234" s="15" t="s">
        <v>174</v>
      </c>
      <c r="C234" s="16" t="s">
        <v>701</v>
      </c>
      <c r="D234" s="17" t="s">
        <v>702</v>
      </c>
      <c r="E234" s="15" t="s">
        <v>703</v>
      </c>
      <c r="F234" s="15"/>
    </row>
    <row r="235" spans="1:6" ht="20.100000000000001" customHeight="1">
      <c r="A235" s="14" t="s">
        <v>559</v>
      </c>
      <c r="B235" s="15" t="s">
        <v>164</v>
      </c>
      <c r="C235" s="16" t="s">
        <v>704</v>
      </c>
      <c r="D235" s="17" t="s">
        <v>705</v>
      </c>
      <c r="E235" s="15" t="s">
        <v>706</v>
      </c>
      <c r="F235" s="15"/>
    </row>
    <row r="236" spans="1:6" ht="20.100000000000001" customHeight="1">
      <c r="A236" s="14" t="s">
        <v>559</v>
      </c>
      <c r="B236" s="15" t="s">
        <v>17</v>
      </c>
      <c r="C236" s="16" t="s">
        <v>707</v>
      </c>
      <c r="D236" s="17" t="s">
        <v>708</v>
      </c>
      <c r="E236" s="15" t="s">
        <v>709</v>
      </c>
      <c r="F236" s="15"/>
    </row>
    <row r="237" spans="1:6" ht="20.100000000000001" customHeight="1">
      <c r="A237" s="14" t="s">
        <v>559</v>
      </c>
      <c r="B237" s="15" t="s">
        <v>17</v>
      </c>
      <c r="C237" s="16" t="s">
        <v>710</v>
      </c>
      <c r="D237" s="17" t="s">
        <v>711</v>
      </c>
      <c r="E237" s="15" t="s">
        <v>712</v>
      </c>
      <c r="F237" s="15"/>
    </row>
    <row r="238" spans="1:6" ht="20.100000000000001" customHeight="1">
      <c r="A238" s="14" t="s">
        <v>559</v>
      </c>
      <c r="B238" s="15" t="s">
        <v>174</v>
      </c>
      <c r="C238" s="16" t="s">
        <v>713</v>
      </c>
      <c r="D238" s="17" t="s">
        <v>714</v>
      </c>
      <c r="E238" s="15" t="s">
        <v>715</v>
      </c>
      <c r="F238" s="15"/>
    </row>
    <row r="239" spans="1:6" ht="20.100000000000001" customHeight="1">
      <c r="A239" s="14" t="s">
        <v>559</v>
      </c>
      <c r="B239" s="15" t="s">
        <v>174</v>
      </c>
      <c r="C239" s="16" t="s">
        <v>716</v>
      </c>
      <c r="D239" s="17" t="s">
        <v>717</v>
      </c>
      <c r="E239" s="15" t="s">
        <v>718</v>
      </c>
      <c r="F239" s="15"/>
    </row>
    <row r="240" spans="1:6" ht="20.100000000000001" customHeight="1">
      <c r="A240" s="14" t="s">
        <v>559</v>
      </c>
      <c r="B240" s="15" t="s">
        <v>174</v>
      </c>
      <c r="C240" s="16" t="s">
        <v>719</v>
      </c>
      <c r="D240" s="17" t="s">
        <v>720</v>
      </c>
      <c r="E240" s="15" t="s">
        <v>721</v>
      </c>
      <c r="F240" s="15"/>
    </row>
    <row r="241" spans="1:6" ht="20.100000000000001" customHeight="1">
      <c r="A241" s="14" t="s">
        <v>559</v>
      </c>
      <c r="B241" s="15" t="s">
        <v>17</v>
      </c>
      <c r="C241" s="16" t="s">
        <v>722</v>
      </c>
      <c r="D241" s="17" t="s">
        <v>723</v>
      </c>
      <c r="E241" s="15" t="s">
        <v>724</v>
      </c>
      <c r="F241" s="15"/>
    </row>
    <row r="242" spans="1:6" ht="20.100000000000001" customHeight="1">
      <c r="A242" s="14" t="s">
        <v>559</v>
      </c>
      <c r="B242" s="15" t="s">
        <v>174</v>
      </c>
      <c r="C242" s="16" t="s">
        <v>725</v>
      </c>
      <c r="D242" s="17" t="s">
        <v>726</v>
      </c>
      <c r="E242" s="15" t="s">
        <v>727</v>
      </c>
      <c r="F242" s="15"/>
    </row>
    <row r="243" spans="1:6" ht="20.100000000000001" customHeight="1">
      <c r="A243" s="14" t="s">
        <v>559</v>
      </c>
      <c r="B243" s="15" t="s">
        <v>174</v>
      </c>
      <c r="C243" s="16" t="s">
        <v>728</v>
      </c>
      <c r="D243" s="17" t="s">
        <v>729</v>
      </c>
      <c r="E243" s="15" t="s">
        <v>730</v>
      </c>
      <c r="F243" s="15"/>
    </row>
    <row r="244" spans="1:6" ht="20.100000000000001" customHeight="1">
      <c r="A244" s="14" t="s">
        <v>559</v>
      </c>
      <c r="B244" s="15" t="s">
        <v>174</v>
      </c>
      <c r="C244" s="16" t="s">
        <v>731</v>
      </c>
      <c r="D244" s="17" t="s">
        <v>732</v>
      </c>
      <c r="E244" s="15" t="s">
        <v>733</v>
      </c>
      <c r="F244" s="15"/>
    </row>
    <row r="245" spans="1:6" ht="20.100000000000001" customHeight="1">
      <c r="A245" s="14" t="s">
        <v>559</v>
      </c>
      <c r="B245" s="15" t="s">
        <v>174</v>
      </c>
      <c r="C245" s="16" t="s">
        <v>734</v>
      </c>
      <c r="D245" s="17" t="s">
        <v>735</v>
      </c>
      <c r="E245" s="15" t="s">
        <v>736</v>
      </c>
      <c r="F245" s="15"/>
    </row>
    <row r="246" spans="1:6" ht="20.100000000000001" customHeight="1">
      <c r="A246" s="14" t="s">
        <v>559</v>
      </c>
      <c r="B246" s="15" t="s">
        <v>174</v>
      </c>
      <c r="C246" s="16" t="s">
        <v>737</v>
      </c>
      <c r="D246" s="17" t="s">
        <v>738</v>
      </c>
      <c r="E246" s="15" t="s">
        <v>739</v>
      </c>
      <c r="F246" s="15"/>
    </row>
    <row r="247" spans="1:6" ht="20.100000000000001" customHeight="1">
      <c r="A247" s="14" t="s">
        <v>559</v>
      </c>
      <c r="B247" s="15" t="s">
        <v>174</v>
      </c>
      <c r="C247" s="16" t="s">
        <v>740</v>
      </c>
      <c r="D247" s="17" t="s">
        <v>741</v>
      </c>
      <c r="E247" s="15" t="s">
        <v>742</v>
      </c>
      <c r="F247" s="15"/>
    </row>
    <row r="248" spans="1:6" ht="20.100000000000001" customHeight="1">
      <c r="A248" s="14" t="s">
        <v>559</v>
      </c>
      <c r="B248" s="15" t="s">
        <v>174</v>
      </c>
      <c r="C248" s="16" t="s">
        <v>743</v>
      </c>
      <c r="D248" s="17" t="s">
        <v>744</v>
      </c>
      <c r="E248" s="15" t="s">
        <v>745</v>
      </c>
      <c r="F248" s="15"/>
    </row>
    <row r="249" spans="1:6" ht="20.100000000000001" customHeight="1">
      <c r="A249" s="14" t="s">
        <v>559</v>
      </c>
      <c r="B249" s="15" t="s">
        <v>174</v>
      </c>
      <c r="C249" s="16" t="s">
        <v>746</v>
      </c>
      <c r="D249" s="17" t="s">
        <v>747</v>
      </c>
      <c r="E249" s="15" t="s">
        <v>748</v>
      </c>
      <c r="F249" s="15"/>
    </row>
    <row r="250" spans="1:6" ht="20.100000000000001" customHeight="1">
      <c r="A250" s="14" t="s">
        <v>559</v>
      </c>
      <c r="B250" s="15" t="s">
        <v>174</v>
      </c>
      <c r="C250" s="16" t="s">
        <v>749</v>
      </c>
      <c r="D250" s="17" t="s">
        <v>750</v>
      </c>
      <c r="E250" s="15" t="s">
        <v>751</v>
      </c>
      <c r="F250" s="15"/>
    </row>
    <row r="251" spans="1:6" ht="20.100000000000001" customHeight="1">
      <c r="A251" s="14" t="s">
        <v>559</v>
      </c>
      <c r="B251" s="15" t="s">
        <v>174</v>
      </c>
      <c r="C251" s="16" t="s">
        <v>752</v>
      </c>
      <c r="D251" s="17" t="s">
        <v>753</v>
      </c>
      <c r="E251" s="15" t="s">
        <v>754</v>
      </c>
      <c r="F251" s="15"/>
    </row>
    <row r="252" spans="1:6" ht="20.100000000000001" customHeight="1">
      <c r="A252" s="14" t="s">
        <v>559</v>
      </c>
      <c r="B252" s="15" t="s">
        <v>174</v>
      </c>
      <c r="C252" s="16" t="s">
        <v>755</v>
      </c>
      <c r="D252" s="17" t="s">
        <v>756</v>
      </c>
      <c r="E252" s="15" t="s">
        <v>757</v>
      </c>
      <c r="F252" s="15"/>
    </row>
    <row r="253" spans="1:6" ht="20.100000000000001" customHeight="1">
      <c r="A253" s="14" t="s">
        <v>559</v>
      </c>
      <c r="B253" s="15" t="s">
        <v>174</v>
      </c>
      <c r="C253" s="16" t="s">
        <v>758</v>
      </c>
      <c r="D253" s="17" t="s">
        <v>759</v>
      </c>
      <c r="E253" s="15" t="s">
        <v>760</v>
      </c>
      <c r="F253" s="15"/>
    </row>
    <row r="254" spans="1:6" ht="20.100000000000001" customHeight="1">
      <c r="A254" s="14" t="s">
        <v>559</v>
      </c>
      <c r="B254" s="15" t="s">
        <v>174</v>
      </c>
      <c r="C254" s="16" t="s">
        <v>761</v>
      </c>
      <c r="D254" s="17" t="s">
        <v>762</v>
      </c>
      <c r="E254" s="15" t="s">
        <v>763</v>
      </c>
      <c r="F254" s="15"/>
    </row>
    <row r="255" spans="1:6" ht="20.100000000000001" customHeight="1">
      <c r="A255" s="14" t="s">
        <v>559</v>
      </c>
      <c r="B255" s="15" t="s">
        <v>174</v>
      </c>
      <c r="C255" s="16" t="s">
        <v>764</v>
      </c>
      <c r="D255" s="17" t="s">
        <v>765</v>
      </c>
      <c r="E255" s="15" t="s">
        <v>766</v>
      </c>
      <c r="F255" s="15"/>
    </row>
    <row r="256" spans="1:6" ht="20.100000000000001" customHeight="1">
      <c r="A256" s="14" t="s">
        <v>559</v>
      </c>
      <c r="B256" s="15" t="s">
        <v>174</v>
      </c>
      <c r="C256" s="16" t="s">
        <v>767</v>
      </c>
      <c r="D256" s="17" t="s">
        <v>768</v>
      </c>
      <c r="E256" s="15" t="s">
        <v>769</v>
      </c>
      <c r="F256" s="15"/>
    </row>
    <row r="257" spans="1:6" ht="20.100000000000001" customHeight="1">
      <c r="A257" s="14" t="s">
        <v>559</v>
      </c>
      <c r="B257" s="15" t="s">
        <v>174</v>
      </c>
      <c r="C257" s="16" t="s">
        <v>770</v>
      </c>
      <c r="D257" s="17" t="s">
        <v>771</v>
      </c>
      <c r="E257" s="15" t="s">
        <v>772</v>
      </c>
      <c r="F257" s="15"/>
    </row>
    <row r="258" spans="1:6" ht="20.100000000000001" customHeight="1">
      <c r="A258" s="14" t="s">
        <v>559</v>
      </c>
      <c r="B258" s="15" t="s">
        <v>174</v>
      </c>
      <c r="C258" s="16" t="s">
        <v>773</v>
      </c>
      <c r="D258" s="17" t="s">
        <v>774</v>
      </c>
      <c r="E258" s="15" t="s">
        <v>775</v>
      </c>
      <c r="F258" s="15"/>
    </row>
    <row r="259" spans="1:6" ht="20.100000000000001" customHeight="1">
      <c r="A259" s="14" t="s">
        <v>559</v>
      </c>
      <c r="B259" s="15" t="s">
        <v>17</v>
      </c>
      <c r="C259" s="16" t="s">
        <v>776</v>
      </c>
      <c r="D259" s="17" t="s">
        <v>777</v>
      </c>
      <c r="E259" s="15" t="s">
        <v>778</v>
      </c>
      <c r="F259" s="15"/>
    </row>
    <row r="260" spans="1:6" ht="20.100000000000001" customHeight="1">
      <c r="A260" s="14" t="s">
        <v>559</v>
      </c>
      <c r="B260" s="15" t="s">
        <v>434</v>
      </c>
      <c r="C260" s="16" t="s">
        <v>779</v>
      </c>
      <c r="D260" s="17" t="s">
        <v>780</v>
      </c>
      <c r="E260" s="15" t="s">
        <v>781</v>
      </c>
      <c r="F260" s="15"/>
    </row>
    <row r="261" spans="1:6" ht="20.100000000000001" customHeight="1">
      <c r="A261" s="14" t="s">
        <v>559</v>
      </c>
      <c r="B261" s="15" t="s">
        <v>434</v>
      </c>
      <c r="C261" s="16" t="s">
        <v>782</v>
      </c>
      <c r="D261" s="17" t="s">
        <v>783</v>
      </c>
      <c r="E261" s="15" t="s">
        <v>784</v>
      </c>
      <c r="F261" s="15"/>
    </row>
    <row r="262" spans="1:6" ht="20.100000000000001" customHeight="1">
      <c r="A262" s="14" t="s">
        <v>559</v>
      </c>
      <c r="B262" s="15" t="s">
        <v>434</v>
      </c>
      <c r="C262" s="16" t="s">
        <v>785</v>
      </c>
      <c r="D262" s="17" t="s">
        <v>786</v>
      </c>
      <c r="E262" s="15" t="s">
        <v>787</v>
      </c>
      <c r="F262" s="15"/>
    </row>
    <row r="263" spans="1:6" ht="20.100000000000001" customHeight="1">
      <c r="A263" s="14" t="s">
        <v>559</v>
      </c>
      <c r="B263" s="15" t="s">
        <v>434</v>
      </c>
      <c r="C263" s="16" t="s">
        <v>788</v>
      </c>
      <c r="D263" s="17" t="s">
        <v>789</v>
      </c>
      <c r="E263" s="15" t="s">
        <v>790</v>
      </c>
      <c r="F263" s="15"/>
    </row>
    <row r="264" spans="1:6" ht="20.100000000000001" customHeight="1">
      <c r="A264" s="14" t="s">
        <v>559</v>
      </c>
      <c r="B264" s="15" t="s">
        <v>17</v>
      </c>
      <c r="C264" s="16" t="s">
        <v>791</v>
      </c>
      <c r="D264" s="17" t="s">
        <v>792</v>
      </c>
      <c r="E264" s="15" t="s">
        <v>793</v>
      </c>
      <c r="F264" s="15"/>
    </row>
    <row r="265" spans="1:6" ht="20.100000000000001" customHeight="1">
      <c r="A265" s="14" t="s">
        <v>559</v>
      </c>
      <c r="B265" s="15" t="s">
        <v>17</v>
      </c>
      <c r="C265" s="16" t="s">
        <v>794</v>
      </c>
      <c r="D265" s="17" t="s">
        <v>795</v>
      </c>
      <c r="E265" s="15" t="s">
        <v>796</v>
      </c>
      <c r="F265" s="15"/>
    </row>
    <row r="266" spans="1:6" ht="20.100000000000001" customHeight="1">
      <c r="A266" s="14" t="s">
        <v>559</v>
      </c>
      <c r="B266" s="15" t="s">
        <v>17</v>
      </c>
      <c r="C266" s="16" t="s">
        <v>797</v>
      </c>
      <c r="D266" s="17" t="s">
        <v>798</v>
      </c>
      <c r="E266" s="15" t="s">
        <v>799</v>
      </c>
      <c r="F266" s="15"/>
    </row>
    <row r="267" spans="1:6" ht="20.100000000000001" customHeight="1">
      <c r="A267" s="14" t="s">
        <v>559</v>
      </c>
      <c r="B267" s="15" t="s">
        <v>17</v>
      </c>
      <c r="C267" s="16" t="s">
        <v>800</v>
      </c>
      <c r="D267" s="17" t="s">
        <v>801</v>
      </c>
      <c r="E267" s="15" t="s">
        <v>802</v>
      </c>
      <c r="F267" s="15"/>
    </row>
    <row r="268" spans="1:6" ht="20.100000000000001" customHeight="1">
      <c r="A268" s="14" t="s">
        <v>559</v>
      </c>
      <c r="B268" s="15" t="s">
        <v>17</v>
      </c>
      <c r="C268" s="16" t="s">
        <v>803</v>
      </c>
      <c r="D268" s="17" t="s">
        <v>804</v>
      </c>
      <c r="E268" s="15" t="s">
        <v>805</v>
      </c>
      <c r="F268" s="15"/>
    </row>
    <row r="269" spans="1:6" ht="20.100000000000001" customHeight="1">
      <c r="A269" s="14" t="s">
        <v>559</v>
      </c>
      <c r="B269" s="15" t="s">
        <v>434</v>
      </c>
      <c r="C269" s="16" t="s">
        <v>806</v>
      </c>
      <c r="D269" s="17" t="s">
        <v>807</v>
      </c>
      <c r="E269" s="15" t="s">
        <v>808</v>
      </c>
      <c r="F269" s="15"/>
    </row>
    <row r="270" spans="1:6" ht="20.100000000000001" customHeight="1">
      <c r="A270" s="14" t="s">
        <v>559</v>
      </c>
      <c r="B270" s="15" t="s">
        <v>434</v>
      </c>
      <c r="C270" s="16" t="s">
        <v>809</v>
      </c>
      <c r="D270" s="17" t="s">
        <v>810</v>
      </c>
      <c r="E270" s="15" t="s">
        <v>811</v>
      </c>
      <c r="F270" s="15"/>
    </row>
    <row r="271" spans="1:6" ht="20.100000000000001" customHeight="1">
      <c r="A271" s="14" t="s">
        <v>559</v>
      </c>
      <c r="B271" s="15" t="s">
        <v>17</v>
      </c>
      <c r="C271" s="16" t="s">
        <v>812</v>
      </c>
      <c r="D271" s="17" t="s">
        <v>813</v>
      </c>
      <c r="E271" s="15" t="s">
        <v>814</v>
      </c>
      <c r="F271" s="15"/>
    </row>
    <row r="272" spans="1:6" ht="20.100000000000001" customHeight="1">
      <c r="A272" s="14" t="s">
        <v>559</v>
      </c>
      <c r="B272" s="15" t="s">
        <v>434</v>
      </c>
      <c r="C272" s="16" t="s">
        <v>815</v>
      </c>
      <c r="D272" s="17" t="s">
        <v>816</v>
      </c>
      <c r="E272" s="15" t="s">
        <v>817</v>
      </c>
      <c r="F272" s="15"/>
    </row>
    <row r="273" spans="1:6" ht="20.100000000000001" customHeight="1">
      <c r="A273" s="14" t="s">
        <v>559</v>
      </c>
      <c r="B273" s="15" t="s">
        <v>17</v>
      </c>
      <c r="C273" s="16" t="s">
        <v>818</v>
      </c>
      <c r="D273" s="17" t="s">
        <v>819</v>
      </c>
      <c r="E273" s="15" t="s">
        <v>820</v>
      </c>
      <c r="F273" s="15"/>
    </row>
    <row r="274" spans="1:6" ht="20.100000000000001" customHeight="1">
      <c r="A274" s="14" t="s">
        <v>559</v>
      </c>
      <c r="B274" s="15" t="s">
        <v>17</v>
      </c>
      <c r="C274" s="16" t="s">
        <v>821</v>
      </c>
      <c r="D274" s="17" t="s">
        <v>822</v>
      </c>
      <c r="E274" s="15" t="s">
        <v>823</v>
      </c>
      <c r="F274" s="15"/>
    </row>
    <row r="275" spans="1:6" ht="20.100000000000001" customHeight="1">
      <c r="A275" s="14" t="s">
        <v>559</v>
      </c>
      <c r="B275" s="15" t="s">
        <v>17</v>
      </c>
      <c r="C275" s="16" t="s">
        <v>824</v>
      </c>
      <c r="D275" s="17" t="s">
        <v>825</v>
      </c>
      <c r="E275" s="15" t="s">
        <v>826</v>
      </c>
      <c r="F275" s="15"/>
    </row>
    <row r="276" spans="1:6" ht="20.100000000000001" customHeight="1">
      <c r="A276" s="14" t="s">
        <v>559</v>
      </c>
      <c r="B276" s="15" t="s">
        <v>17</v>
      </c>
      <c r="C276" s="16" t="s">
        <v>827</v>
      </c>
      <c r="D276" s="17" t="s">
        <v>828</v>
      </c>
      <c r="E276" s="15" t="s">
        <v>829</v>
      </c>
      <c r="F276" s="15"/>
    </row>
    <row r="277" spans="1:6" ht="20.100000000000001" customHeight="1">
      <c r="A277" s="14" t="s">
        <v>559</v>
      </c>
      <c r="B277" s="15" t="s">
        <v>434</v>
      </c>
      <c r="C277" s="16" t="s">
        <v>830</v>
      </c>
      <c r="D277" s="17" t="s">
        <v>831</v>
      </c>
      <c r="E277" s="15" t="s">
        <v>832</v>
      </c>
      <c r="F277" s="15"/>
    </row>
    <row r="278" spans="1:6" ht="20.100000000000001" customHeight="1">
      <c r="A278" s="14" t="s">
        <v>559</v>
      </c>
      <c r="B278" s="15" t="s">
        <v>434</v>
      </c>
      <c r="C278" s="16" t="s">
        <v>833</v>
      </c>
      <c r="D278" s="17" t="s">
        <v>834</v>
      </c>
      <c r="E278" s="15" t="s">
        <v>835</v>
      </c>
      <c r="F278" s="15"/>
    </row>
    <row r="279" spans="1:6" ht="20.100000000000001" customHeight="1">
      <c r="A279" s="14" t="s">
        <v>559</v>
      </c>
      <c r="B279" s="15" t="s">
        <v>174</v>
      </c>
      <c r="C279" s="16" t="s">
        <v>836</v>
      </c>
      <c r="D279" s="17" t="s">
        <v>837</v>
      </c>
      <c r="E279" s="15" t="s">
        <v>838</v>
      </c>
      <c r="F279" s="15"/>
    </row>
    <row r="280" spans="1:6" ht="20.100000000000001" customHeight="1">
      <c r="A280" s="14" t="s">
        <v>559</v>
      </c>
      <c r="B280" s="15" t="s">
        <v>174</v>
      </c>
      <c r="C280" s="16" t="s">
        <v>839</v>
      </c>
      <c r="D280" s="17" t="s">
        <v>840</v>
      </c>
      <c r="E280" s="15" t="s">
        <v>841</v>
      </c>
      <c r="F280" s="15"/>
    </row>
    <row r="281" spans="1:6" ht="20.100000000000001" customHeight="1">
      <c r="A281" s="14" t="s">
        <v>559</v>
      </c>
      <c r="B281" s="15" t="s">
        <v>174</v>
      </c>
      <c r="C281" s="16" t="s">
        <v>842</v>
      </c>
      <c r="D281" s="17" t="s">
        <v>843</v>
      </c>
      <c r="E281" s="15" t="s">
        <v>844</v>
      </c>
      <c r="F281" s="15"/>
    </row>
    <row r="282" spans="1:6" ht="20.100000000000001" customHeight="1">
      <c r="A282" s="14" t="s">
        <v>559</v>
      </c>
      <c r="B282" s="15" t="s">
        <v>434</v>
      </c>
      <c r="C282" s="16" t="s">
        <v>845</v>
      </c>
      <c r="D282" s="17" t="s">
        <v>846</v>
      </c>
      <c r="E282" s="15" t="s">
        <v>847</v>
      </c>
      <c r="F282" s="15"/>
    </row>
    <row r="283" spans="1:6" ht="20.100000000000001" customHeight="1">
      <c r="A283" s="14" t="s">
        <v>559</v>
      </c>
      <c r="B283" s="15" t="s">
        <v>434</v>
      </c>
      <c r="C283" s="16" t="s">
        <v>848</v>
      </c>
      <c r="D283" s="17" t="s">
        <v>849</v>
      </c>
      <c r="E283" s="15" t="s">
        <v>850</v>
      </c>
      <c r="F283" s="15"/>
    </row>
    <row r="284" spans="1:6" ht="20.100000000000001" customHeight="1">
      <c r="A284" s="14" t="s">
        <v>559</v>
      </c>
      <c r="B284" s="15" t="s">
        <v>434</v>
      </c>
      <c r="C284" s="16" t="s">
        <v>851</v>
      </c>
      <c r="D284" s="17" t="s">
        <v>852</v>
      </c>
      <c r="E284" s="15" t="s">
        <v>853</v>
      </c>
      <c r="F284" s="15"/>
    </row>
    <row r="285" spans="1:6" ht="20.100000000000001" customHeight="1">
      <c r="A285" s="14" t="s">
        <v>559</v>
      </c>
      <c r="B285" s="15" t="s">
        <v>434</v>
      </c>
      <c r="C285" s="16" t="s">
        <v>854</v>
      </c>
      <c r="D285" s="17" t="s">
        <v>855</v>
      </c>
      <c r="E285" s="15" t="s">
        <v>856</v>
      </c>
      <c r="F285" s="15"/>
    </row>
    <row r="286" spans="1:6" ht="20.100000000000001" customHeight="1">
      <c r="A286" s="14" t="s">
        <v>559</v>
      </c>
      <c r="B286" s="15" t="s">
        <v>17</v>
      </c>
      <c r="C286" s="16" t="s">
        <v>857</v>
      </c>
      <c r="D286" s="17" t="s">
        <v>858</v>
      </c>
      <c r="E286" s="15" t="s">
        <v>859</v>
      </c>
      <c r="F286" s="15"/>
    </row>
    <row r="287" spans="1:6" ht="20.100000000000001" customHeight="1">
      <c r="A287" s="14" t="s">
        <v>559</v>
      </c>
      <c r="B287" s="15" t="s">
        <v>17</v>
      </c>
      <c r="C287" s="16" t="s">
        <v>860</v>
      </c>
      <c r="D287" s="17" t="s">
        <v>861</v>
      </c>
      <c r="E287" s="15" t="s">
        <v>862</v>
      </c>
      <c r="F287" s="15"/>
    </row>
    <row r="288" spans="1:6" ht="20.100000000000001" customHeight="1">
      <c r="A288" s="14" t="s">
        <v>559</v>
      </c>
      <c r="B288" s="15" t="s">
        <v>17</v>
      </c>
      <c r="C288" s="16" t="s">
        <v>863</v>
      </c>
      <c r="D288" s="17" t="s">
        <v>864</v>
      </c>
      <c r="E288" s="15" t="s">
        <v>865</v>
      </c>
      <c r="F288" s="15"/>
    </row>
    <row r="289" spans="1:6" ht="20.100000000000001" customHeight="1">
      <c r="A289" s="14" t="s">
        <v>559</v>
      </c>
      <c r="B289" s="15" t="s">
        <v>17</v>
      </c>
      <c r="C289" s="16" t="s">
        <v>866</v>
      </c>
      <c r="D289" s="17" t="s">
        <v>867</v>
      </c>
      <c r="E289" s="15" t="s">
        <v>868</v>
      </c>
      <c r="F289" s="15"/>
    </row>
    <row r="290" spans="1:6" ht="20.100000000000001" customHeight="1">
      <c r="A290" s="14" t="s">
        <v>559</v>
      </c>
      <c r="B290" s="15" t="s">
        <v>106</v>
      </c>
      <c r="C290" s="16" t="s">
        <v>869</v>
      </c>
      <c r="D290" s="17" t="s">
        <v>870</v>
      </c>
      <c r="E290" s="15" t="s">
        <v>871</v>
      </c>
      <c r="F290" s="15"/>
    </row>
    <row r="291" spans="1:6" ht="20.100000000000001" customHeight="1">
      <c r="A291" s="14" t="s">
        <v>559</v>
      </c>
      <c r="B291" s="15" t="s">
        <v>434</v>
      </c>
      <c r="C291" s="16" t="s">
        <v>872</v>
      </c>
      <c r="D291" s="17" t="s">
        <v>873</v>
      </c>
      <c r="E291" s="15" t="s">
        <v>874</v>
      </c>
      <c r="F291" s="15"/>
    </row>
    <row r="292" spans="1:6" ht="20.100000000000001" customHeight="1">
      <c r="A292" s="14" t="s">
        <v>559</v>
      </c>
      <c r="B292" s="15" t="s">
        <v>17</v>
      </c>
      <c r="C292" s="16" t="s">
        <v>875</v>
      </c>
      <c r="D292" s="17" t="s">
        <v>876</v>
      </c>
      <c r="E292" s="15" t="s">
        <v>877</v>
      </c>
      <c r="F292" s="15"/>
    </row>
    <row r="293" spans="1:6" ht="20.100000000000001" customHeight="1">
      <c r="A293" s="14" t="s">
        <v>559</v>
      </c>
      <c r="B293" s="15" t="s">
        <v>434</v>
      </c>
      <c r="C293" s="16" t="s">
        <v>878</v>
      </c>
      <c r="D293" s="17" t="s">
        <v>879</v>
      </c>
      <c r="E293" s="15" t="s">
        <v>880</v>
      </c>
      <c r="F293" s="15"/>
    </row>
    <row r="294" spans="1:6" ht="20.100000000000001" customHeight="1">
      <c r="A294" s="14" t="s">
        <v>559</v>
      </c>
      <c r="B294" s="15" t="s">
        <v>434</v>
      </c>
      <c r="C294" s="16" t="s">
        <v>881</v>
      </c>
      <c r="D294" s="17" t="s">
        <v>882</v>
      </c>
      <c r="E294" s="15" t="s">
        <v>883</v>
      </c>
      <c r="F294" s="15"/>
    </row>
    <row r="295" spans="1:6" ht="20.100000000000001" customHeight="1">
      <c r="A295" s="14" t="s">
        <v>559</v>
      </c>
      <c r="B295" s="15" t="s">
        <v>434</v>
      </c>
      <c r="C295" s="16" t="s">
        <v>884</v>
      </c>
      <c r="D295" s="17" t="s">
        <v>885</v>
      </c>
      <c r="E295" s="15" t="s">
        <v>886</v>
      </c>
      <c r="F295" s="15"/>
    </row>
    <row r="296" spans="1:6" ht="20.100000000000001" customHeight="1">
      <c r="A296" s="14" t="s">
        <v>559</v>
      </c>
      <c r="B296" s="15" t="s">
        <v>434</v>
      </c>
      <c r="C296" s="16" t="s">
        <v>887</v>
      </c>
      <c r="D296" s="17" t="s">
        <v>888</v>
      </c>
      <c r="E296" s="15" t="s">
        <v>889</v>
      </c>
      <c r="F296" s="15"/>
    </row>
    <row r="297" spans="1:6" ht="20.100000000000001" customHeight="1">
      <c r="A297" s="14" t="s">
        <v>559</v>
      </c>
      <c r="B297" s="15" t="s">
        <v>17</v>
      </c>
      <c r="C297" s="16" t="s">
        <v>890</v>
      </c>
      <c r="D297" s="17" t="s">
        <v>891</v>
      </c>
      <c r="E297" s="15" t="s">
        <v>892</v>
      </c>
      <c r="F297" s="15"/>
    </row>
    <row r="298" spans="1:6" ht="20.100000000000001" customHeight="1">
      <c r="A298" s="14" t="s">
        <v>559</v>
      </c>
      <c r="B298" s="15" t="s">
        <v>434</v>
      </c>
      <c r="C298" s="16" t="s">
        <v>893</v>
      </c>
      <c r="D298" s="17" t="s">
        <v>894</v>
      </c>
      <c r="E298" s="15" t="s">
        <v>895</v>
      </c>
      <c r="F298" s="15"/>
    </row>
    <row r="299" spans="1:6" ht="20.100000000000001" customHeight="1">
      <c r="A299" s="14" t="s">
        <v>559</v>
      </c>
      <c r="B299" s="15" t="s">
        <v>434</v>
      </c>
      <c r="C299" s="16" t="s">
        <v>896</v>
      </c>
      <c r="D299" s="17" t="s">
        <v>897</v>
      </c>
      <c r="E299" s="15" t="s">
        <v>898</v>
      </c>
      <c r="F299" s="15"/>
    </row>
    <row r="300" spans="1:6" ht="20.100000000000001" customHeight="1">
      <c r="A300" s="14" t="s">
        <v>559</v>
      </c>
      <c r="B300" s="15" t="s">
        <v>434</v>
      </c>
      <c r="C300" s="16" t="s">
        <v>899</v>
      </c>
      <c r="D300" s="17" t="s">
        <v>900</v>
      </c>
      <c r="E300" s="15" t="s">
        <v>901</v>
      </c>
      <c r="F300" s="15"/>
    </row>
    <row r="301" spans="1:6" ht="20.100000000000001" customHeight="1">
      <c r="A301" s="14" t="s">
        <v>559</v>
      </c>
      <c r="B301" s="15" t="s">
        <v>17</v>
      </c>
      <c r="C301" s="16" t="s">
        <v>902</v>
      </c>
      <c r="D301" s="17" t="s">
        <v>903</v>
      </c>
      <c r="E301" s="15" t="s">
        <v>904</v>
      </c>
      <c r="F301" s="15"/>
    </row>
    <row r="302" spans="1:6" ht="20.100000000000001" customHeight="1">
      <c r="A302" s="14" t="s">
        <v>559</v>
      </c>
      <c r="B302" s="15" t="s">
        <v>9</v>
      </c>
      <c r="C302" s="16" t="s">
        <v>905</v>
      </c>
      <c r="D302" s="17" t="s">
        <v>906</v>
      </c>
      <c r="E302" s="15" t="s">
        <v>907</v>
      </c>
      <c r="F302" s="15"/>
    </row>
    <row r="303" spans="1:6" ht="20.100000000000001" customHeight="1">
      <c r="A303" s="14" t="s">
        <v>559</v>
      </c>
      <c r="B303" s="15" t="s">
        <v>17</v>
      </c>
      <c r="C303" s="16" t="s">
        <v>908</v>
      </c>
      <c r="D303" s="17" t="s">
        <v>909</v>
      </c>
      <c r="E303" s="15" t="s">
        <v>910</v>
      </c>
      <c r="F303" s="15"/>
    </row>
    <row r="304" spans="1:6" ht="20.100000000000001" customHeight="1">
      <c r="A304" s="14" t="s">
        <v>559</v>
      </c>
      <c r="B304" s="15" t="s">
        <v>434</v>
      </c>
      <c r="C304" s="16" t="s">
        <v>911</v>
      </c>
      <c r="D304" s="17" t="s">
        <v>912</v>
      </c>
      <c r="E304" s="15" t="s">
        <v>913</v>
      </c>
      <c r="F304" s="15"/>
    </row>
    <row r="305" spans="1:6" ht="20.100000000000001" customHeight="1">
      <c r="A305" s="14" t="s">
        <v>559</v>
      </c>
      <c r="B305" s="15" t="s">
        <v>17</v>
      </c>
      <c r="C305" s="16" t="s">
        <v>914</v>
      </c>
      <c r="D305" s="17" t="s">
        <v>915</v>
      </c>
      <c r="E305" s="15" t="s">
        <v>916</v>
      </c>
      <c r="F305" s="15"/>
    </row>
    <row r="306" spans="1:6" ht="20.100000000000001" customHeight="1">
      <c r="A306" s="14" t="s">
        <v>559</v>
      </c>
      <c r="B306" s="15" t="s">
        <v>17</v>
      </c>
      <c r="C306" s="16" t="s">
        <v>917</v>
      </c>
      <c r="D306" s="17" t="s">
        <v>918</v>
      </c>
      <c r="E306" s="15" t="s">
        <v>919</v>
      </c>
      <c r="F306" s="15"/>
    </row>
    <row r="307" spans="1:6" ht="20.100000000000001" customHeight="1">
      <c r="A307" s="14" t="s">
        <v>559</v>
      </c>
      <c r="B307" s="15" t="s">
        <v>17</v>
      </c>
      <c r="C307" s="16" t="s">
        <v>920</v>
      </c>
      <c r="D307" s="17" t="s">
        <v>921</v>
      </c>
      <c r="E307" s="15" t="s">
        <v>922</v>
      </c>
      <c r="F307" s="15"/>
    </row>
    <row r="308" spans="1:6" ht="20.100000000000001" customHeight="1">
      <c r="A308" s="14" t="s">
        <v>559</v>
      </c>
      <c r="B308" s="15" t="s">
        <v>17</v>
      </c>
      <c r="C308" s="16" t="s">
        <v>923</v>
      </c>
      <c r="D308" s="17" t="s">
        <v>924</v>
      </c>
      <c r="E308" s="15" t="s">
        <v>925</v>
      </c>
      <c r="F308" s="15"/>
    </row>
    <row r="309" spans="1:6" ht="20.100000000000001" customHeight="1">
      <c r="A309" s="14" t="s">
        <v>559</v>
      </c>
      <c r="B309" s="15" t="s">
        <v>17</v>
      </c>
      <c r="C309" s="16" t="s">
        <v>926</v>
      </c>
      <c r="D309" s="17" t="s">
        <v>927</v>
      </c>
      <c r="E309" s="15" t="s">
        <v>928</v>
      </c>
      <c r="F309" s="15"/>
    </row>
    <row r="310" spans="1:6" ht="20.100000000000001" customHeight="1">
      <c r="A310" s="14" t="s">
        <v>559</v>
      </c>
      <c r="B310" s="15" t="s">
        <v>17</v>
      </c>
      <c r="C310" s="16" t="s">
        <v>929</v>
      </c>
      <c r="D310" s="17" t="s">
        <v>930</v>
      </c>
      <c r="E310" s="15" t="s">
        <v>931</v>
      </c>
      <c r="F310" s="15"/>
    </row>
    <row r="311" spans="1:6" ht="20.100000000000001" customHeight="1">
      <c r="A311" s="14" t="s">
        <v>559</v>
      </c>
      <c r="B311" s="15" t="s">
        <v>17</v>
      </c>
      <c r="C311" s="16" t="s">
        <v>932</v>
      </c>
      <c r="D311" s="17" t="s">
        <v>933</v>
      </c>
      <c r="E311" s="15" t="s">
        <v>934</v>
      </c>
      <c r="F311" s="15"/>
    </row>
    <row r="312" spans="1:6" ht="20.100000000000001" customHeight="1">
      <c r="A312" s="14" t="s">
        <v>559</v>
      </c>
      <c r="B312" s="15" t="s">
        <v>434</v>
      </c>
      <c r="C312" s="16" t="s">
        <v>935</v>
      </c>
      <c r="D312" s="17" t="s">
        <v>936</v>
      </c>
      <c r="E312" s="15" t="s">
        <v>937</v>
      </c>
      <c r="F312" s="15"/>
    </row>
    <row r="313" spans="1:6" ht="20.100000000000001" customHeight="1">
      <c r="A313" s="14" t="s">
        <v>559</v>
      </c>
      <c r="B313" s="15" t="s">
        <v>434</v>
      </c>
      <c r="C313" s="16" t="s">
        <v>938</v>
      </c>
      <c r="D313" s="17" t="s">
        <v>939</v>
      </c>
      <c r="E313" s="15" t="s">
        <v>940</v>
      </c>
      <c r="F313" s="15"/>
    </row>
    <row r="314" spans="1:6" ht="20.100000000000001" customHeight="1">
      <c r="A314" s="14" t="s">
        <v>559</v>
      </c>
      <c r="B314" s="15" t="s">
        <v>434</v>
      </c>
      <c r="C314" s="16" t="s">
        <v>941</v>
      </c>
      <c r="D314" s="17" t="s">
        <v>942</v>
      </c>
      <c r="E314" s="15" t="s">
        <v>943</v>
      </c>
      <c r="F314" s="15"/>
    </row>
    <row r="315" spans="1:6" ht="20.100000000000001" customHeight="1">
      <c r="A315" s="14" t="s">
        <v>559</v>
      </c>
      <c r="B315" s="15" t="s">
        <v>434</v>
      </c>
      <c r="C315" s="16" t="s">
        <v>944</v>
      </c>
      <c r="D315" s="17" t="s">
        <v>945</v>
      </c>
      <c r="E315" s="15" t="s">
        <v>940</v>
      </c>
      <c r="F315" s="15"/>
    </row>
    <row r="316" spans="1:6" ht="20.100000000000001" customHeight="1">
      <c r="A316" s="14" t="s">
        <v>559</v>
      </c>
      <c r="B316" s="15" t="s">
        <v>17</v>
      </c>
      <c r="C316" s="16" t="s">
        <v>946</v>
      </c>
      <c r="D316" s="17" t="s">
        <v>947</v>
      </c>
      <c r="E316" s="15" t="s">
        <v>948</v>
      </c>
      <c r="F316" s="15"/>
    </row>
    <row r="317" spans="1:6" ht="20.100000000000001" customHeight="1">
      <c r="A317" s="14" t="s">
        <v>559</v>
      </c>
      <c r="B317" s="15" t="s">
        <v>17</v>
      </c>
      <c r="C317" s="16" t="s">
        <v>949</v>
      </c>
      <c r="D317" s="17" t="s">
        <v>950</v>
      </c>
      <c r="E317" s="15" t="s">
        <v>951</v>
      </c>
      <c r="F317" s="15"/>
    </row>
    <row r="318" spans="1:6" ht="20.100000000000001" customHeight="1">
      <c r="A318" s="14" t="s">
        <v>559</v>
      </c>
      <c r="B318" s="15" t="s">
        <v>17</v>
      </c>
      <c r="C318" s="16" t="s">
        <v>952</v>
      </c>
      <c r="D318" s="17" t="s">
        <v>953</v>
      </c>
      <c r="E318" s="15" t="s">
        <v>676</v>
      </c>
      <c r="F318" s="15"/>
    </row>
    <row r="319" spans="1:6" ht="20.100000000000001" customHeight="1">
      <c r="A319" s="14" t="s">
        <v>559</v>
      </c>
      <c r="B319" s="15" t="s">
        <v>17</v>
      </c>
      <c r="C319" s="16" t="s">
        <v>954</v>
      </c>
      <c r="D319" s="17" t="s">
        <v>955</v>
      </c>
      <c r="E319" s="15" t="s">
        <v>956</v>
      </c>
      <c r="F319" s="15"/>
    </row>
    <row r="320" spans="1:6" ht="20.100000000000001" customHeight="1">
      <c r="A320" s="14" t="s">
        <v>559</v>
      </c>
      <c r="B320" s="15" t="s">
        <v>434</v>
      </c>
      <c r="C320" s="16" t="s">
        <v>957</v>
      </c>
      <c r="D320" s="17" t="s">
        <v>958</v>
      </c>
      <c r="E320" s="15" t="s">
        <v>959</v>
      </c>
      <c r="F320" s="15"/>
    </row>
    <row r="321" spans="1:6" ht="20.100000000000001" customHeight="1">
      <c r="A321" s="14" t="s">
        <v>559</v>
      </c>
      <c r="B321" s="15" t="s">
        <v>17</v>
      </c>
      <c r="C321" s="16" t="s">
        <v>960</v>
      </c>
      <c r="D321" s="17" t="s">
        <v>961</v>
      </c>
      <c r="E321" s="15" t="s">
        <v>962</v>
      </c>
      <c r="F321" s="15"/>
    </row>
    <row r="322" spans="1:6" ht="20.100000000000001" customHeight="1">
      <c r="A322" s="14" t="s">
        <v>559</v>
      </c>
      <c r="B322" s="15" t="s">
        <v>434</v>
      </c>
      <c r="C322" s="16" t="s">
        <v>963</v>
      </c>
      <c r="D322" s="17" t="s">
        <v>964</v>
      </c>
      <c r="E322" s="15" t="s">
        <v>965</v>
      </c>
      <c r="F322" s="15"/>
    </row>
    <row r="323" spans="1:6" ht="20.100000000000001" customHeight="1">
      <c r="A323" s="14" t="s">
        <v>559</v>
      </c>
      <c r="B323" s="15" t="s">
        <v>434</v>
      </c>
      <c r="C323" s="16" t="s">
        <v>966</v>
      </c>
      <c r="D323" s="17" t="s">
        <v>967</v>
      </c>
      <c r="E323" s="15" t="s">
        <v>968</v>
      </c>
      <c r="F323" s="15"/>
    </row>
    <row r="324" spans="1:6" ht="20.100000000000001" customHeight="1">
      <c r="A324" s="14" t="s">
        <v>559</v>
      </c>
      <c r="B324" s="15" t="s">
        <v>434</v>
      </c>
      <c r="C324" s="16" t="s">
        <v>969</v>
      </c>
      <c r="D324" s="17" t="s">
        <v>970</v>
      </c>
      <c r="E324" s="15" t="s">
        <v>971</v>
      </c>
      <c r="F324" s="15"/>
    </row>
    <row r="325" spans="1:6" ht="20.100000000000001" customHeight="1">
      <c r="A325" s="14" t="s">
        <v>559</v>
      </c>
      <c r="B325" s="15" t="s">
        <v>434</v>
      </c>
      <c r="C325" s="16" t="s">
        <v>972</v>
      </c>
      <c r="D325" s="17" t="s">
        <v>973</v>
      </c>
      <c r="E325" s="15" t="s">
        <v>974</v>
      </c>
      <c r="F325" s="15"/>
    </row>
    <row r="326" spans="1:6" ht="20.100000000000001" customHeight="1">
      <c r="A326" s="14" t="s">
        <v>559</v>
      </c>
      <c r="B326" s="15" t="s">
        <v>434</v>
      </c>
      <c r="C326" s="16" t="s">
        <v>975</v>
      </c>
      <c r="D326" s="17" t="s">
        <v>976</v>
      </c>
      <c r="E326" s="15" t="s">
        <v>977</v>
      </c>
      <c r="F326" s="15"/>
    </row>
    <row r="327" spans="1:6" ht="20.100000000000001" customHeight="1">
      <c r="A327" s="14" t="s">
        <v>559</v>
      </c>
      <c r="B327" s="15" t="s">
        <v>17</v>
      </c>
      <c r="C327" s="16" t="s">
        <v>978</v>
      </c>
      <c r="D327" s="17" t="s">
        <v>979</v>
      </c>
      <c r="E327" s="15" t="s">
        <v>980</v>
      </c>
      <c r="F327" s="15"/>
    </row>
    <row r="328" spans="1:6" ht="20.100000000000001" customHeight="1">
      <c r="A328" s="14" t="s">
        <v>981</v>
      </c>
      <c r="B328" s="15" t="s">
        <v>106</v>
      </c>
      <c r="C328" s="16" t="s">
        <v>982</v>
      </c>
      <c r="D328" s="17" t="s">
        <v>983</v>
      </c>
      <c r="E328" s="15" t="s">
        <v>984</v>
      </c>
      <c r="F328" s="15"/>
    </row>
    <row r="329" spans="1:6" ht="20.100000000000001" customHeight="1">
      <c r="A329" s="14" t="s">
        <v>981</v>
      </c>
      <c r="B329" s="15" t="s">
        <v>174</v>
      </c>
      <c r="C329" s="16" t="s">
        <v>985</v>
      </c>
      <c r="D329" s="17" t="s">
        <v>986</v>
      </c>
      <c r="E329" s="15" t="s">
        <v>987</v>
      </c>
      <c r="F329" s="15"/>
    </row>
    <row r="330" spans="1:6" ht="20.100000000000001" customHeight="1">
      <c r="A330" s="14" t="s">
        <v>981</v>
      </c>
      <c r="B330" s="15" t="s">
        <v>174</v>
      </c>
      <c r="C330" s="16" t="s">
        <v>988</v>
      </c>
      <c r="D330" s="17" t="s">
        <v>989</v>
      </c>
      <c r="E330" s="15" t="s">
        <v>990</v>
      </c>
      <c r="F330" s="15"/>
    </row>
    <row r="331" spans="1:6" ht="20.100000000000001" customHeight="1">
      <c r="A331" s="14" t="s">
        <v>981</v>
      </c>
      <c r="B331" s="15" t="s">
        <v>174</v>
      </c>
      <c r="C331" s="16" t="s">
        <v>991</v>
      </c>
      <c r="D331" s="17" t="s">
        <v>992</v>
      </c>
      <c r="E331" s="15" t="s">
        <v>993</v>
      </c>
      <c r="F331" s="15"/>
    </row>
    <row r="332" spans="1:6" ht="20.100000000000001" customHeight="1">
      <c r="A332" s="14" t="s">
        <v>981</v>
      </c>
      <c r="B332" s="15" t="s">
        <v>174</v>
      </c>
      <c r="C332" s="16" t="s">
        <v>994</v>
      </c>
      <c r="D332" s="17" t="s">
        <v>995</v>
      </c>
      <c r="E332" s="15" t="s">
        <v>996</v>
      </c>
      <c r="F332" s="15"/>
    </row>
    <row r="333" spans="1:6" ht="20.100000000000001" customHeight="1">
      <c r="A333" s="14" t="s">
        <v>981</v>
      </c>
      <c r="B333" s="15" t="s">
        <v>106</v>
      </c>
      <c r="C333" s="16" t="s">
        <v>997</v>
      </c>
      <c r="D333" s="17" t="s">
        <v>998</v>
      </c>
      <c r="E333" s="15" t="s">
        <v>999</v>
      </c>
      <c r="F333" s="15"/>
    </row>
    <row r="334" spans="1:6" ht="20.100000000000001" customHeight="1">
      <c r="A334" s="14" t="s">
        <v>981</v>
      </c>
      <c r="B334" s="15" t="s">
        <v>17</v>
      </c>
      <c r="C334" s="16" t="s">
        <v>1000</v>
      </c>
      <c r="D334" s="17" t="s">
        <v>1001</v>
      </c>
      <c r="E334" s="15" t="s">
        <v>1002</v>
      </c>
      <c r="F334" s="15"/>
    </row>
    <row r="335" spans="1:6" ht="20.100000000000001" customHeight="1">
      <c r="A335" s="14" t="s">
        <v>981</v>
      </c>
      <c r="B335" s="15" t="s">
        <v>17</v>
      </c>
      <c r="C335" s="16" t="s">
        <v>1003</v>
      </c>
      <c r="D335" s="17" t="s">
        <v>1004</v>
      </c>
      <c r="E335" s="15" t="s">
        <v>1005</v>
      </c>
      <c r="F335" s="15"/>
    </row>
    <row r="336" spans="1:6" ht="20.100000000000001" customHeight="1">
      <c r="A336" s="14" t="s">
        <v>981</v>
      </c>
      <c r="B336" s="15" t="s">
        <v>17</v>
      </c>
      <c r="C336" s="16" t="s">
        <v>1006</v>
      </c>
      <c r="D336" s="17" t="s">
        <v>1007</v>
      </c>
      <c r="E336" s="15" t="s">
        <v>1008</v>
      </c>
      <c r="F336" s="15"/>
    </row>
    <row r="337" spans="1:6" ht="20.100000000000001" customHeight="1">
      <c r="A337" s="14" t="s">
        <v>981</v>
      </c>
      <c r="B337" s="15" t="s">
        <v>106</v>
      </c>
      <c r="C337" s="16" t="s">
        <v>1009</v>
      </c>
      <c r="D337" s="17" t="s">
        <v>1010</v>
      </c>
      <c r="E337" s="15" t="s">
        <v>1011</v>
      </c>
      <c r="F337" s="15"/>
    </row>
    <row r="338" spans="1:6" ht="20.100000000000001" customHeight="1">
      <c r="A338" s="14" t="s">
        <v>981</v>
      </c>
      <c r="B338" s="15" t="s">
        <v>106</v>
      </c>
      <c r="C338" s="16" t="s">
        <v>1012</v>
      </c>
      <c r="D338" s="17" t="s">
        <v>1013</v>
      </c>
      <c r="E338" s="15" t="s">
        <v>1014</v>
      </c>
      <c r="F338" s="15"/>
    </row>
    <row r="339" spans="1:6" ht="20.100000000000001" customHeight="1">
      <c r="A339" s="14" t="s">
        <v>981</v>
      </c>
      <c r="B339" s="15" t="s">
        <v>174</v>
      </c>
      <c r="C339" s="16" t="s">
        <v>1015</v>
      </c>
      <c r="D339" s="17" t="s">
        <v>1016</v>
      </c>
      <c r="E339" s="15" t="s">
        <v>1017</v>
      </c>
      <c r="F339" s="15"/>
    </row>
    <row r="340" spans="1:6" ht="20.100000000000001" customHeight="1">
      <c r="A340" s="14" t="s">
        <v>981</v>
      </c>
      <c r="B340" s="15" t="s">
        <v>17</v>
      </c>
      <c r="C340" s="16" t="s">
        <v>1018</v>
      </c>
      <c r="D340" s="17" t="s">
        <v>1019</v>
      </c>
      <c r="E340" s="15" t="s">
        <v>1020</v>
      </c>
      <c r="F340" s="15"/>
    </row>
    <row r="341" spans="1:6" ht="17.25" customHeight="1">
      <c r="A341" s="14" t="s">
        <v>981</v>
      </c>
      <c r="B341" s="15" t="s">
        <v>136</v>
      </c>
      <c r="C341" s="16" t="s">
        <v>1021</v>
      </c>
      <c r="D341" s="17" t="s">
        <v>1022</v>
      </c>
      <c r="E341" s="15" t="s">
        <v>1023</v>
      </c>
      <c r="F341" s="15"/>
    </row>
  </sheetData>
  <autoFilter ref="A3:F341"/>
  <phoneticPr fontId="4" type="noConversion"/>
  <printOptions horizontalCentered="1"/>
  <pageMargins left="0.74803149606299213" right="0.74803149606299213" top="0.98425196850393704" bottom="0.98425196850393704" header="0.51181102362204722" footer="0.51181102362204722"/>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236"/>
  <sheetViews>
    <sheetView topLeftCell="A13" workbookViewId="0">
      <selection sqref="A1:XFD1"/>
    </sheetView>
  </sheetViews>
  <sheetFormatPr defaultRowHeight="16.5"/>
  <cols>
    <col min="1" max="1" width="21.125" customWidth="1"/>
    <col min="2" max="2" width="27" customWidth="1"/>
    <col min="3" max="3" width="51.125" customWidth="1"/>
  </cols>
  <sheetData>
    <row r="1" spans="1:3" ht="17.25" thickBot="1">
      <c r="A1" s="115" t="s">
        <v>1644</v>
      </c>
      <c r="B1" s="115" t="s">
        <v>1645</v>
      </c>
    </row>
    <row r="2" spans="1:3" ht="17.25" thickBot="1">
      <c r="A2" s="102" t="s">
        <v>1591</v>
      </c>
      <c r="B2" s="103" t="s">
        <v>1592</v>
      </c>
      <c r="C2" s="103" t="s">
        <v>1593</v>
      </c>
    </row>
    <row r="3" spans="1:3" ht="27">
      <c r="A3" s="134" t="s">
        <v>1647</v>
      </c>
      <c r="B3" s="8" t="s">
        <v>1603</v>
      </c>
      <c r="C3" s="91" t="s">
        <v>1651</v>
      </c>
    </row>
    <row r="4" spans="1:3">
      <c r="A4" s="96" t="s">
        <v>1648</v>
      </c>
      <c r="B4" s="8" t="s">
        <v>1649</v>
      </c>
      <c r="C4" s="170"/>
    </row>
    <row r="5" spans="1:3" ht="17.25" thickBot="1">
      <c r="A5" s="113"/>
      <c r="B5" s="5" t="s">
        <v>1650</v>
      </c>
      <c r="C5" s="97"/>
    </row>
    <row r="6" spans="1:3" ht="27">
      <c r="A6" s="96" t="s">
        <v>1652</v>
      </c>
      <c r="B6" s="8" t="s">
        <v>1603</v>
      </c>
      <c r="C6" s="91" t="s">
        <v>1654</v>
      </c>
    </row>
    <row r="7" spans="1:3" ht="17.25" thickBot="1">
      <c r="A7" s="4" t="s">
        <v>1648</v>
      </c>
      <c r="B7" s="5" t="s">
        <v>1653</v>
      </c>
      <c r="C7" s="97"/>
    </row>
    <row r="8" spans="1:3" ht="27">
      <c r="A8" s="96" t="s">
        <v>1655</v>
      </c>
      <c r="B8" s="8" t="s">
        <v>1603</v>
      </c>
      <c r="C8" s="91" t="s">
        <v>1657</v>
      </c>
    </row>
    <row r="9" spans="1:3" ht="17.25" thickBot="1">
      <c r="A9" s="4" t="s">
        <v>1656</v>
      </c>
      <c r="B9" s="5" t="s">
        <v>1653</v>
      </c>
      <c r="C9" s="97"/>
    </row>
    <row r="10" spans="1:3" ht="27">
      <c r="A10" s="134" t="s">
        <v>1658</v>
      </c>
      <c r="B10" s="8" t="s">
        <v>1603</v>
      </c>
      <c r="C10" s="91" t="s">
        <v>1661</v>
      </c>
    </row>
    <row r="11" spans="1:3">
      <c r="A11" s="96" t="s">
        <v>1648</v>
      </c>
      <c r="B11" s="7" t="s">
        <v>1659</v>
      </c>
      <c r="C11" s="170"/>
    </row>
    <row r="12" spans="1:3">
      <c r="A12" s="112"/>
      <c r="B12" s="8" t="s">
        <v>72</v>
      </c>
      <c r="C12" s="170"/>
    </row>
    <row r="13" spans="1:3" ht="17.25" thickBot="1">
      <c r="A13" s="113"/>
      <c r="B13" s="5" t="s">
        <v>1660</v>
      </c>
      <c r="C13" s="97"/>
    </row>
    <row r="14" spans="1:3" ht="27">
      <c r="A14" s="96" t="s">
        <v>1662</v>
      </c>
      <c r="B14" s="8" t="s">
        <v>1603</v>
      </c>
      <c r="C14" s="91" t="s">
        <v>1663</v>
      </c>
    </row>
    <row r="15" spans="1:3" ht="17.25" thickBot="1">
      <c r="A15" s="4" t="s">
        <v>1656</v>
      </c>
      <c r="B15" s="5" t="s">
        <v>1653</v>
      </c>
      <c r="C15" s="97"/>
    </row>
    <row r="16" spans="1:3" ht="27">
      <c r="A16" s="96" t="s">
        <v>1664</v>
      </c>
      <c r="B16" s="91" t="s">
        <v>1603</v>
      </c>
      <c r="C16" s="91" t="s">
        <v>1666</v>
      </c>
    </row>
    <row r="17" spans="1:3" ht="27.75" thickBot="1">
      <c r="A17" s="4" t="s">
        <v>1665</v>
      </c>
      <c r="B17" s="97"/>
      <c r="C17" s="97"/>
    </row>
    <row r="18" spans="1:3" ht="68.25" thickBot="1">
      <c r="A18" s="135" t="s">
        <v>1667</v>
      </c>
      <c r="B18" s="5" t="s">
        <v>1603</v>
      </c>
      <c r="C18" s="6" t="s">
        <v>1668</v>
      </c>
    </row>
    <row r="19" spans="1:3">
      <c r="B19" s="114" t="s">
        <v>1669</v>
      </c>
      <c r="C19" s="114" t="s">
        <v>1670</v>
      </c>
    </row>
    <row r="20" spans="1:3" ht="17.25" thickBot="1">
      <c r="A20" s="115" t="s">
        <v>1671</v>
      </c>
      <c r="B20" s="115" t="s">
        <v>1672</v>
      </c>
    </row>
    <row r="21" spans="1:3" ht="17.25" thickBot="1">
      <c r="A21" s="102" t="s">
        <v>1591</v>
      </c>
      <c r="B21" s="103" t="s">
        <v>1635</v>
      </c>
      <c r="C21" s="103" t="s">
        <v>1593</v>
      </c>
    </row>
    <row r="22" spans="1:3">
      <c r="A22" s="92" t="s">
        <v>1674</v>
      </c>
      <c r="B22" s="8" t="s">
        <v>1675</v>
      </c>
      <c r="C22" s="91" t="s">
        <v>1676</v>
      </c>
    </row>
    <row r="23" spans="1:3">
      <c r="A23" s="171"/>
      <c r="B23" s="8" t="s">
        <v>1378</v>
      </c>
      <c r="C23" s="170"/>
    </row>
    <row r="24" spans="1:3" ht="17.25" thickBot="1">
      <c r="A24" s="98"/>
      <c r="B24" s="5" t="s">
        <v>1550</v>
      </c>
      <c r="C24" s="97"/>
    </row>
    <row r="25" spans="1:3">
      <c r="A25" s="92" t="s">
        <v>1677</v>
      </c>
      <c r="B25" s="8" t="s">
        <v>1620</v>
      </c>
      <c r="C25" s="91" t="s">
        <v>1678</v>
      </c>
    </row>
    <row r="26" spans="1:3" ht="17.25" thickBot="1">
      <c r="A26" s="98"/>
      <c r="B26" s="5" t="s">
        <v>1550</v>
      </c>
      <c r="C26" s="97"/>
    </row>
    <row r="27" spans="1:3">
      <c r="A27" s="92" t="s">
        <v>1679</v>
      </c>
      <c r="B27" s="8" t="s">
        <v>0</v>
      </c>
      <c r="C27" s="91" t="s">
        <v>1680</v>
      </c>
    </row>
    <row r="28" spans="1:3" ht="17.25" thickBot="1">
      <c r="A28" s="98"/>
      <c r="B28" s="5" t="s">
        <v>1550</v>
      </c>
      <c r="C28" s="97"/>
    </row>
    <row r="29" spans="1:3">
      <c r="A29" s="92" t="s">
        <v>1681</v>
      </c>
      <c r="B29" s="8" t="s">
        <v>0</v>
      </c>
      <c r="C29" s="91" t="s">
        <v>1682</v>
      </c>
    </row>
    <row r="30" spans="1:3" ht="17.25" thickBot="1">
      <c r="A30" s="98"/>
      <c r="B30" s="5" t="s">
        <v>1550</v>
      </c>
      <c r="C30" s="97"/>
    </row>
    <row r="31" spans="1:3">
      <c r="A31" s="92" t="s">
        <v>1683</v>
      </c>
      <c r="B31" s="8" t="s">
        <v>0</v>
      </c>
      <c r="C31" s="91" t="s">
        <v>1684</v>
      </c>
    </row>
    <row r="32" spans="1:3" ht="17.25" thickBot="1">
      <c r="A32" s="98"/>
      <c r="B32" s="5" t="s">
        <v>1550</v>
      </c>
      <c r="C32" s="97"/>
    </row>
    <row r="33" spans="1:3">
      <c r="A33" s="92" t="s">
        <v>1685</v>
      </c>
      <c r="B33" s="8" t="s">
        <v>1566</v>
      </c>
      <c r="C33" s="8" t="s">
        <v>1686</v>
      </c>
    </row>
    <row r="34" spans="1:3">
      <c r="A34" s="171"/>
      <c r="B34" s="8" t="s">
        <v>1550</v>
      </c>
      <c r="C34" s="8" t="s">
        <v>1687</v>
      </c>
    </row>
    <row r="35" spans="1:3" ht="17.25" thickBot="1">
      <c r="A35" s="98"/>
      <c r="B35" s="136"/>
      <c r="C35" s="5" t="s">
        <v>1688</v>
      </c>
    </row>
    <row r="36" spans="1:3" ht="27">
      <c r="A36" s="96" t="s">
        <v>1690</v>
      </c>
      <c r="B36" s="91" t="s">
        <v>1607</v>
      </c>
      <c r="C36" s="91" t="s">
        <v>1692</v>
      </c>
    </row>
    <row r="37" spans="1:3" ht="27.75" thickBot="1">
      <c r="A37" s="4" t="s">
        <v>1691</v>
      </c>
      <c r="B37" s="97"/>
      <c r="C37" s="97"/>
    </row>
    <row r="38" spans="1:3" ht="17.25" thickBot="1">
      <c r="A38" s="4" t="s">
        <v>1634</v>
      </c>
      <c r="B38" s="5" t="s">
        <v>1603</v>
      </c>
      <c r="C38" s="5" t="s">
        <v>1693</v>
      </c>
    </row>
    <row r="39" spans="1:3" ht="39" thickBot="1">
      <c r="A39" s="4" t="s">
        <v>1695</v>
      </c>
      <c r="B39" s="5" t="s">
        <v>1607</v>
      </c>
      <c r="C39" s="6" t="s">
        <v>1696</v>
      </c>
    </row>
    <row r="40" spans="1:3" ht="27.75" thickBot="1">
      <c r="A40" s="4" t="s">
        <v>1697</v>
      </c>
      <c r="B40" s="5" t="s">
        <v>1607</v>
      </c>
      <c r="C40" s="6" t="s">
        <v>1698</v>
      </c>
    </row>
    <row r="41" spans="1:3" ht="26.25" thickBot="1">
      <c r="A41" s="4" t="s">
        <v>1699</v>
      </c>
      <c r="B41" s="5" t="s">
        <v>1607</v>
      </c>
      <c r="C41" s="6" t="s">
        <v>1700</v>
      </c>
    </row>
    <row r="42" spans="1:3" ht="26.25">
      <c r="A42" s="92" t="s">
        <v>1701</v>
      </c>
      <c r="B42" s="91" t="s">
        <v>1607</v>
      </c>
      <c r="C42" s="8" t="s">
        <v>1702</v>
      </c>
    </row>
    <row r="43" spans="1:3">
      <c r="A43" s="171"/>
      <c r="B43" s="170"/>
      <c r="C43" s="7" t="s">
        <v>1703</v>
      </c>
    </row>
    <row r="44" spans="1:3" ht="17.25" thickBot="1">
      <c r="A44" s="98"/>
      <c r="B44" s="97"/>
      <c r="C44" s="6" t="s">
        <v>1704</v>
      </c>
    </row>
    <row r="45" spans="1:3">
      <c r="A45" s="92" t="s">
        <v>1705</v>
      </c>
      <c r="B45" s="91" t="s">
        <v>1607</v>
      </c>
      <c r="C45" s="7" t="s">
        <v>1706</v>
      </c>
    </row>
    <row r="46" spans="1:3">
      <c r="A46" s="171"/>
      <c r="B46" s="170"/>
      <c r="C46" s="137" t="s">
        <v>1707</v>
      </c>
    </row>
    <row r="47" spans="1:3">
      <c r="A47" s="171"/>
      <c r="B47" s="170"/>
      <c r="C47" s="138" t="s">
        <v>1708</v>
      </c>
    </row>
    <row r="48" spans="1:3" ht="17.25" thickBot="1">
      <c r="A48" s="98"/>
      <c r="B48" s="97"/>
      <c r="C48" s="6" t="s">
        <v>1709</v>
      </c>
    </row>
    <row r="49" spans="1:3" ht="17.25" thickBot="1">
      <c r="A49" s="4" t="s">
        <v>1710</v>
      </c>
      <c r="B49" s="5" t="s">
        <v>1607</v>
      </c>
      <c r="C49" s="6" t="s">
        <v>1711</v>
      </c>
    </row>
    <row r="50" spans="1:3" ht="26.25" thickBot="1">
      <c r="A50" s="4" t="s">
        <v>1712</v>
      </c>
      <c r="B50" s="5" t="s">
        <v>1607</v>
      </c>
      <c r="C50" s="6" t="s">
        <v>1713</v>
      </c>
    </row>
    <row r="51" spans="1:3" ht="26.25" thickBot="1">
      <c r="A51" s="4" t="s">
        <v>1714</v>
      </c>
      <c r="B51" s="5" t="s">
        <v>1607</v>
      </c>
      <c r="C51" s="6" t="s">
        <v>1715</v>
      </c>
    </row>
    <row r="52" spans="1:3" ht="17.25" thickBot="1">
      <c r="A52" s="4" t="s">
        <v>1717</v>
      </c>
      <c r="B52" s="6" t="s">
        <v>1620</v>
      </c>
      <c r="C52" s="6" t="s">
        <v>1718</v>
      </c>
    </row>
    <row r="53" spans="1:3" ht="26.25" thickBot="1">
      <c r="A53" s="4" t="s">
        <v>1720</v>
      </c>
      <c r="B53" s="6" t="s">
        <v>1561</v>
      </c>
      <c r="C53" s="6" t="s">
        <v>1721</v>
      </c>
    </row>
    <row r="54" spans="1:3" ht="26.25" thickBot="1">
      <c r="A54" s="4" t="s">
        <v>1722</v>
      </c>
      <c r="B54" s="6" t="s">
        <v>1561</v>
      </c>
      <c r="C54" s="6" t="s">
        <v>1723</v>
      </c>
    </row>
    <row r="55" spans="1:3" ht="26.25" thickBot="1">
      <c r="A55" s="4" t="s">
        <v>1724</v>
      </c>
      <c r="B55" s="6" t="s">
        <v>1561</v>
      </c>
      <c r="C55" s="6" t="s">
        <v>1725</v>
      </c>
    </row>
    <row r="56" spans="1:3" ht="17.25" thickBot="1">
      <c r="A56" s="4" t="s">
        <v>1726</v>
      </c>
      <c r="B56" s="6" t="s">
        <v>1561</v>
      </c>
      <c r="C56" s="6" t="s">
        <v>1727</v>
      </c>
    </row>
    <row r="57" spans="1:3" ht="26.25" thickBot="1">
      <c r="A57" s="4" t="s">
        <v>1728</v>
      </c>
      <c r="B57" s="5" t="s">
        <v>1729</v>
      </c>
      <c r="C57" s="6" t="s">
        <v>1730</v>
      </c>
    </row>
    <row r="58" spans="1:3" ht="38.25">
      <c r="A58" s="92" t="s">
        <v>1731</v>
      </c>
      <c r="B58" s="91" t="s">
        <v>0</v>
      </c>
      <c r="C58" s="7" t="s">
        <v>1732</v>
      </c>
    </row>
    <row r="59" spans="1:3" ht="17.25" thickBot="1">
      <c r="A59" s="98"/>
      <c r="B59" s="97"/>
      <c r="C59" s="5" t="s">
        <v>1681</v>
      </c>
    </row>
    <row r="60" spans="1:3" ht="17.25" thickBot="1">
      <c r="A60" s="4" t="s">
        <v>1733</v>
      </c>
      <c r="B60" s="5" t="s">
        <v>0</v>
      </c>
      <c r="C60" s="6" t="s">
        <v>1734</v>
      </c>
    </row>
    <row r="61" spans="1:3" ht="26.25" thickBot="1">
      <c r="A61" s="4" t="s">
        <v>1735</v>
      </c>
      <c r="B61" s="5" t="s">
        <v>0</v>
      </c>
      <c r="C61" s="6" t="s">
        <v>1736</v>
      </c>
    </row>
    <row r="62" spans="1:3" ht="26.25" thickBot="1">
      <c r="A62" s="4" t="s">
        <v>1737</v>
      </c>
      <c r="B62" s="5" t="s">
        <v>1738</v>
      </c>
      <c r="C62" s="6" t="s">
        <v>1739</v>
      </c>
    </row>
    <row r="63" spans="1:3" ht="17.25" thickBot="1">
      <c r="A63" s="4" t="s">
        <v>1740</v>
      </c>
      <c r="B63" s="5" t="s">
        <v>0</v>
      </c>
      <c r="C63" s="5" t="s">
        <v>1741</v>
      </c>
    </row>
    <row r="64" spans="1:3" ht="17.25" thickBot="1">
      <c r="A64" s="4" t="s">
        <v>1742</v>
      </c>
      <c r="B64" s="5" t="s">
        <v>0</v>
      </c>
      <c r="C64" s="6" t="s">
        <v>1743</v>
      </c>
    </row>
    <row r="65" spans="1:3" ht="39" thickBot="1">
      <c r="A65" s="4" t="s">
        <v>1744</v>
      </c>
      <c r="B65" s="5" t="s">
        <v>1745</v>
      </c>
      <c r="C65" s="6" t="s">
        <v>1746</v>
      </c>
    </row>
    <row r="66" spans="1:3" ht="26.25" thickBot="1">
      <c r="A66" s="4" t="s">
        <v>1747</v>
      </c>
      <c r="B66" s="5" t="s">
        <v>1745</v>
      </c>
      <c r="C66" s="6" t="s">
        <v>1748</v>
      </c>
    </row>
    <row r="67" spans="1:3" ht="25.5">
      <c r="A67" s="92" t="s">
        <v>1749</v>
      </c>
      <c r="B67" s="91" t="s">
        <v>1745</v>
      </c>
      <c r="C67" s="7" t="s">
        <v>1750</v>
      </c>
    </row>
    <row r="68" spans="1:3" ht="25.5">
      <c r="A68" s="171"/>
      <c r="B68" s="170"/>
      <c r="C68" s="7" t="s">
        <v>1751</v>
      </c>
    </row>
    <row r="69" spans="1:3" ht="17.25" thickBot="1">
      <c r="A69" s="98"/>
      <c r="B69" s="97"/>
      <c r="C69" s="5">
        <v>180</v>
      </c>
    </row>
    <row r="70" spans="1:3" ht="26.25" thickBot="1">
      <c r="A70" s="4" t="s">
        <v>1752</v>
      </c>
      <c r="B70" s="5" t="s">
        <v>1745</v>
      </c>
      <c r="C70" s="6" t="s">
        <v>1753</v>
      </c>
    </row>
    <row r="71" spans="1:3" ht="26.25" thickBot="1">
      <c r="A71" s="4" t="s">
        <v>1754</v>
      </c>
      <c r="B71" s="5" t="s">
        <v>1745</v>
      </c>
      <c r="C71" s="6" t="s">
        <v>1755</v>
      </c>
    </row>
    <row r="72" spans="1:3" ht="17.25" thickBot="1">
      <c r="A72" s="4" t="s">
        <v>1756</v>
      </c>
      <c r="B72" s="5" t="s">
        <v>1745</v>
      </c>
      <c r="C72" s="6" t="s">
        <v>1757</v>
      </c>
    </row>
    <row r="73" spans="1:3" ht="17.25" thickBot="1">
      <c r="A73" s="4" t="s">
        <v>1758</v>
      </c>
      <c r="B73" s="5" t="s">
        <v>1620</v>
      </c>
      <c r="C73" s="6" t="s">
        <v>1759</v>
      </c>
    </row>
    <row r="74" spans="1:3" ht="17.25" thickBot="1">
      <c r="A74" s="4" t="s">
        <v>1761</v>
      </c>
      <c r="B74" s="5" t="s">
        <v>1566</v>
      </c>
      <c r="C74" s="6" t="s">
        <v>1762</v>
      </c>
    </row>
    <row r="75" spans="1:3" ht="27.75" thickBot="1">
      <c r="A75" s="4" t="s">
        <v>1763</v>
      </c>
      <c r="B75" s="5" t="s">
        <v>1566</v>
      </c>
      <c r="C75" s="6" t="s">
        <v>1764</v>
      </c>
    </row>
    <row r="76" spans="1:3">
      <c r="A76" s="92" t="s">
        <v>1765</v>
      </c>
      <c r="B76" s="91" t="s">
        <v>1566</v>
      </c>
      <c r="C76" s="7" t="s">
        <v>1766</v>
      </c>
    </row>
    <row r="77" spans="1:3" ht="17.25" thickBot="1">
      <c r="A77" s="98"/>
      <c r="B77" s="97"/>
      <c r="C77" s="5" t="s">
        <v>1767</v>
      </c>
    </row>
    <row r="78" spans="1:3">
      <c r="B78" s="114" t="s">
        <v>1768</v>
      </c>
      <c r="C78" s="114" t="s">
        <v>1760</v>
      </c>
    </row>
    <row r="79" spans="1:3" ht="17.25" thickBot="1">
      <c r="A79" s="115" t="s">
        <v>1769</v>
      </c>
      <c r="B79" s="115" t="s">
        <v>1770</v>
      </c>
    </row>
    <row r="80" spans="1:3" ht="17.25" thickBot="1">
      <c r="A80" s="102" t="s">
        <v>1591</v>
      </c>
      <c r="B80" s="103" t="s">
        <v>1592</v>
      </c>
      <c r="C80" s="103" t="s">
        <v>1593</v>
      </c>
    </row>
    <row r="81" spans="1:3" ht="17.25" thickBot="1">
      <c r="A81" s="4" t="s">
        <v>1771</v>
      </c>
      <c r="B81" s="6" t="s">
        <v>1632</v>
      </c>
      <c r="C81" s="6" t="s">
        <v>1772</v>
      </c>
    </row>
    <row r="82" spans="1:3" ht="27.75" thickBot="1">
      <c r="A82" s="4" t="s">
        <v>1773</v>
      </c>
      <c r="B82" s="6" t="s">
        <v>1632</v>
      </c>
      <c r="C82" s="6" t="s">
        <v>1774</v>
      </c>
    </row>
    <row r="83" spans="1:3" ht="17.25" thickBot="1">
      <c r="A83" s="4" t="s">
        <v>1775</v>
      </c>
      <c r="B83" s="6" t="s">
        <v>1632</v>
      </c>
      <c r="C83" s="5" t="s">
        <v>1776</v>
      </c>
    </row>
    <row r="84" spans="1:3" ht="17.25" thickBot="1">
      <c r="A84" s="4" t="s">
        <v>1777</v>
      </c>
      <c r="B84" s="6" t="s">
        <v>1632</v>
      </c>
      <c r="C84" s="6" t="s">
        <v>1778</v>
      </c>
    </row>
    <row r="85" spans="1:3" ht="27">
      <c r="A85" s="92" t="s">
        <v>1779</v>
      </c>
      <c r="B85" s="91" t="s">
        <v>1599</v>
      </c>
      <c r="C85" s="7" t="s">
        <v>1780</v>
      </c>
    </row>
    <row r="86" spans="1:3" ht="26.25" thickBot="1">
      <c r="A86" s="98"/>
      <c r="B86" s="97"/>
      <c r="C86" s="6" t="s">
        <v>1781</v>
      </c>
    </row>
    <row r="87" spans="1:3" ht="27">
      <c r="A87" s="92" t="s">
        <v>1782</v>
      </c>
      <c r="B87" s="91" t="s">
        <v>1599</v>
      </c>
      <c r="C87" s="7" t="s">
        <v>1783</v>
      </c>
    </row>
    <row r="88" spans="1:3">
      <c r="A88" s="171"/>
      <c r="B88" s="170"/>
      <c r="C88" s="7" t="s">
        <v>1784</v>
      </c>
    </row>
    <row r="89" spans="1:3" ht="17.25" thickBot="1">
      <c r="A89" s="98"/>
      <c r="B89" s="97"/>
      <c r="C89" s="5" t="s">
        <v>1785</v>
      </c>
    </row>
    <row r="90" spans="1:3" ht="17.25" thickBot="1">
      <c r="A90" s="102" t="s">
        <v>1591</v>
      </c>
      <c r="B90" s="103" t="s">
        <v>1592</v>
      </c>
      <c r="C90" s="103" t="s">
        <v>1593</v>
      </c>
    </row>
    <row r="91" spans="1:3" ht="27.75" thickBot="1">
      <c r="A91" s="4" t="s">
        <v>1786</v>
      </c>
      <c r="B91" s="5" t="s">
        <v>1599</v>
      </c>
      <c r="C91" s="6" t="s">
        <v>1787</v>
      </c>
    </row>
    <row r="92" spans="1:3" ht="26.25" thickBot="1">
      <c r="A92" s="4" t="s">
        <v>1788</v>
      </c>
      <c r="B92" s="5" t="s">
        <v>1599</v>
      </c>
      <c r="C92" s="6" t="s">
        <v>1789</v>
      </c>
    </row>
    <row r="93" spans="1:3" ht="27.75" thickBot="1">
      <c r="A93" s="4" t="s">
        <v>1790</v>
      </c>
      <c r="B93" s="5" t="s">
        <v>1599</v>
      </c>
      <c r="C93" s="6" t="s">
        <v>1791</v>
      </c>
    </row>
    <row r="94" spans="1:3" ht="17.25" thickBot="1">
      <c r="A94" s="4" t="s">
        <v>1792</v>
      </c>
      <c r="B94" s="5" t="s">
        <v>1566</v>
      </c>
      <c r="C94" s="5" t="s">
        <v>1793</v>
      </c>
    </row>
    <row r="95" spans="1:3" ht="27.75" thickBot="1">
      <c r="A95" s="4" t="s">
        <v>1794</v>
      </c>
      <c r="B95" s="5" t="s">
        <v>1795</v>
      </c>
      <c r="C95" s="6" t="s">
        <v>1796</v>
      </c>
    </row>
    <row r="96" spans="1:3" ht="26.25" thickBot="1">
      <c r="A96" s="4" t="s">
        <v>1797</v>
      </c>
      <c r="B96" s="5" t="s">
        <v>1795</v>
      </c>
      <c r="C96" s="6" t="s">
        <v>1798</v>
      </c>
    </row>
    <row r="97" spans="1:3" ht="17.25" thickBot="1">
      <c r="A97" s="4" t="s">
        <v>1799</v>
      </c>
      <c r="B97" s="5" t="s">
        <v>0</v>
      </c>
      <c r="C97" s="6" t="s">
        <v>1800</v>
      </c>
    </row>
    <row r="98" spans="1:3" ht="17.25" thickBot="1">
      <c r="A98" s="4" t="s">
        <v>1801</v>
      </c>
      <c r="B98" s="5" t="s">
        <v>1628</v>
      </c>
      <c r="C98" s="5" t="s">
        <v>1802</v>
      </c>
    </row>
    <row r="99" spans="1:3" ht="27.75" thickBot="1">
      <c r="A99" s="4" t="s">
        <v>1803</v>
      </c>
      <c r="B99" s="5" t="s">
        <v>1599</v>
      </c>
      <c r="C99" s="6" t="s">
        <v>1804</v>
      </c>
    </row>
    <row r="100" spans="1:3" ht="17.25" thickBot="1">
      <c r="A100" s="4" t="s">
        <v>1805</v>
      </c>
      <c r="B100" s="5" t="s">
        <v>1599</v>
      </c>
      <c r="C100" s="6" t="s">
        <v>1806</v>
      </c>
    </row>
    <row r="101" spans="1:3" ht="27">
      <c r="A101" s="92" t="s">
        <v>1807</v>
      </c>
      <c r="B101" s="91" t="s">
        <v>1628</v>
      </c>
      <c r="C101" s="8" t="s">
        <v>1808</v>
      </c>
    </row>
    <row r="102" spans="1:3" ht="17.25" thickBot="1">
      <c r="A102" s="98"/>
      <c r="B102" s="97"/>
      <c r="C102" s="5" t="s">
        <v>1809</v>
      </c>
    </row>
    <row r="103" spans="1:3" ht="26.25" thickBot="1">
      <c r="A103" s="4" t="s">
        <v>1810</v>
      </c>
      <c r="B103" s="5" t="s">
        <v>1795</v>
      </c>
      <c r="C103" s="6" t="s">
        <v>1811</v>
      </c>
    </row>
    <row r="104" spans="1:3" ht="27">
      <c r="A104" s="92" t="s">
        <v>1812</v>
      </c>
      <c r="B104" s="91" t="s">
        <v>1632</v>
      </c>
      <c r="C104" s="8" t="s">
        <v>1813</v>
      </c>
    </row>
    <row r="105" spans="1:3" ht="17.25" thickBot="1">
      <c r="A105" s="98"/>
      <c r="B105" s="97"/>
      <c r="C105" s="5" t="s">
        <v>1814</v>
      </c>
    </row>
    <row r="106" spans="1:3" ht="17.25" thickBot="1">
      <c r="A106" s="102" t="s">
        <v>1591</v>
      </c>
      <c r="B106" s="103" t="s">
        <v>1592</v>
      </c>
      <c r="C106" s="103" t="s">
        <v>1593</v>
      </c>
    </row>
    <row r="107" spans="1:3" ht="27">
      <c r="A107" s="96" t="s">
        <v>1815</v>
      </c>
      <c r="B107" s="91" t="s">
        <v>1632</v>
      </c>
      <c r="C107" s="7" t="s">
        <v>1817</v>
      </c>
    </row>
    <row r="108" spans="1:3" ht="17.25" thickBot="1">
      <c r="A108" s="4" t="s">
        <v>1816</v>
      </c>
      <c r="B108" s="97"/>
      <c r="C108" s="5" t="s">
        <v>1814</v>
      </c>
    </row>
    <row r="109" spans="1:3" ht="26.25" thickBot="1">
      <c r="A109" s="4" t="s">
        <v>1818</v>
      </c>
      <c r="B109" s="5" t="s">
        <v>1795</v>
      </c>
      <c r="C109" s="6" t="s">
        <v>1819</v>
      </c>
    </row>
    <row r="110" spans="1:3" ht="17.25" thickBot="1">
      <c r="A110" s="4" t="s">
        <v>1820</v>
      </c>
      <c r="B110" s="5" t="s">
        <v>1795</v>
      </c>
      <c r="C110" s="6" t="s">
        <v>1821</v>
      </c>
    </row>
    <row r="111" spans="1:3" ht="17.25" thickBot="1">
      <c r="A111" s="4" t="s">
        <v>1822</v>
      </c>
      <c r="B111" s="5" t="s">
        <v>1628</v>
      </c>
      <c r="C111" s="5" t="s">
        <v>1823</v>
      </c>
    </row>
    <row r="112" spans="1:3" ht="17.25" thickBot="1">
      <c r="A112" s="4" t="s">
        <v>1824</v>
      </c>
      <c r="B112" s="5" t="s">
        <v>0</v>
      </c>
      <c r="C112" s="5" t="s">
        <v>1825</v>
      </c>
    </row>
    <row r="113" spans="1:3" ht="17.25" thickBot="1">
      <c r="A113" s="4" t="s">
        <v>1826</v>
      </c>
      <c r="B113" s="5" t="s">
        <v>0</v>
      </c>
      <c r="C113" s="5" t="s">
        <v>1827</v>
      </c>
    </row>
    <row r="114" spans="1:3" ht="39" thickBot="1">
      <c r="A114" s="4" t="s">
        <v>1828</v>
      </c>
      <c r="B114" s="5" t="s">
        <v>1795</v>
      </c>
      <c r="C114" s="6" t="s">
        <v>1829</v>
      </c>
    </row>
    <row r="115" spans="1:3" ht="27">
      <c r="A115" s="92" t="s">
        <v>1830</v>
      </c>
      <c r="B115" s="91" t="s">
        <v>1632</v>
      </c>
      <c r="C115" s="8" t="s">
        <v>1831</v>
      </c>
    </row>
    <row r="116" spans="1:3" ht="26.25" thickBot="1">
      <c r="A116" s="98"/>
      <c r="B116" s="97"/>
      <c r="C116" s="6" t="s">
        <v>1832</v>
      </c>
    </row>
    <row r="117" spans="1:3" ht="25.5">
      <c r="A117" s="92" t="s">
        <v>1833</v>
      </c>
      <c r="B117" s="91" t="s">
        <v>1628</v>
      </c>
      <c r="C117" s="7" t="s">
        <v>1834</v>
      </c>
    </row>
    <row r="118" spans="1:3" ht="17.25" thickBot="1">
      <c r="A118" s="98"/>
      <c r="B118" s="97"/>
      <c r="C118" s="5" t="s">
        <v>1835</v>
      </c>
    </row>
    <row r="119" spans="1:3" ht="25.5">
      <c r="A119" s="92" t="s">
        <v>1836</v>
      </c>
      <c r="B119" s="91" t="s">
        <v>1628</v>
      </c>
      <c r="C119" s="7" t="s">
        <v>1837</v>
      </c>
    </row>
    <row r="120" spans="1:3" ht="17.25" thickBot="1">
      <c r="A120" s="98"/>
      <c r="B120" s="97"/>
      <c r="C120" s="5" t="s">
        <v>1835</v>
      </c>
    </row>
    <row r="121" spans="1:3" ht="27">
      <c r="A121" s="92" t="s">
        <v>1838</v>
      </c>
      <c r="B121" s="91" t="s">
        <v>1795</v>
      </c>
      <c r="C121" s="7" t="s">
        <v>1839</v>
      </c>
    </row>
    <row r="122" spans="1:3" ht="17.25" thickBot="1">
      <c r="A122" s="98"/>
      <c r="B122" s="97"/>
      <c r="C122" s="5" t="s">
        <v>1835</v>
      </c>
    </row>
    <row r="123" spans="1:3" ht="17.25" thickBot="1">
      <c r="A123" s="102" t="s">
        <v>1591</v>
      </c>
      <c r="B123" s="103" t="s">
        <v>1592</v>
      </c>
      <c r="C123" s="103" t="s">
        <v>1593</v>
      </c>
    </row>
    <row r="124" spans="1:3" ht="27">
      <c r="A124" s="92" t="s">
        <v>1840</v>
      </c>
      <c r="B124" s="91" t="s">
        <v>1795</v>
      </c>
      <c r="C124" s="7" t="s">
        <v>1841</v>
      </c>
    </row>
    <row r="125" spans="1:3" ht="17.25" thickBot="1">
      <c r="A125" s="98"/>
      <c r="B125" s="97"/>
      <c r="C125" s="5" t="s">
        <v>1835</v>
      </c>
    </row>
    <row r="126" spans="1:3" ht="25.5">
      <c r="A126" s="92" t="s">
        <v>1842</v>
      </c>
      <c r="B126" s="91" t="s">
        <v>1628</v>
      </c>
      <c r="C126" s="7" t="s">
        <v>1843</v>
      </c>
    </row>
    <row r="127" spans="1:3" ht="17.25" thickBot="1">
      <c r="A127" s="98"/>
      <c r="B127" s="97"/>
      <c r="C127" s="5" t="s">
        <v>1835</v>
      </c>
    </row>
    <row r="128" spans="1:3" ht="27">
      <c r="A128" s="92" t="s">
        <v>1844</v>
      </c>
      <c r="B128" s="91" t="s">
        <v>1795</v>
      </c>
      <c r="C128" s="7" t="s">
        <v>1845</v>
      </c>
    </row>
    <row r="129" spans="1:3" ht="17.25" thickBot="1">
      <c r="A129" s="98"/>
      <c r="B129" s="97"/>
      <c r="C129" s="5" t="s">
        <v>1835</v>
      </c>
    </row>
    <row r="130" spans="1:3" ht="25.5">
      <c r="A130" s="92" t="s">
        <v>1846</v>
      </c>
      <c r="B130" s="91" t="s">
        <v>1795</v>
      </c>
      <c r="C130" s="7" t="s">
        <v>1847</v>
      </c>
    </row>
    <row r="131" spans="1:3" ht="17.25" thickBot="1">
      <c r="A131" s="98"/>
      <c r="B131" s="97"/>
      <c r="C131" s="5" t="s">
        <v>1835</v>
      </c>
    </row>
    <row r="132" spans="1:3" ht="17.25" thickBot="1">
      <c r="A132" s="4" t="s">
        <v>1848</v>
      </c>
      <c r="B132" s="5" t="s">
        <v>0</v>
      </c>
      <c r="C132" s="6" t="s">
        <v>1849</v>
      </c>
    </row>
    <row r="133" spans="1:3" ht="17.25" thickBot="1">
      <c r="A133" s="4" t="s">
        <v>1850</v>
      </c>
      <c r="B133" s="6" t="s">
        <v>1632</v>
      </c>
      <c r="C133" s="5" t="s">
        <v>1851</v>
      </c>
    </row>
    <row r="134" spans="1:3">
      <c r="A134" s="92" t="s">
        <v>1852</v>
      </c>
      <c r="B134" s="8" t="s">
        <v>1853</v>
      </c>
      <c r="C134" s="91" t="s">
        <v>1855</v>
      </c>
    </row>
    <row r="135" spans="1:3" ht="17.25" thickBot="1">
      <c r="A135" s="98"/>
      <c r="B135" s="5" t="s">
        <v>1854</v>
      </c>
      <c r="C135" s="97"/>
    </row>
    <row r="136" spans="1:3" ht="25.5">
      <c r="A136" s="92" t="s">
        <v>1856</v>
      </c>
      <c r="B136" s="91" t="s">
        <v>1857</v>
      </c>
      <c r="C136" s="7" t="s">
        <v>1858</v>
      </c>
    </row>
    <row r="137" spans="1:3" ht="17.25" thickBot="1">
      <c r="A137" s="98"/>
      <c r="B137" s="97"/>
      <c r="C137" s="5" t="s">
        <v>1859</v>
      </c>
    </row>
    <row r="138" spans="1:3" ht="27.75" thickBot="1">
      <c r="A138" s="4" t="s">
        <v>1860</v>
      </c>
      <c r="B138" s="5" t="s">
        <v>1599</v>
      </c>
      <c r="C138" s="6" t="s">
        <v>1861</v>
      </c>
    </row>
    <row r="139" spans="1:3" ht="17.25" thickBot="1">
      <c r="A139" s="4" t="s">
        <v>1862</v>
      </c>
      <c r="B139" s="5" t="s">
        <v>1599</v>
      </c>
      <c r="C139" s="6" t="s">
        <v>1863</v>
      </c>
    </row>
    <row r="140" spans="1:3" ht="26.25" thickBot="1">
      <c r="A140" s="4" t="s">
        <v>1864</v>
      </c>
      <c r="B140" s="5" t="s">
        <v>1795</v>
      </c>
      <c r="C140" s="6" t="s">
        <v>1865</v>
      </c>
    </row>
    <row r="141" spans="1:3" ht="17.25" thickBot="1">
      <c r="A141" s="99" t="s">
        <v>1591</v>
      </c>
      <c r="B141" s="100" t="s">
        <v>1592</v>
      </c>
      <c r="C141" s="100" t="s">
        <v>1593</v>
      </c>
    </row>
    <row r="142" spans="1:3" ht="17.25" thickBot="1">
      <c r="A142" s="4" t="s">
        <v>1866</v>
      </c>
      <c r="B142" s="6" t="s">
        <v>1632</v>
      </c>
      <c r="C142" s="6" t="s">
        <v>1867</v>
      </c>
    </row>
    <row r="143" spans="1:3" ht="26.25" thickBot="1">
      <c r="A143" s="4" t="s">
        <v>1868</v>
      </c>
      <c r="B143" s="5" t="s">
        <v>0</v>
      </c>
      <c r="C143" s="6" t="s">
        <v>1869</v>
      </c>
    </row>
    <row r="144" spans="1:3">
      <c r="B144" s="114" t="s">
        <v>1870</v>
      </c>
      <c r="C144" s="114" t="s">
        <v>1871</v>
      </c>
    </row>
    <row r="145" spans="1:3" ht="17.25" thickBot="1">
      <c r="A145" s="115" t="s">
        <v>1872</v>
      </c>
      <c r="B145" s="115" t="s">
        <v>1873</v>
      </c>
    </row>
    <row r="146" spans="1:3" ht="17.25" thickBot="1">
      <c r="A146" s="102" t="s">
        <v>1591</v>
      </c>
      <c r="B146" s="103" t="s">
        <v>1635</v>
      </c>
      <c r="C146" s="103" t="s">
        <v>1593</v>
      </c>
    </row>
    <row r="147" spans="1:3" ht="17.25" thickBot="1">
      <c r="A147" s="4" t="s">
        <v>1875</v>
      </c>
      <c r="B147" s="5" t="s">
        <v>1603</v>
      </c>
      <c r="C147" s="5" t="s">
        <v>1876</v>
      </c>
    </row>
    <row r="148" spans="1:3" ht="17.25" thickBot="1">
      <c r="A148" s="4" t="s">
        <v>1877</v>
      </c>
      <c r="B148" s="5" t="s">
        <v>1603</v>
      </c>
      <c r="C148" s="5" t="s">
        <v>1878</v>
      </c>
    </row>
    <row r="149" spans="1:3" ht="17.25" thickBot="1">
      <c r="A149" s="4" t="s">
        <v>1879</v>
      </c>
      <c r="B149" s="5" t="s">
        <v>1630</v>
      </c>
      <c r="C149" s="5" t="s">
        <v>1880</v>
      </c>
    </row>
    <row r="150" spans="1:3" ht="17.25" thickBot="1">
      <c r="A150" s="4" t="s">
        <v>1591</v>
      </c>
      <c r="B150" s="5" t="s">
        <v>1603</v>
      </c>
      <c r="C150" s="6" t="s">
        <v>1881</v>
      </c>
    </row>
    <row r="151" spans="1:3" ht="17.25" thickBot="1">
      <c r="A151" s="4" t="s">
        <v>1882</v>
      </c>
      <c r="B151" s="5" t="s">
        <v>1603</v>
      </c>
      <c r="C151" s="6" t="s">
        <v>1883</v>
      </c>
    </row>
    <row r="152" spans="1:3" ht="17.25" thickBot="1">
      <c r="A152" s="4" t="s">
        <v>1884</v>
      </c>
      <c r="B152" s="5" t="s">
        <v>1603</v>
      </c>
      <c r="C152" s="5" t="s">
        <v>1885</v>
      </c>
    </row>
    <row r="153" spans="1:3">
      <c r="B153" s="114" t="s">
        <v>1886</v>
      </c>
      <c r="C153" s="114" t="s">
        <v>1887</v>
      </c>
    </row>
    <row r="154" spans="1:3" ht="17.25" thickBot="1">
      <c r="A154" s="115" t="s">
        <v>1890</v>
      </c>
      <c r="B154" s="115" t="s">
        <v>1891</v>
      </c>
    </row>
    <row r="155" spans="1:3" ht="17.25" thickBot="1">
      <c r="A155" s="102" t="s">
        <v>1591</v>
      </c>
      <c r="B155" s="103" t="s">
        <v>1592</v>
      </c>
      <c r="C155" s="103" t="s">
        <v>1593</v>
      </c>
    </row>
    <row r="156" spans="1:3" ht="27">
      <c r="A156" s="92" t="s">
        <v>1892</v>
      </c>
      <c r="B156" s="91" t="s">
        <v>1632</v>
      </c>
      <c r="C156" s="7" t="s">
        <v>1893</v>
      </c>
    </row>
    <row r="157" spans="1:3" ht="27.75" thickBot="1">
      <c r="A157" s="98"/>
      <c r="B157" s="97"/>
      <c r="C157" s="6" t="s">
        <v>1894</v>
      </c>
    </row>
    <row r="158" spans="1:3" ht="17.25" thickBot="1">
      <c r="A158" s="4" t="s">
        <v>1775</v>
      </c>
      <c r="B158" s="6" t="s">
        <v>1632</v>
      </c>
      <c r="C158" s="6" t="s">
        <v>1895</v>
      </c>
    </row>
    <row r="159" spans="1:3" ht="26.25">
      <c r="A159" s="92" t="s">
        <v>1896</v>
      </c>
      <c r="B159" s="91" t="s">
        <v>1632</v>
      </c>
      <c r="C159" s="7" t="s">
        <v>1897</v>
      </c>
    </row>
    <row r="160" spans="1:3" ht="17.25" thickBot="1">
      <c r="A160" s="98"/>
      <c r="B160" s="97"/>
      <c r="C160" s="100" t="s">
        <v>1898</v>
      </c>
    </row>
    <row r="161" spans="1:3" ht="27">
      <c r="A161" s="96" t="s">
        <v>1899</v>
      </c>
      <c r="B161" s="91" t="s">
        <v>1566</v>
      </c>
      <c r="C161" s="7" t="s">
        <v>1901</v>
      </c>
    </row>
    <row r="162" spans="1:3" ht="17.25" thickBot="1">
      <c r="A162" s="4" t="s">
        <v>1900</v>
      </c>
      <c r="B162" s="97"/>
      <c r="C162" s="6" t="s">
        <v>1902</v>
      </c>
    </row>
    <row r="163" spans="1:3" ht="17.25" thickBot="1">
      <c r="A163" s="4" t="s">
        <v>1903</v>
      </c>
      <c r="B163" s="5" t="s">
        <v>1603</v>
      </c>
      <c r="C163" s="6" t="s">
        <v>1904</v>
      </c>
    </row>
    <row r="164" spans="1:3" ht="40.5">
      <c r="A164" s="92" t="s">
        <v>1905</v>
      </c>
      <c r="B164" s="91" t="s">
        <v>1632</v>
      </c>
      <c r="C164" s="7" t="s">
        <v>1906</v>
      </c>
    </row>
    <row r="165" spans="1:3" ht="27.75" thickBot="1">
      <c r="A165" s="98"/>
      <c r="B165" s="97"/>
      <c r="C165" s="6" t="s">
        <v>1907</v>
      </c>
    </row>
    <row r="166" spans="1:3" ht="27">
      <c r="A166" s="96" t="s">
        <v>1908</v>
      </c>
      <c r="B166" s="91" t="s">
        <v>1632</v>
      </c>
      <c r="C166" s="7" t="s">
        <v>1910</v>
      </c>
    </row>
    <row r="167" spans="1:3" ht="27.75" thickBot="1">
      <c r="A167" s="4" t="s">
        <v>1909</v>
      </c>
      <c r="B167" s="97"/>
      <c r="C167" s="6" t="s">
        <v>1911</v>
      </c>
    </row>
    <row r="168" spans="1:3">
      <c r="A168" s="92" t="s">
        <v>1912</v>
      </c>
      <c r="B168" s="91" t="s">
        <v>1603</v>
      </c>
      <c r="C168" s="7" t="s">
        <v>1913</v>
      </c>
    </row>
    <row r="169" spans="1:3" ht="17.25" thickBot="1">
      <c r="A169" s="98"/>
      <c r="B169" s="97"/>
      <c r="C169" s="5" t="s">
        <v>1914</v>
      </c>
    </row>
    <row r="170" spans="1:3" ht="17.25" thickBot="1">
      <c r="A170" s="4" t="s">
        <v>1915</v>
      </c>
      <c r="B170" s="5" t="s">
        <v>1624</v>
      </c>
      <c r="C170" s="5" t="s">
        <v>1916</v>
      </c>
    </row>
    <row r="171" spans="1:3" ht="17.25" thickBot="1">
      <c r="A171" s="99" t="s">
        <v>1591</v>
      </c>
      <c r="B171" s="100" t="s">
        <v>1592</v>
      </c>
      <c r="C171" s="100" t="s">
        <v>1593</v>
      </c>
    </row>
    <row r="172" spans="1:3" ht="40.5">
      <c r="A172" s="92" t="s">
        <v>1917</v>
      </c>
      <c r="B172" s="91" t="s">
        <v>1632</v>
      </c>
      <c r="C172" s="8" t="s">
        <v>1918</v>
      </c>
    </row>
    <row r="173" spans="1:3" ht="17.25" thickBot="1">
      <c r="A173" s="98"/>
      <c r="B173" s="97"/>
      <c r="C173" s="100" t="s">
        <v>1898</v>
      </c>
    </row>
    <row r="174" spans="1:3" ht="27">
      <c r="A174" s="96" t="s">
        <v>1919</v>
      </c>
      <c r="B174" s="91" t="s">
        <v>1632</v>
      </c>
      <c r="C174" s="7" t="s">
        <v>1921</v>
      </c>
    </row>
    <row r="175" spans="1:3" ht="27.75" thickBot="1">
      <c r="A175" s="4" t="s">
        <v>1920</v>
      </c>
      <c r="B175" s="97"/>
      <c r="C175" s="6" t="s">
        <v>1902</v>
      </c>
    </row>
    <row r="176" spans="1:3" ht="17.25" thickBot="1">
      <c r="A176" s="4" t="s">
        <v>1922</v>
      </c>
      <c r="B176" s="5" t="s">
        <v>1566</v>
      </c>
      <c r="C176" s="5" t="s">
        <v>1923</v>
      </c>
    </row>
    <row r="177" spans="1:3" ht="17.25" thickBot="1">
      <c r="A177" s="4" t="s">
        <v>1924</v>
      </c>
      <c r="B177" s="5" t="s">
        <v>1603</v>
      </c>
      <c r="C177" s="5" t="s">
        <v>1925</v>
      </c>
    </row>
    <row r="178" spans="1:3">
      <c r="B178" s="114" t="s">
        <v>1926</v>
      </c>
      <c r="C178" s="114" t="s">
        <v>1927</v>
      </c>
    </row>
    <row r="179" spans="1:3" ht="17.25" thickBot="1">
      <c r="A179" s="115" t="s">
        <v>1928</v>
      </c>
      <c r="B179" s="115" t="s">
        <v>1929</v>
      </c>
    </row>
    <row r="180" spans="1:3" ht="17.25" thickBot="1">
      <c r="A180" s="102" t="s">
        <v>1591</v>
      </c>
      <c r="B180" s="103" t="s">
        <v>1592</v>
      </c>
      <c r="C180" s="103" t="s">
        <v>1593</v>
      </c>
    </row>
    <row r="181" spans="1:3" ht="27.75" thickBot="1">
      <c r="A181" s="4" t="s">
        <v>1930</v>
      </c>
      <c r="B181" s="5" t="s">
        <v>1600</v>
      </c>
      <c r="C181" s="5" t="s">
        <v>1931</v>
      </c>
    </row>
    <row r="182" spans="1:3" ht="17.25" thickBot="1">
      <c r="A182" s="4" t="s">
        <v>1932</v>
      </c>
      <c r="B182" s="5" t="s">
        <v>1628</v>
      </c>
      <c r="C182" s="6" t="s">
        <v>1933</v>
      </c>
    </row>
    <row r="183" spans="1:3" ht="17.25" thickBot="1">
      <c r="A183" s="4" t="s">
        <v>1932</v>
      </c>
      <c r="B183" s="5" t="s">
        <v>1628</v>
      </c>
      <c r="C183" s="6" t="s">
        <v>1934</v>
      </c>
    </row>
    <row r="184" spans="1:3" ht="27.75" thickBot="1">
      <c r="A184" s="4" t="s">
        <v>1935</v>
      </c>
      <c r="B184" s="5" t="s">
        <v>1628</v>
      </c>
      <c r="C184" s="6" t="s">
        <v>1936</v>
      </c>
    </row>
    <row r="185" spans="1:3">
      <c r="B185" s="114" t="s">
        <v>1937</v>
      </c>
      <c r="C185" s="114" t="s">
        <v>1938</v>
      </c>
    </row>
    <row r="186" spans="1:3" ht="17.25" thickBot="1">
      <c r="A186" s="115" t="s">
        <v>1939</v>
      </c>
      <c r="B186" s="115" t="s">
        <v>1940</v>
      </c>
    </row>
    <row r="187" spans="1:3" ht="17.25" thickBot="1">
      <c r="A187" s="102" t="s">
        <v>1591</v>
      </c>
      <c r="B187" s="103" t="s">
        <v>1592</v>
      </c>
      <c r="C187" s="103" t="s">
        <v>1593</v>
      </c>
    </row>
    <row r="188" spans="1:3" ht="26.25" thickBot="1">
      <c r="A188" s="4" t="s">
        <v>1941</v>
      </c>
      <c r="B188" s="5" t="s">
        <v>1566</v>
      </c>
      <c r="C188" s="6" t="s">
        <v>1942</v>
      </c>
    </row>
    <row r="189" spans="1:3" ht="27">
      <c r="A189" s="92" t="s">
        <v>1943</v>
      </c>
      <c r="B189" s="91" t="s">
        <v>1566</v>
      </c>
      <c r="C189" s="7" t="s">
        <v>1944</v>
      </c>
    </row>
    <row r="190" spans="1:3">
      <c r="A190" s="171"/>
      <c r="B190" s="170"/>
      <c r="C190" s="7" t="s">
        <v>1945</v>
      </c>
    </row>
    <row r="191" spans="1:3" ht="17.25" thickBot="1">
      <c r="A191" s="98"/>
      <c r="B191" s="97"/>
      <c r="C191" s="6" t="s">
        <v>1946</v>
      </c>
    </row>
    <row r="192" spans="1:3" ht="41.25" thickBot="1">
      <c r="A192" s="4" t="s">
        <v>1947</v>
      </c>
      <c r="B192" s="5" t="s">
        <v>1566</v>
      </c>
      <c r="C192" s="6" t="s">
        <v>1948</v>
      </c>
    </row>
    <row r="193" spans="1:3" ht="17.25" thickBot="1">
      <c r="A193" s="4" t="s">
        <v>1949</v>
      </c>
      <c r="B193" s="5" t="s">
        <v>1566</v>
      </c>
      <c r="C193" s="5" t="s">
        <v>1950</v>
      </c>
    </row>
    <row r="194" spans="1:3" ht="17.25" thickBot="1">
      <c r="A194" s="4" t="s">
        <v>1951</v>
      </c>
      <c r="B194" s="5" t="s">
        <v>1566</v>
      </c>
      <c r="C194" s="5" t="s">
        <v>1952</v>
      </c>
    </row>
    <row r="195" spans="1:3" ht="17.25" thickBot="1">
      <c r="A195" s="4" t="s">
        <v>1953</v>
      </c>
      <c r="B195" s="5" t="s">
        <v>1566</v>
      </c>
      <c r="C195" s="6" t="s">
        <v>1954</v>
      </c>
    </row>
    <row r="196" spans="1:3" ht="17.25" thickBot="1">
      <c r="A196" s="4" t="s">
        <v>1955</v>
      </c>
      <c r="B196" s="5" t="s">
        <v>0</v>
      </c>
      <c r="C196" s="6" t="s">
        <v>1956</v>
      </c>
    </row>
    <row r="197" spans="1:3">
      <c r="A197" s="92" t="s">
        <v>1634</v>
      </c>
      <c r="B197" s="91" t="s">
        <v>1603</v>
      </c>
      <c r="C197" s="8" t="s">
        <v>1957</v>
      </c>
    </row>
    <row r="198" spans="1:3" ht="17.25" thickBot="1">
      <c r="A198" s="98"/>
      <c r="B198" s="97"/>
      <c r="C198" s="5" t="s">
        <v>1958</v>
      </c>
    </row>
    <row r="199" spans="1:3">
      <c r="B199" s="114" t="s">
        <v>1959</v>
      </c>
      <c r="C199" s="114" t="s">
        <v>1960</v>
      </c>
    </row>
    <row r="200" spans="1:3" ht="17.25" thickBot="1">
      <c r="A200" s="115" t="s">
        <v>1961</v>
      </c>
      <c r="B200" s="115" t="s">
        <v>1962</v>
      </c>
    </row>
    <row r="201" spans="1:3" ht="17.25" thickBot="1">
      <c r="A201" s="102" t="s">
        <v>1591</v>
      </c>
      <c r="B201" s="103" t="s">
        <v>1635</v>
      </c>
      <c r="C201" s="103" t="s">
        <v>1593</v>
      </c>
    </row>
    <row r="202" spans="1:3">
      <c r="A202" s="92" t="s">
        <v>1964</v>
      </c>
      <c r="B202" s="8" t="s">
        <v>1738</v>
      </c>
      <c r="C202" s="91" t="s">
        <v>1965</v>
      </c>
    </row>
    <row r="203" spans="1:3" ht="17.25" thickBot="1">
      <c r="A203" s="98"/>
      <c r="B203" s="5" t="s">
        <v>1550</v>
      </c>
      <c r="C203" s="97"/>
    </row>
    <row r="204" spans="1:3" ht="17.25" thickBot="1">
      <c r="A204" s="4" t="s">
        <v>1968</v>
      </c>
      <c r="B204" s="5" t="s">
        <v>1566</v>
      </c>
      <c r="C204" s="6" t="s">
        <v>1969</v>
      </c>
    </row>
    <row r="205" spans="1:3" ht="17.25" thickBot="1">
      <c r="A205" s="4" t="s">
        <v>1970</v>
      </c>
      <c r="B205" s="5" t="s">
        <v>1566</v>
      </c>
      <c r="C205" s="6" t="s">
        <v>1971</v>
      </c>
    </row>
    <row r="206" spans="1:3" ht="27.75" thickBot="1">
      <c r="A206" s="4" t="s">
        <v>1972</v>
      </c>
      <c r="B206" s="5" t="s">
        <v>1566</v>
      </c>
      <c r="C206" s="6" t="s">
        <v>1973</v>
      </c>
    </row>
    <row r="207" spans="1:3" ht="27" thickBot="1">
      <c r="A207" s="4" t="s">
        <v>1974</v>
      </c>
      <c r="B207" s="5" t="s">
        <v>1566</v>
      </c>
      <c r="C207" s="6" t="s">
        <v>1975</v>
      </c>
    </row>
    <row r="208" spans="1:3" ht="17.25" thickBot="1">
      <c r="A208" s="4" t="s">
        <v>1976</v>
      </c>
      <c r="B208" s="5" t="s">
        <v>1566</v>
      </c>
      <c r="C208" s="6" t="s">
        <v>1977</v>
      </c>
    </row>
    <row r="209" spans="1:3" ht="27" thickBot="1">
      <c r="A209" s="4" t="s">
        <v>1978</v>
      </c>
      <c r="B209" s="5" t="s">
        <v>1566</v>
      </c>
      <c r="C209" s="6" t="s">
        <v>1975</v>
      </c>
    </row>
    <row r="210" spans="1:3">
      <c r="A210" s="92" t="s">
        <v>1979</v>
      </c>
      <c r="B210" s="91" t="s">
        <v>1566</v>
      </c>
      <c r="C210" s="7" t="s">
        <v>1980</v>
      </c>
    </row>
    <row r="211" spans="1:3" ht="17.25" thickBot="1">
      <c r="A211" s="98"/>
      <c r="B211" s="97"/>
      <c r="C211" s="5" t="s">
        <v>1616</v>
      </c>
    </row>
    <row r="212" spans="1:3" ht="27" thickBot="1">
      <c r="A212" s="4" t="s">
        <v>1981</v>
      </c>
      <c r="B212" s="5" t="s">
        <v>1566</v>
      </c>
      <c r="C212" s="6" t="s">
        <v>1982</v>
      </c>
    </row>
    <row r="213" spans="1:3" ht="17.25" thickBot="1">
      <c r="A213" s="4" t="s">
        <v>1983</v>
      </c>
      <c r="B213" s="5" t="s">
        <v>1566</v>
      </c>
      <c r="C213" s="6" t="s">
        <v>1984</v>
      </c>
    </row>
    <row r="214" spans="1:3" ht="27" thickBot="1">
      <c r="A214" s="4" t="s">
        <v>1985</v>
      </c>
      <c r="B214" s="5" t="s">
        <v>1566</v>
      </c>
      <c r="C214" s="6" t="s">
        <v>1982</v>
      </c>
    </row>
    <row r="215" spans="1:3" ht="17.25" thickBot="1">
      <c r="A215" s="4" t="s">
        <v>1986</v>
      </c>
      <c r="B215" s="5" t="s">
        <v>1566</v>
      </c>
      <c r="C215" s="6" t="s">
        <v>1987</v>
      </c>
    </row>
    <row r="216" spans="1:3" ht="27" thickBot="1">
      <c r="A216" s="4" t="s">
        <v>1988</v>
      </c>
      <c r="B216" s="5" t="s">
        <v>1566</v>
      </c>
      <c r="C216" s="6" t="s">
        <v>1982</v>
      </c>
    </row>
    <row r="217" spans="1:3" ht="17.25" thickBot="1">
      <c r="A217" s="4" t="s">
        <v>1955</v>
      </c>
      <c r="B217" s="5" t="s">
        <v>0</v>
      </c>
      <c r="C217" s="5" t="s">
        <v>1989</v>
      </c>
    </row>
    <row r="218" spans="1:3" ht="27.75" thickBot="1">
      <c r="A218" s="4" t="s">
        <v>1990</v>
      </c>
      <c r="B218" s="5" t="s">
        <v>1603</v>
      </c>
      <c r="C218" s="6" t="s">
        <v>1991</v>
      </c>
    </row>
    <row r="219" spans="1:3">
      <c r="B219" s="114" t="s">
        <v>1966</v>
      </c>
      <c r="C219" s="114" t="s">
        <v>1993</v>
      </c>
    </row>
    <row r="220" spans="1:3" ht="17.25" thickBot="1">
      <c r="A220" s="115" t="s">
        <v>1994</v>
      </c>
      <c r="B220" s="115" t="s">
        <v>1995</v>
      </c>
    </row>
    <row r="221" spans="1:3" ht="17.25" thickBot="1">
      <c r="A221" s="102" t="s">
        <v>1591</v>
      </c>
      <c r="B221" s="103" t="s">
        <v>1635</v>
      </c>
      <c r="C221" s="103" t="s">
        <v>1593</v>
      </c>
    </row>
    <row r="222" spans="1:3">
      <c r="A222" s="92" t="s">
        <v>1996</v>
      </c>
      <c r="B222" s="8" t="s">
        <v>0</v>
      </c>
      <c r="C222" s="8" t="s">
        <v>1998</v>
      </c>
    </row>
    <row r="223" spans="1:3" ht="17.25" thickBot="1">
      <c r="A223" s="98"/>
      <c r="B223" s="5" t="s">
        <v>1997</v>
      </c>
      <c r="C223" s="5" t="s">
        <v>1999</v>
      </c>
    </row>
    <row r="224" spans="1:3">
      <c r="A224" s="92" t="s">
        <v>1996</v>
      </c>
      <c r="B224" s="8" t="s">
        <v>1603</v>
      </c>
      <c r="C224" s="91" t="s">
        <v>2001</v>
      </c>
    </row>
    <row r="225" spans="1:3" ht="17.25" thickBot="1">
      <c r="A225" s="98"/>
      <c r="B225" s="5" t="s">
        <v>2000</v>
      </c>
      <c r="C225" s="97"/>
    </row>
    <row r="226" spans="1:3">
      <c r="A226" s="92" t="s">
        <v>2002</v>
      </c>
      <c r="B226" s="91" t="s">
        <v>1566</v>
      </c>
      <c r="C226" s="7" t="s">
        <v>2003</v>
      </c>
    </row>
    <row r="227" spans="1:3">
      <c r="A227" s="171"/>
      <c r="B227" s="170"/>
      <c r="C227" s="8" t="s">
        <v>2004</v>
      </c>
    </row>
    <row r="228" spans="1:3" ht="17.25" thickBot="1">
      <c r="A228" s="98"/>
      <c r="B228" s="97"/>
      <c r="C228" s="5" t="s">
        <v>2005</v>
      </c>
    </row>
    <row r="229" spans="1:3" ht="40.5">
      <c r="A229" s="96" t="s">
        <v>2008</v>
      </c>
      <c r="B229" s="91" t="s">
        <v>1632</v>
      </c>
      <c r="C229" s="91" t="s">
        <v>2011</v>
      </c>
    </row>
    <row r="230" spans="1:3" ht="27">
      <c r="A230" s="96" t="s">
        <v>2009</v>
      </c>
      <c r="B230" s="170"/>
      <c r="C230" s="170"/>
    </row>
    <row r="231" spans="1:3" ht="27.75" thickBot="1">
      <c r="A231" s="4" t="s">
        <v>2010</v>
      </c>
      <c r="B231" s="97"/>
      <c r="C231" s="97"/>
    </row>
    <row r="232" spans="1:3" ht="17.25" thickBot="1">
      <c r="A232" s="4" t="s">
        <v>1903</v>
      </c>
      <c r="B232" s="5" t="s">
        <v>1603</v>
      </c>
      <c r="C232" s="5" t="s">
        <v>2012</v>
      </c>
    </row>
    <row r="233" spans="1:3" ht="17.25" thickBot="1">
      <c r="A233" s="4" t="s">
        <v>1912</v>
      </c>
      <c r="B233" s="5" t="s">
        <v>1603</v>
      </c>
      <c r="C233" s="5" t="s">
        <v>2013</v>
      </c>
    </row>
    <row r="234" spans="1:3" ht="17.25" thickBot="1">
      <c r="A234" s="4" t="s">
        <v>1915</v>
      </c>
      <c r="B234" s="5" t="s">
        <v>1624</v>
      </c>
      <c r="C234" s="5" t="s">
        <v>2014</v>
      </c>
    </row>
    <row r="235" spans="1:3" ht="17.25" thickBot="1">
      <c r="A235" s="4" t="s">
        <v>2015</v>
      </c>
      <c r="B235" s="6" t="s">
        <v>1632</v>
      </c>
      <c r="C235" s="6" t="s">
        <v>2016</v>
      </c>
    </row>
    <row r="236" spans="1:3" ht="27.75" thickBot="1">
      <c r="A236" s="4" t="s">
        <v>2017</v>
      </c>
      <c r="B236" s="6" t="s">
        <v>1632</v>
      </c>
      <c r="C236" s="6" t="s">
        <v>2018</v>
      </c>
    </row>
    <row r="237" spans="1:3" ht="17.25" thickBot="1">
      <c r="A237" s="4" t="s">
        <v>2019</v>
      </c>
      <c r="B237" s="5" t="s">
        <v>1625</v>
      </c>
      <c r="C237" s="6" t="s">
        <v>2020</v>
      </c>
    </row>
    <row r="238" spans="1:3" ht="17.25" thickBot="1">
      <c r="A238" s="4" t="s">
        <v>1922</v>
      </c>
      <c r="B238" s="5" t="s">
        <v>1566</v>
      </c>
      <c r="C238" s="5" t="s">
        <v>1923</v>
      </c>
    </row>
    <row r="239" spans="1:3" ht="17.25" thickBot="1">
      <c r="A239" s="4" t="s">
        <v>2021</v>
      </c>
      <c r="B239" s="6" t="s">
        <v>1632</v>
      </c>
      <c r="C239" s="5" t="s">
        <v>2022</v>
      </c>
    </row>
    <row r="240" spans="1:3" ht="17.25" thickBot="1">
      <c r="A240" s="4" t="s">
        <v>2023</v>
      </c>
      <c r="B240" s="6" t="s">
        <v>1632</v>
      </c>
      <c r="C240" s="5" t="s">
        <v>2024</v>
      </c>
    </row>
    <row r="241" spans="1:3">
      <c r="A241" s="92" t="s">
        <v>2025</v>
      </c>
      <c r="B241" s="91" t="s">
        <v>1603</v>
      </c>
      <c r="C241" s="8" t="s">
        <v>2026</v>
      </c>
    </row>
    <row r="242" spans="1:3" ht="51.75" thickBot="1">
      <c r="A242" s="98"/>
      <c r="B242" s="97"/>
      <c r="C242" s="6" t="s">
        <v>2027</v>
      </c>
    </row>
    <row r="243" spans="1:3" ht="17.25" thickBot="1">
      <c r="A243" s="4" t="s">
        <v>2028</v>
      </c>
      <c r="B243" s="6" t="s">
        <v>1632</v>
      </c>
      <c r="C243" s="5" t="s">
        <v>2029</v>
      </c>
    </row>
    <row r="244" spans="1:3" ht="17.25" thickBot="1">
      <c r="A244" s="4" t="s">
        <v>1924</v>
      </c>
      <c r="B244" s="5" t="s">
        <v>1603</v>
      </c>
      <c r="C244" s="5" t="s">
        <v>2030</v>
      </c>
    </row>
    <row r="245" spans="1:3">
      <c r="B245" s="114" t="s">
        <v>2031</v>
      </c>
      <c r="C245" s="114" t="s">
        <v>2032</v>
      </c>
    </row>
    <row r="246" spans="1:3" ht="17.25" thickBot="1">
      <c r="A246" s="115" t="s">
        <v>2036</v>
      </c>
      <c r="B246" s="115" t="s">
        <v>2037</v>
      </c>
    </row>
    <row r="247" spans="1:3" ht="17.25" thickBot="1">
      <c r="A247" s="102" t="s">
        <v>1591</v>
      </c>
      <c r="B247" s="103" t="s">
        <v>1592</v>
      </c>
      <c r="C247" s="103" t="s">
        <v>1593</v>
      </c>
    </row>
    <row r="248" spans="1:3" ht="17.25" thickBot="1">
      <c r="A248" s="4" t="s">
        <v>1509</v>
      </c>
      <c r="B248" s="5"/>
      <c r="C248" s="6" t="s">
        <v>1510</v>
      </c>
    </row>
    <row r="249" spans="1:3" ht="26.25" thickBot="1">
      <c r="A249" s="4" t="s">
        <v>1511</v>
      </c>
      <c r="B249" s="5"/>
      <c r="C249" s="6" t="s">
        <v>1512</v>
      </c>
    </row>
    <row r="250" spans="1:3" ht="26.25" thickBot="1">
      <c r="A250" s="4" t="s">
        <v>1513</v>
      </c>
      <c r="B250" s="5"/>
      <c r="C250" s="6" t="s">
        <v>1514</v>
      </c>
    </row>
    <row r="251" spans="1:3" ht="17.25" thickBot="1">
      <c r="A251" s="4" t="s">
        <v>2038</v>
      </c>
      <c r="B251" s="5"/>
      <c r="C251" s="6" t="s">
        <v>1515</v>
      </c>
    </row>
    <row r="252" spans="1:3" ht="17.25" thickBot="1">
      <c r="A252" s="4" t="s">
        <v>2039</v>
      </c>
      <c r="B252" s="5"/>
      <c r="C252" s="6" t="s">
        <v>1516</v>
      </c>
    </row>
    <row r="253" spans="1:3" ht="27.75" thickBot="1">
      <c r="A253" s="4" t="s">
        <v>2040</v>
      </c>
      <c r="B253" s="5"/>
      <c r="C253" s="6" t="s">
        <v>1517</v>
      </c>
    </row>
    <row r="254" spans="1:3" ht="17.25" thickBot="1">
      <c r="A254" s="4" t="s">
        <v>1518</v>
      </c>
      <c r="B254" s="5"/>
      <c r="C254" s="5" t="s">
        <v>1519</v>
      </c>
    </row>
    <row r="255" spans="1:3" ht="17.25" thickBot="1">
      <c r="A255" s="4" t="s">
        <v>1520</v>
      </c>
      <c r="B255" s="5"/>
      <c r="C255" s="5" t="s">
        <v>1521</v>
      </c>
    </row>
    <row r="256" spans="1:3" ht="17.25" thickBot="1">
      <c r="A256" s="4" t="s">
        <v>1522</v>
      </c>
      <c r="B256" s="5"/>
      <c r="C256" s="6" t="s">
        <v>1523</v>
      </c>
    </row>
    <row r="257" spans="1:3" ht="26.25" thickBot="1">
      <c r="A257" s="4" t="s">
        <v>1524</v>
      </c>
      <c r="B257" s="5"/>
      <c r="C257" s="6" t="s">
        <v>1525</v>
      </c>
    </row>
    <row r="258" spans="1:3" ht="17.25" thickBot="1">
      <c r="A258" s="99" t="s">
        <v>1591</v>
      </c>
      <c r="B258" s="100" t="s">
        <v>1592</v>
      </c>
      <c r="C258" s="100" t="s">
        <v>1593</v>
      </c>
    </row>
    <row r="259" spans="1:3" ht="17.25" thickBot="1">
      <c r="A259" s="4" t="s">
        <v>1526</v>
      </c>
      <c r="B259" s="5"/>
      <c r="C259" s="6" t="s">
        <v>1527</v>
      </c>
    </row>
    <row r="260" spans="1:3" ht="17.25" thickBot="1">
      <c r="A260" s="4" t="s">
        <v>1528</v>
      </c>
      <c r="B260" s="5"/>
      <c r="C260" s="6" t="s">
        <v>1529</v>
      </c>
    </row>
    <row r="261" spans="1:3" ht="27.75" thickBot="1">
      <c r="A261" s="4" t="s">
        <v>1530</v>
      </c>
      <c r="B261" s="5"/>
      <c r="C261" s="5" t="s">
        <v>1531</v>
      </c>
    </row>
    <row r="262" spans="1:3" ht="27.75" thickBot="1">
      <c r="A262" s="4" t="s">
        <v>1532</v>
      </c>
      <c r="B262" s="5"/>
      <c r="C262" s="6" t="s">
        <v>1533</v>
      </c>
    </row>
    <row r="263" spans="1:3" ht="26.25" thickBot="1">
      <c r="A263" s="4" t="s">
        <v>1534</v>
      </c>
      <c r="B263" s="5"/>
      <c r="C263" s="6" t="s">
        <v>1535</v>
      </c>
    </row>
    <row r="264" spans="1:3">
      <c r="A264" s="92" t="s">
        <v>1536</v>
      </c>
      <c r="B264" s="8" t="s">
        <v>2041</v>
      </c>
      <c r="C264" s="91" t="s">
        <v>2042</v>
      </c>
    </row>
    <row r="265" spans="1:3" ht="17.25" thickBot="1">
      <c r="A265" s="98"/>
      <c r="B265" s="5" t="s">
        <v>1378</v>
      </c>
      <c r="C265" s="97"/>
    </row>
    <row r="266" spans="1:3">
      <c r="A266" s="92" t="s">
        <v>1537</v>
      </c>
      <c r="B266" s="8" t="s">
        <v>1557</v>
      </c>
      <c r="C266" s="91" t="s">
        <v>1538</v>
      </c>
    </row>
    <row r="267" spans="1:3" ht="17.25" thickBot="1">
      <c r="A267" s="98"/>
      <c r="B267" s="5" t="s">
        <v>1599</v>
      </c>
      <c r="C267" s="97"/>
    </row>
    <row r="268" spans="1:3" ht="17.25" thickBot="1">
      <c r="A268" s="4" t="s">
        <v>1539</v>
      </c>
      <c r="B268" s="5" t="s">
        <v>1540</v>
      </c>
      <c r="C268" s="6" t="s">
        <v>1541</v>
      </c>
    </row>
    <row r="269" spans="1:3">
      <c r="A269" s="92" t="s">
        <v>1542</v>
      </c>
      <c r="B269" s="8" t="s">
        <v>1557</v>
      </c>
      <c r="C269" s="91" t="s">
        <v>1543</v>
      </c>
    </row>
    <row r="270" spans="1:3" ht="17.25" thickBot="1">
      <c r="A270" s="98"/>
      <c r="B270" s="5" t="s">
        <v>1599</v>
      </c>
      <c r="C270" s="97"/>
    </row>
    <row r="271" spans="1:3" ht="25.5">
      <c r="A271" s="92" t="s">
        <v>1544</v>
      </c>
      <c r="B271" s="8" t="s">
        <v>1557</v>
      </c>
      <c r="C271" s="91" t="s">
        <v>1545</v>
      </c>
    </row>
    <row r="272" spans="1:3" ht="17.25" thickBot="1">
      <c r="A272" s="98"/>
      <c r="B272" s="5" t="s">
        <v>1599</v>
      </c>
      <c r="C272" s="97"/>
    </row>
    <row r="273" spans="1:3">
      <c r="A273" s="92" t="s">
        <v>1546</v>
      </c>
      <c r="B273" s="91" t="s">
        <v>0</v>
      </c>
      <c r="C273" s="7" t="s">
        <v>2043</v>
      </c>
    </row>
    <row r="274" spans="1:3" ht="17.25" thickBot="1">
      <c r="A274" s="98"/>
      <c r="B274" s="97"/>
      <c r="C274" s="143" t="s">
        <v>2044</v>
      </c>
    </row>
    <row r="275" spans="1:3" ht="17.25" thickBot="1">
      <c r="A275" s="4" t="s">
        <v>1547</v>
      </c>
      <c r="B275" s="5" t="s">
        <v>0</v>
      </c>
      <c r="C275" s="6" t="s">
        <v>1548</v>
      </c>
    </row>
    <row r="276" spans="1:3">
      <c r="B276" s="114" t="s">
        <v>2045</v>
      </c>
      <c r="C276" s="114" t="s">
        <v>2046</v>
      </c>
    </row>
    <row r="277" spans="1:3" ht="17.25" thickBot="1">
      <c r="A277" s="115" t="s">
        <v>2047</v>
      </c>
      <c r="B277" s="115" t="s">
        <v>2048</v>
      </c>
    </row>
    <row r="278" spans="1:3" ht="17.25" thickBot="1">
      <c r="A278" s="102" t="s">
        <v>1591</v>
      </c>
      <c r="B278" s="103" t="s">
        <v>1592</v>
      </c>
      <c r="C278" s="103" t="s">
        <v>1593</v>
      </c>
    </row>
    <row r="279" spans="1:3" ht="17.25" thickBot="1">
      <c r="A279" s="4" t="s">
        <v>2049</v>
      </c>
      <c r="B279" s="5"/>
      <c r="C279" s="6" t="s">
        <v>2050</v>
      </c>
    </row>
    <row r="280" spans="1:3" ht="27">
      <c r="A280" s="96" t="s">
        <v>2051</v>
      </c>
      <c r="B280" s="91"/>
      <c r="C280" s="8" t="s">
        <v>2053</v>
      </c>
    </row>
    <row r="281" spans="1:3">
      <c r="A281" s="96" t="s">
        <v>2052</v>
      </c>
      <c r="B281" s="170"/>
      <c r="C281" s="7" t="s">
        <v>2054</v>
      </c>
    </row>
    <row r="282" spans="1:3" ht="17.25" thickBot="1">
      <c r="A282" s="113"/>
      <c r="B282" s="97"/>
      <c r="C282" s="5" t="s">
        <v>2055</v>
      </c>
    </row>
    <row r="283" spans="1:3" ht="17.25" thickBot="1">
      <c r="A283" s="4" t="s">
        <v>2056</v>
      </c>
      <c r="B283" s="5"/>
      <c r="C283" s="5" t="s">
        <v>2057</v>
      </c>
    </row>
    <row r="284" spans="1:3" ht="27.75" thickBot="1">
      <c r="A284" s="4" t="s">
        <v>2058</v>
      </c>
      <c r="B284" s="5"/>
      <c r="C284" s="6" t="s">
        <v>2059</v>
      </c>
    </row>
    <row r="285" spans="1:3" ht="17.25" thickBot="1">
      <c r="A285" s="4" t="s">
        <v>1850</v>
      </c>
      <c r="B285" s="5"/>
      <c r="C285" s="5" t="s">
        <v>2060</v>
      </c>
    </row>
    <row r="286" spans="1:3" ht="17.25" thickBot="1">
      <c r="A286" s="4" t="s">
        <v>2061</v>
      </c>
      <c r="B286" s="5"/>
      <c r="C286" s="5" t="s">
        <v>2062</v>
      </c>
    </row>
    <row r="287" spans="1:3">
      <c r="A287" s="92" t="s">
        <v>2063</v>
      </c>
      <c r="B287" s="91"/>
      <c r="C287" s="8" t="s">
        <v>2064</v>
      </c>
    </row>
    <row r="288" spans="1:3" ht="17.25" thickBot="1">
      <c r="A288" s="98"/>
      <c r="B288" s="97"/>
      <c r="C288" s="5" t="s">
        <v>2065</v>
      </c>
    </row>
    <row r="289" spans="1:3">
      <c r="A289" s="92" t="s">
        <v>2066</v>
      </c>
      <c r="B289" s="91"/>
      <c r="C289" s="8" t="s">
        <v>2064</v>
      </c>
    </row>
    <row r="290" spans="1:3" ht="17.25" thickBot="1">
      <c r="A290" s="98"/>
      <c r="B290" s="97"/>
      <c r="C290" s="5" t="s">
        <v>2067</v>
      </c>
    </row>
    <row r="291" spans="1:3" ht="17.25" thickBot="1">
      <c r="A291" s="4" t="s">
        <v>2068</v>
      </c>
      <c r="B291" s="5" t="s">
        <v>1603</v>
      </c>
      <c r="C291" s="6" t="s">
        <v>2069</v>
      </c>
    </row>
    <row r="292" spans="1:3">
      <c r="A292" s="92" t="s">
        <v>2070</v>
      </c>
      <c r="B292" s="8" t="s">
        <v>2041</v>
      </c>
      <c r="C292" s="91" t="s">
        <v>2071</v>
      </c>
    </row>
    <row r="293" spans="1:3" ht="17.25" thickBot="1">
      <c r="A293" s="98"/>
      <c r="B293" s="5" t="s">
        <v>1378</v>
      </c>
      <c r="C293" s="97"/>
    </row>
    <row r="294" spans="1:3" ht="17.25" thickBot="1">
      <c r="A294" s="4" t="s">
        <v>2072</v>
      </c>
      <c r="B294" s="5" t="s">
        <v>1566</v>
      </c>
      <c r="C294" s="6" t="s">
        <v>2073</v>
      </c>
    </row>
    <row r="295" spans="1:3">
      <c r="A295" s="92" t="s">
        <v>2074</v>
      </c>
      <c r="B295" s="91" t="s">
        <v>1603</v>
      </c>
      <c r="C295" s="7" t="s">
        <v>2075</v>
      </c>
    </row>
    <row r="296" spans="1:3" ht="17.25" thickBot="1">
      <c r="A296" s="98"/>
      <c r="B296" s="97"/>
      <c r="C296" s="5" t="s">
        <v>2076</v>
      </c>
    </row>
    <row r="297" spans="1:3">
      <c r="B297" s="114" t="s">
        <v>2077</v>
      </c>
      <c r="C297" s="114" t="s">
        <v>2078</v>
      </c>
    </row>
    <row r="298" spans="1:3" ht="17.25" thickBot="1">
      <c r="A298" s="115" t="s">
        <v>2079</v>
      </c>
      <c r="B298" s="115" t="s">
        <v>2080</v>
      </c>
    </row>
    <row r="299" spans="1:3" ht="17.25" thickBot="1">
      <c r="A299" s="102" t="s">
        <v>1591</v>
      </c>
      <c r="B299" s="103" t="s">
        <v>1592</v>
      </c>
      <c r="C299" s="103" t="s">
        <v>1593</v>
      </c>
    </row>
    <row r="300" spans="1:3" ht="17.25" thickBot="1">
      <c r="A300" s="4" t="s">
        <v>2081</v>
      </c>
      <c r="B300" s="5"/>
      <c r="C300" s="6" t="s">
        <v>2050</v>
      </c>
    </row>
    <row r="301" spans="1:3" ht="17.25" thickBot="1">
      <c r="A301" s="4" t="s">
        <v>2082</v>
      </c>
      <c r="B301" s="5"/>
      <c r="C301" s="6" t="s">
        <v>2083</v>
      </c>
    </row>
    <row r="302" spans="1:3" ht="17.25" thickBot="1">
      <c r="A302" s="4" t="s">
        <v>2084</v>
      </c>
      <c r="B302" s="5"/>
      <c r="C302" s="6" t="s">
        <v>2085</v>
      </c>
    </row>
    <row r="303" spans="1:3" ht="17.25" thickBot="1">
      <c r="A303" s="4" t="s">
        <v>2086</v>
      </c>
      <c r="B303" s="5"/>
      <c r="C303" s="6" t="s">
        <v>2087</v>
      </c>
    </row>
    <row r="304" spans="1:3" ht="17.25" thickBot="1">
      <c r="A304" s="4" t="s">
        <v>2088</v>
      </c>
      <c r="B304" s="5"/>
      <c r="C304" s="5" t="s">
        <v>2089</v>
      </c>
    </row>
    <row r="305" spans="1:3" ht="51.75" thickBot="1">
      <c r="A305" s="4" t="s">
        <v>2090</v>
      </c>
      <c r="B305" s="5"/>
      <c r="C305" s="6" t="s">
        <v>2091</v>
      </c>
    </row>
    <row r="306" spans="1:3" ht="17.25" thickBot="1">
      <c r="A306" s="4" t="s">
        <v>2092</v>
      </c>
      <c r="B306" s="5"/>
      <c r="C306" s="6" t="s">
        <v>2093</v>
      </c>
    </row>
    <row r="307" spans="1:3" ht="17.25" thickBot="1">
      <c r="A307" s="4" t="s">
        <v>2094</v>
      </c>
      <c r="B307" s="5" t="s">
        <v>1627</v>
      </c>
      <c r="C307" s="6" t="s">
        <v>2095</v>
      </c>
    </row>
    <row r="308" spans="1:3" ht="39" thickBot="1">
      <c r="A308" s="4" t="s">
        <v>1868</v>
      </c>
      <c r="B308" s="5" t="s">
        <v>0</v>
      </c>
      <c r="C308" s="6" t="s">
        <v>2096</v>
      </c>
    </row>
    <row r="309" spans="1:3" ht="17.25" thickBot="1">
      <c r="A309" s="4" t="s">
        <v>2097</v>
      </c>
      <c r="B309" s="5" t="s">
        <v>1566</v>
      </c>
      <c r="C309" s="5" t="s">
        <v>2098</v>
      </c>
    </row>
    <row r="310" spans="1:3">
      <c r="A310" s="92" t="s">
        <v>2099</v>
      </c>
      <c r="B310" s="91" t="s">
        <v>1603</v>
      </c>
      <c r="C310" s="8" t="s">
        <v>2100</v>
      </c>
    </row>
    <row r="311" spans="1:3" ht="17.25" thickBot="1">
      <c r="A311" s="98"/>
      <c r="B311" s="97"/>
      <c r="C311" s="5" t="s">
        <v>2101</v>
      </c>
    </row>
    <row r="312" spans="1:3" ht="17.25" thickBot="1">
      <c r="A312" s="4" t="s">
        <v>2102</v>
      </c>
      <c r="B312" s="5" t="s">
        <v>0</v>
      </c>
      <c r="C312" s="6" t="s">
        <v>2103</v>
      </c>
    </row>
    <row r="313" spans="1:3">
      <c r="A313" s="92" t="s">
        <v>2104</v>
      </c>
      <c r="B313" s="91" t="s">
        <v>0</v>
      </c>
      <c r="C313" s="8" t="s">
        <v>2105</v>
      </c>
    </row>
    <row r="314" spans="1:3" ht="17.25" thickBot="1">
      <c r="A314" s="98"/>
      <c r="B314" s="97"/>
      <c r="C314" s="5" t="s">
        <v>2106</v>
      </c>
    </row>
    <row r="315" spans="1:3">
      <c r="B315" s="114" t="s">
        <v>2107</v>
      </c>
      <c r="C315" s="114" t="s">
        <v>2108</v>
      </c>
    </row>
    <row r="316" spans="1:3" ht="17.25" thickBot="1">
      <c r="A316" s="115" t="s">
        <v>2109</v>
      </c>
      <c r="B316" s="115" t="s">
        <v>2110</v>
      </c>
    </row>
    <row r="317" spans="1:3" ht="17.25" thickBot="1">
      <c r="A317" s="102" t="s">
        <v>1591</v>
      </c>
      <c r="B317" s="103" t="s">
        <v>1635</v>
      </c>
      <c r="C317" s="103" t="s">
        <v>1593</v>
      </c>
    </row>
    <row r="318" spans="1:3">
      <c r="A318" s="92" t="s">
        <v>2111</v>
      </c>
      <c r="B318" s="8" t="s">
        <v>2112</v>
      </c>
      <c r="C318" s="91" t="s">
        <v>2114</v>
      </c>
    </row>
    <row r="319" spans="1:3" ht="17.25" thickBot="1">
      <c r="A319" s="98"/>
      <c r="B319" s="5" t="s">
        <v>2113</v>
      </c>
      <c r="C319" s="97"/>
    </row>
    <row r="320" spans="1:3">
      <c r="A320" s="92" t="s">
        <v>2115</v>
      </c>
      <c r="B320" s="7" t="s">
        <v>2116</v>
      </c>
      <c r="C320" s="91" t="s">
        <v>2117</v>
      </c>
    </row>
    <row r="321" spans="1:3">
      <c r="A321" s="171"/>
      <c r="B321" s="8" t="s">
        <v>1603</v>
      </c>
      <c r="C321" s="170"/>
    </row>
    <row r="322" spans="1:3" ht="17.25" thickBot="1">
      <c r="A322" s="98"/>
      <c r="B322" s="5" t="s">
        <v>1550</v>
      </c>
      <c r="C322" s="97"/>
    </row>
    <row r="323" spans="1:3" ht="17.25" thickBot="1">
      <c r="A323" s="4" t="s">
        <v>2118</v>
      </c>
      <c r="B323" s="5" t="s">
        <v>2119</v>
      </c>
      <c r="C323" s="6" t="s">
        <v>2120</v>
      </c>
    </row>
    <row r="324" spans="1:3">
      <c r="A324" s="92" t="s">
        <v>2121</v>
      </c>
      <c r="B324" s="7" t="s">
        <v>2116</v>
      </c>
      <c r="C324" s="91" t="s">
        <v>2122</v>
      </c>
    </row>
    <row r="325" spans="1:3">
      <c r="A325" s="171"/>
      <c r="B325" s="8" t="s">
        <v>1603</v>
      </c>
      <c r="C325" s="170"/>
    </row>
    <row r="326" spans="1:3" ht="17.25" thickBot="1">
      <c r="A326" s="98"/>
      <c r="B326" s="5" t="s">
        <v>1550</v>
      </c>
      <c r="C326" s="97"/>
    </row>
    <row r="327" spans="1:3">
      <c r="A327" s="92" t="s">
        <v>2123</v>
      </c>
      <c r="B327" s="7" t="s">
        <v>2124</v>
      </c>
      <c r="C327" s="91" t="s">
        <v>2126</v>
      </c>
    </row>
    <row r="328" spans="1:3" ht="17.25" thickBot="1">
      <c r="A328" s="98"/>
      <c r="B328" s="5" t="s">
        <v>2125</v>
      </c>
      <c r="C328" s="97"/>
    </row>
    <row r="329" spans="1:3">
      <c r="A329" s="176" t="s">
        <v>2127</v>
      </c>
      <c r="B329" s="8" t="s">
        <v>1566</v>
      </c>
      <c r="C329" s="91" t="s">
        <v>2128</v>
      </c>
    </row>
    <row r="330" spans="1:3" ht="17.25" thickBot="1">
      <c r="A330" s="177"/>
      <c r="B330" s="5" t="s">
        <v>1550</v>
      </c>
      <c r="C330" s="97"/>
    </row>
    <row r="331" spans="1:3" ht="25.5">
      <c r="A331" s="176" t="s">
        <v>2129</v>
      </c>
      <c r="B331" s="8" t="s">
        <v>2130</v>
      </c>
      <c r="C331" s="91" t="s">
        <v>2131</v>
      </c>
    </row>
    <row r="332" spans="1:3" ht="17.25" thickBot="1">
      <c r="A332" s="177"/>
      <c r="B332" s="5" t="s">
        <v>1550</v>
      </c>
      <c r="C332" s="97"/>
    </row>
    <row r="333" spans="1:3">
      <c r="A333" s="176" t="s">
        <v>2132</v>
      </c>
      <c r="B333" s="8" t="s">
        <v>0</v>
      </c>
      <c r="C333" s="91" t="s">
        <v>2134</v>
      </c>
    </row>
    <row r="334" spans="1:3" ht="17.25" thickBot="1">
      <c r="A334" s="177"/>
      <c r="B334" s="5" t="s">
        <v>2133</v>
      </c>
      <c r="C334" s="97"/>
    </row>
    <row r="335" spans="1:3" ht="25.5">
      <c r="A335" s="176" t="s">
        <v>2002</v>
      </c>
      <c r="B335" s="8" t="s">
        <v>0</v>
      </c>
      <c r="C335" s="91" t="s">
        <v>2135</v>
      </c>
    </row>
    <row r="336" spans="1:3" ht="17.25" thickBot="1">
      <c r="A336" s="177"/>
      <c r="B336" s="5" t="s">
        <v>1550</v>
      </c>
      <c r="C336" s="97"/>
    </row>
    <row r="337" spans="1:3" ht="26.25" thickBot="1">
      <c r="A337" s="4" t="s">
        <v>2138</v>
      </c>
      <c r="B337" s="6" t="s">
        <v>1632</v>
      </c>
      <c r="C337" s="6" t="s">
        <v>2139</v>
      </c>
    </row>
    <row r="338" spans="1:3" ht="39" thickBot="1">
      <c r="A338" s="4" t="s">
        <v>2140</v>
      </c>
      <c r="B338" s="6" t="s">
        <v>1632</v>
      </c>
      <c r="C338" s="6" t="s">
        <v>2141</v>
      </c>
    </row>
    <row r="339" spans="1:3" ht="17.25" thickBot="1">
      <c r="A339" s="4" t="s">
        <v>1775</v>
      </c>
      <c r="B339" s="6" t="s">
        <v>1632</v>
      </c>
      <c r="C339" s="5" t="s">
        <v>2142</v>
      </c>
    </row>
    <row r="340" spans="1:3" ht="17.25" thickBot="1">
      <c r="A340" s="4" t="s">
        <v>2143</v>
      </c>
      <c r="B340" s="6" t="s">
        <v>1632</v>
      </c>
      <c r="C340" s="6" t="s">
        <v>2144</v>
      </c>
    </row>
    <row r="341" spans="1:3" ht="17.25" thickBot="1">
      <c r="A341" s="4" t="s">
        <v>1903</v>
      </c>
      <c r="B341" s="5" t="s">
        <v>1603</v>
      </c>
      <c r="C341" s="5" t="s">
        <v>2145</v>
      </c>
    </row>
    <row r="342" spans="1:3" ht="17.25" thickBot="1">
      <c r="A342" s="4" t="s">
        <v>1912</v>
      </c>
      <c r="B342" s="5" t="s">
        <v>1603</v>
      </c>
      <c r="C342" s="5" t="s">
        <v>2146</v>
      </c>
    </row>
    <row r="343" spans="1:3" ht="17.25" thickBot="1">
      <c r="A343" s="4" t="s">
        <v>1915</v>
      </c>
      <c r="B343" s="5" t="s">
        <v>1624</v>
      </c>
      <c r="C343" s="5" t="s">
        <v>2014</v>
      </c>
    </row>
    <row r="344" spans="1:3" ht="27">
      <c r="A344" s="134" t="s">
        <v>2147</v>
      </c>
      <c r="B344" s="91" t="s">
        <v>1632</v>
      </c>
      <c r="C344" s="91" t="s">
        <v>2149</v>
      </c>
    </row>
    <row r="345" spans="1:3" ht="17.25" thickBot="1">
      <c r="A345" s="4" t="s">
        <v>2148</v>
      </c>
      <c r="B345" s="97"/>
      <c r="C345" s="97"/>
    </row>
    <row r="346" spans="1:3" ht="17.25" thickBot="1">
      <c r="A346" s="4" t="s">
        <v>2150</v>
      </c>
      <c r="B346" s="5" t="s">
        <v>1603</v>
      </c>
      <c r="C346" s="5" t="s">
        <v>2151</v>
      </c>
    </row>
    <row r="347" spans="1:3" ht="27.75" thickBot="1">
      <c r="A347" s="4" t="s">
        <v>2152</v>
      </c>
      <c r="B347" s="5" t="s">
        <v>1603</v>
      </c>
      <c r="C347" s="6" t="s">
        <v>2153</v>
      </c>
    </row>
    <row r="348" spans="1:3" ht="30.75" thickBot="1">
      <c r="A348" s="145" t="s">
        <v>2154</v>
      </c>
      <c r="B348" s="6" t="s">
        <v>1632</v>
      </c>
      <c r="C348" s="6" t="s">
        <v>2155</v>
      </c>
    </row>
    <row r="349" spans="1:3" ht="17.25" thickBot="1">
      <c r="A349" s="4" t="s">
        <v>2015</v>
      </c>
      <c r="B349" s="6" t="s">
        <v>1632</v>
      </c>
      <c r="C349" s="6" t="s">
        <v>2156</v>
      </c>
    </row>
    <row r="350" spans="1:3">
      <c r="A350" s="92" t="s">
        <v>2023</v>
      </c>
      <c r="B350" s="8" t="s">
        <v>66</v>
      </c>
      <c r="C350" s="91" t="s">
        <v>2158</v>
      </c>
    </row>
    <row r="351" spans="1:3" ht="17.25" thickBot="1">
      <c r="A351" s="98"/>
      <c r="B351" s="5" t="s">
        <v>2157</v>
      </c>
      <c r="C351" s="97"/>
    </row>
    <row r="352" spans="1:3" ht="17.25" thickBot="1">
      <c r="A352" s="4" t="s">
        <v>2021</v>
      </c>
      <c r="B352" s="6" t="s">
        <v>1632</v>
      </c>
      <c r="C352" s="5" t="s">
        <v>2022</v>
      </c>
    </row>
    <row r="353" spans="1:3" ht="27.75" thickBot="1">
      <c r="A353" s="4" t="s">
        <v>2017</v>
      </c>
      <c r="B353" s="6" t="s">
        <v>1632</v>
      </c>
      <c r="C353" s="6" t="s">
        <v>2159</v>
      </c>
    </row>
    <row r="354" spans="1:3" ht="17.25" thickBot="1">
      <c r="A354" s="99" t="s">
        <v>1591</v>
      </c>
      <c r="B354" s="100" t="s">
        <v>1592</v>
      </c>
      <c r="C354" s="100" t="s">
        <v>1593</v>
      </c>
    </row>
    <row r="355" spans="1:3" ht="17.25" thickBot="1">
      <c r="A355" s="4" t="s">
        <v>2019</v>
      </c>
      <c r="B355" s="5" t="s">
        <v>1625</v>
      </c>
      <c r="C355" s="6" t="s">
        <v>2160</v>
      </c>
    </row>
    <row r="356" spans="1:3" ht="17.25" thickBot="1">
      <c r="A356" s="4" t="s">
        <v>1922</v>
      </c>
      <c r="B356" s="5" t="s">
        <v>1566</v>
      </c>
      <c r="C356" s="5" t="s">
        <v>2161</v>
      </c>
    </row>
    <row r="357" spans="1:3" ht="17.25" thickBot="1">
      <c r="A357" s="4" t="s">
        <v>1924</v>
      </c>
      <c r="B357" s="5" t="s">
        <v>1603</v>
      </c>
      <c r="C357" s="5" t="s">
        <v>2162</v>
      </c>
    </row>
    <row r="358" spans="1:3">
      <c r="A358" s="92" t="s">
        <v>2025</v>
      </c>
      <c r="B358" s="91" t="s">
        <v>1603</v>
      </c>
      <c r="C358" s="8" t="s">
        <v>2026</v>
      </c>
    </row>
    <row r="359" spans="1:3" ht="51.75" thickBot="1">
      <c r="A359" s="98"/>
      <c r="B359" s="97"/>
      <c r="C359" s="6" t="s">
        <v>2027</v>
      </c>
    </row>
    <row r="360" spans="1:3" ht="26.25" thickBot="1">
      <c r="A360" s="4" t="s">
        <v>2163</v>
      </c>
      <c r="B360" s="5" t="s">
        <v>1603</v>
      </c>
      <c r="C360" s="6" t="s">
        <v>2164</v>
      </c>
    </row>
    <row r="361" spans="1:3" ht="17.25" thickBot="1">
      <c r="A361" s="4" t="s">
        <v>2165</v>
      </c>
      <c r="B361" s="6" t="s">
        <v>1632</v>
      </c>
      <c r="C361" s="6" t="s">
        <v>2166</v>
      </c>
    </row>
    <row r="362" spans="1:3" ht="17.25" thickBot="1">
      <c r="A362" s="4" t="s">
        <v>2167</v>
      </c>
      <c r="B362" s="6" t="s">
        <v>1632</v>
      </c>
      <c r="C362" s="6" t="s">
        <v>2168</v>
      </c>
    </row>
    <row r="363" spans="1:3" ht="27.75" thickBot="1">
      <c r="A363" s="4" t="s">
        <v>2169</v>
      </c>
      <c r="B363" s="6" t="s">
        <v>1632</v>
      </c>
      <c r="C363" s="5" t="s">
        <v>2170</v>
      </c>
    </row>
    <row r="364" spans="1:3">
      <c r="B364" s="114" t="s">
        <v>2171</v>
      </c>
      <c r="C364" s="114" t="s">
        <v>2172</v>
      </c>
    </row>
    <row r="365" spans="1:3" ht="17.25" thickBot="1">
      <c r="A365" s="115" t="s">
        <v>2178</v>
      </c>
      <c r="B365" s="115" t="s">
        <v>2179</v>
      </c>
    </row>
    <row r="366" spans="1:3" ht="17.25" thickBot="1">
      <c r="A366" s="102" t="s">
        <v>4929</v>
      </c>
      <c r="B366" s="103" t="s">
        <v>1635</v>
      </c>
      <c r="C366" s="103" t="s">
        <v>1593</v>
      </c>
    </row>
    <row r="367" spans="1:3" ht="17.25" thickBot="1">
      <c r="A367" s="104" t="s">
        <v>2181</v>
      </c>
      <c r="B367" s="5" t="s">
        <v>2182</v>
      </c>
      <c r="C367" s="5" t="s">
        <v>2183</v>
      </c>
    </row>
    <row r="368" spans="1:3" ht="17.25" thickBot="1">
      <c r="A368" s="104" t="s">
        <v>2184</v>
      </c>
      <c r="B368" s="5" t="s">
        <v>1559</v>
      </c>
      <c r="C368" s="5" t="s">
        <v>2185</v>
      </c>
    </row>
    <row r="369" spans="1:3" ht="17.25" thickBot="1">
      <c r="A369" s="104" t="s">
        <v>2186</v>
      </c>
      <c r="B369" s="5" t="s">
        <v>2187</v>
      </c>
      <c r="C369" s="5" t="s">
        <v>2188</v>
      </c>
    </row>
    <row r="370" spans="1:3" ht="26.25" thickBot="1">
      <c r="A370" s="104" t="s">
        <v>2190</v>
      </c>
      <c r="B370" s="5" t="s">
        <v>1632</v>
      </c>
      <c r="C370" s="6" t="s">
        <v>2191</v>
      </c>
    </row>
    <row r="371" spans="1:3" ht="17.25" thickBot="1">
      <c r="A371" s="104" t="s">
        <v>2192</v>
      </c>
      <c r="B371" s="5" t="s">
        <v>1603</v>
      </c>
      <c r="C371" s="5" t="s">
        <v>2193</v>
      </c>
    </row>
    <row r="372" spans="1:3" ht="17.25" thickBot="1">
      <c r="A372" s="104" t="s">
        <v>2194</v>
      </c>
      <c r="B372" s="5" t="s">
        <v>1603</v>
      </c>
      <c r="C372" s="5" t="s">
        <v>2195</v>
      </c>
    </row>
    <row r="373" spans="1:3" ht="17.25" thickBot="1">
      <c r="A373" s="104" t="s">
        <v>2196</v>
      </c>
      <c r="B373" s="5" t="s">
        <v>1624</v>
      </c>
      <c r="C373" s="5" t="s">
        <v>2197</v>
      </c>
    </row>
    <row r="374" spans="1:3" ht="17.25" thickBot="1">
      <c r="A374" s="104" t="s">
        <v>2198</v>
      </c>
      <c r="B374" s="5" t="s">
        <v>1625</v>
      </c>
      <c r="C374" s="5" t="s">
        <v>2160</v>
      </c>
    </row>
    <row r="375" spans="1:3" ht="17.25" thickBot="1">
      <c r="A375" s="104" t="s">
        <v>2199</v>
      </c>
      <c r="B375" s="5" t="s">
        <v>1566</v>
      </c>
      <c r="C375" s="5" t="s">
        <v>2200</v>
      </c>
    </row>
    <row r="376" spans="1:3">
      <c r="A376" s="190"/>
      <c r="B376" s="114" t="s">
        <v>2219</v>
      </c>
      <c r="C376" s="190"/>
    </row>
    <row r="377" spans="1:3" ht="17.25" thickBot="1">
      <c r="A377" s="115" t="s">
        <v>2202</v>
      </c>
      <c r="B377" s="115" t="s">
        <v>2203</v>
      </c>
    </row>
    <row r="378" spans="1:3" ht="17.25" thickBot="1">
      <c r="A378" s="102" t="s">
        <v>1591</v>
      </c>
      <c r="B378" s="103" t="s">
        <v>1592</v>
      </c>
      <c r="C378" s="103" t="s">
        <v>1593</v>
      </c>
    </row>
    <row r="379" spans="1:3" ht="27">
      <c r="A379" s="92" t="s">
        <v>2204</v>
      </c>
      <c r="B379" s="91"/>
      <c r="C379" s="8" t="s">
        <v>2205</v>
      </c>
    </row>
    <row r="380" spans="1:3" ht="38.25">
      <c r="A380" s="171"/>
      <c r="B380" s="170"/>
      <c r="C380" s="7" t="s">
        <v>2206</v>
      </c>
    </row>
    <row r="381" spans="1:3">
      <c r="A381" s="171"/>
      <c r="B381" s="170"/>
      <c r="C381" s="7" t="s">
        <v>2207</v>
      </c>
    </row>
    <row r="382" spans="1:3" ht="17.25" thickBot="1">
      <c r="A382" s="98"/>
      <c r="B382" s="97"/>
      <c r="C382" s="5" t="s">
        <v>2208</v>
      </c>
    </row>
    <row r="383" spans="1:3" ht="17.25" thickBot="1">
      <c r="A383" s="4" t="s">
        <v>2209</v>
      </c>
      <c r="B383" s="5"/>
      <c r="C383" s="6" t="s">
        <v>2210</v>
      </c>
    </row>
    <row r="384" spans="1:3" ht="17.25" thickBot="1">
      <c r="A384" s="4" t="s">
        <v>2211</v>
      </c>
      <c r="B384" s="5"/>
      <c r="C384" s="6" t="s">
        <v>2212</v>
      </c>
    </row>
    <row r="385" spans="1:3" ht="17.25" thickBot="1">
      <c r="A385" s="4" t="s">
        <v>2213</v>
      </c>
      <c r="B385" s="5"/>
      <c r="C385" s="6" t="s">
        <v>2214</v>
      </c>
    </row>
    <row r="386" spans="1:3" ht="17.25" thickBot="1">
      <c r="A386" s="4" t="s">
        <v>2215</v>
      </c>
      <c r="B386" s="5" t="s">
        <v>1603</v>
      </c>
      <c r="C386" s="6" t="s">
        <v>2216</v>
      </c>
    </row>
    <row r="387" spans="1:3" ht="17.25" thickBot="1">
      <c r="A387" s="4" t="s">
        <v>2217</v>
      </c>
      <c r="B387" s="5" t="s">
        <v>1603</v>
      </c>
      <c r="C387" s="5" t="s">
        <v>2218</v>
      </c>
    </row>
    <row r="388" spans="1:3">
      <c r="B388" s="114" t="s">
        <v>2219</v>
      </c>
      <c r="C388" s="114" t="s">
        <v>2220</v>
      </c>
    </row>
    <row r="389" spans="1:3" ht="17.25" thickBot="1">
      <c r="A389" s="115" t="s">
        <v>2221</v>
      </c>
      <c r="B389" s="115" t="s">
        <v>2222</v>
      </c>
    </row>
    <row r="390" spans="1:3" ht="17.25" thickBot="1">
      <c r="A390" s="102" t="s">
        <v>1591</v>
      </c>
      <c r="B390" s="103" t="s">
        <v>1592</v>
      </c>
      <c r="C390" s="103" t="s">
        <v>1593</v>
      </c>
    </row>
    <row r="391" spans="1:3" ht="17.25" thickBot="1">
      <c r="A391" s="4" t="s">
        <v>2223</v>
      </c>
      <c r="B391" s="5" t="s">
        <v>1604</v>
      </c>
      <c r="C391" s="6" t="s">
        <v>2224</v>
      </c>
    </row>
    <row r="392" spans="1:3" ht="27">
      <c r="A392" s="96" t="s">
        <v>2225</v>
      </c>
      <c r="B392" s="91" t="s">
        <v>1604</v>
      </c>
      <c r="C392" s="7" t="s">
        <v>2227</v>
      </c>
    </row>
    <row r="393" spans="1:3" ht="17.25" thickBot="1">
      <c r="A393" s="4" t="s">
        <v>2226</v>
      </c>
      <c r="B393" s="97"/>
      <c r="C393" s="5" t="s">
        <v>2228</v>
      </c>
    </row>
    <row r="394" spans="1:3" ht="25.5">
      <c r="A394" s="96" t="s">
        <v>2229</v>
      </c>
      <c r="B394" s="91" t="s">
        <v>1604</v>
      </c>
      <c r="C394" s="7" t="s">
        <v>2232</v>
      </c>
    </row>
    <row r="395" spans="1:3">
      <c r="A395" s="96" t="s">
        <v>2230</v>
      </c>
      <c r="B395" s="170"/>
      <c r="C395" s="8" t="s">
        <v>2233</v>
      </c>
    </row>
    <row r="396" spans="1:3" ht="17.25" thickBot="1">
      <c r="A396" s="4" t="s">
        <v>2231</v>
      </c>
      <c r="B396" s="97"/>
      <c r="C396" s="136"/>
    </row>
    <row r="397" spans="1:3" ht="27">
      <c r="A397" s="96" t="s">
        <v>2225</v>
      </c>
      <c r="B397" s="91" t="s">
        <v>1604</v>
      </c>
      <c r="C397" s="91" t="s">
        <v>2236</v>
      </c>
    </row>
    <row r="398" spans="1:3">
      <c r="A398" s="96" t="s">
        <v>2234</v>
      </c>
      <c r="B398" s="170"/>
      <c r="C398" s="170"/>
    </row>
    <row r="399" spans="1:3" ht="27.75" thickBot="1">
      <c r="A399" s="4" t="s">
        <v>2235</v>
      </c>
      <c r="B399" s="97"/>
      <c r="C399" s="97"/>
    </row>
    <row r="400" spans="1:3" ht="25.5">
      <c r="A400" s="96" t="s">
        <v>2229</v>
      </c>
      <c r="B400" s="91" t="s">
        <v>1604</v>
      </c>
      <c r="C400" s="7" t="s">
        <v>2232</v>
      </c>
    </row>
    <row r="401" spans="1:3" ht="41.25" thickBot="1">
      <c r="A401" s="4" t="s">
        <v>2237</v>
      </c>
      <c r="B401" s="97"/>
      <c r="C401" s="5" t="s">
        <v>2233</v>
      </c>
    </row>
    <row r="402" spans="1:3" ht="68.25" thickBot="1">
      <c r="A402" s="4" t="s">
        <v>2238</v>
      </c>
      <c r="B402" s="5" t="s">
        <v>1604</v>
      </c>
      <c r="C402" s="6" t="s">
        <v>2239</v>
      </c>
    </row>
    <row r="403" spans="1:3" ht="40.5">
      <c r="A403" s="96" t="s">
        <v>2240</v>
      </c>
      <c r="B403" s="91" t="s">
        <v>1604</v>
      </c>
      <c r="C403" s="7" t="s">
        <v>2232</v>
      </c>
    </row>
    <row r="404" spans="1:3">
      <c r="A404" s="96" t="s">
        <v>2241</v>
      </c>
      <c r="B404" s="170"/>
      <c r="C404" s="8" t="s">
        <v>2233</v>
      </c>
    </row>
    <row r="405" spans="1:3" ht="17.25" thickBot="1">
      <c r="A405" s="4" t="s">
        <v>2242</v>
      </c>
      <c r="B405" s="97"/>
      <c r="C405" s="136"/>
    </row>
    <row r="406" spans="1:3" ht="17.25" thickBot="1">
      <c r="A406" s="4" t="s">
        <v>2243</v>
      </c>
      <c r="B406" s="5" t="s">
        <v>0</v>
      </c>
      <c r="C406" s="6" t="s">
        <v>2244</v>
      </c>
    </row>
    <row r="407" spans="1:3" ht="26.25" thickBot="1">
      <c r="A407" s="4" t="s">
        <v>2245</v>
      </c>
      <c r="B407" s="5" t="s">
        <v>1566</v>
      </c>
      <c r="C407" s="6" t="s">
        <v>2246</v>
      </c>
    </row>
    <row r="408" spans="1:3" ht="17.25" thickBot="1">
      <c r="A408" s="4" t="s">
        <v>2247</v>
      </c>
      <c r="B408" s="5" t="s">
        <v>1566</v>
      </c>
      <c r="C408" s="6" t="s">
        <v>2248</v>
      </c>
    </row>
    <row r="409" spans="1:3" ht="17.25" thickBot="1">
      <c r="A409" s="4" t="s">
        <v>2249</v>
      </c>
      <c r="B409" s="5" t="s">
        <v>0</v>
      </c>
      <c r="C409" s="6" t="s">
        <v>2250</v>
      </c>
    </row>
    <row r="410" spans="1:3" ht="26.25" thickBot="1">
      <c r="A410" s="4" t="s">
        <v>2251</v>
      </c>
      <c r="B410" s="5" t="s">
        <v>1566</v>
      </c>
      <c r="C410" s="6" t="s">
        <v>2252</v>
      </c>
    </row>
    <row r="411" spans="1:3" ht="17.25" thickBot="1">
      <c r="A411" s="4" t="s">
        <v>2253</v>
      </c>
      <c r="B411" s="5" t="s">
        <v>1566</v>
      </c>
      <c r="C411" s="6" t="s">
        <v>2254</v>
      </c>
    </row>
    <row r="412" spans="1:3" ht="17.25" thickBot="1">
      <c r="A412" s="4" t="s">
        <v>2255</v>
      </c>
      <c r="B412" s="5" t="s">
        <v>0</v>
      </c>
      <c r="C412" s="6" t="s">
        <v>2256</v>
      </c>
    </row>
    <row r="413" spans="1:3" ht="17.25" thickBot="1">
      <c r="A413" s="4" t="s">
        <v>2257</v>
      </c>
      <c r="B413" s="5" t="s">
        <v>0</v>
      </c>
      <c r="C413" s="6" t="s">
        <v>2258</v>
      </c>
    </row>
    <row r="414" spans="1:3" ht="26.25" thickBot="1">
      <c r="A414" s="4" t="s">
        <v>2259</v>
      </c>
      <c r="B414" s="5" t="s">
        <v>1603</v>
      </c>
      <c r="C414" s="6" t="s">
        <v>2260</v>
      </c>
    </row>
    <row r="415" spans="1:3" ht="17.25" thickBot="1">
      <c r="A415" s="4" t="s">
        <v>2261</v>
      </c>
      <c r="B415" s="5" t="s">
        <v>0</v>
      </c>
      <c r="C415" s="6" t="s">
        <v>2262</v>
      </c>
    </row>
    <row r="416" spans="1:3" ht="17.25" thickBot="1">
      <c r="A416" s="4" t="s">
        <v>2263</v>
      </c>
      <c r="B416" s="5" t="s">
        <v>0</v>
      </c>
      <c r="C416" s="5" t="s">
        <v>2264</v>
      </c>
    </row>
    <row r="417" spans="1:3">
      <c r="B417" s="114" t="s">
        <v>2265</v>
      </c>
      <c r="C417" s="114" t="s">
        <v>2266</v>
      </c>
    </row>
    <row r="418" spans="1:3" ht="17.25" thickBot="1">
      <c r="A418" s="115" t="s">
        <v>2267</v>
      </c>
      <c r="B418" s="115" t="s">
        <v>2268</v>
      </c>
    </row>
    <row r="419" spans="1:3" ht="17.25" thickBot="1">
      <c r="A419" s="102" t="s">
        <v>1591</v>
      </c>
      <c r="B419" s="103" t="s">
        <v>1635</v>
      </c>
      <c r="C419" s="103" t="s">
        <v>1593</v>
      </c>
    </row>
    <row r="420" spans="1:3" ht="17.25" thickBot="1">
      <c r="A420" s="4" t="s">
        <v>2269</v>
      </c>
      <c r="B420" s="5" t="s">
        <v>1603</v>
      </c>
      <c r="C420" s="6" t="s">
        <v>2270</v>
      </c>
    </row>
    <row r="421" spans="1:3" ht="17.25" thickBot="1">
      <c r="A421" s="4" t="s">
        <v>2271</v>
      </c>
      <c r="B421" s="5" t="s">
        <v>1603</v>
      </c>
      <c r="C421" s="6" t="s">
        <v>2272</v>
      </c>
    </row>
    <row r="422" spans="1:3">
      <c r="A422" s="92" t="s">
        <v>2273</v>
      </c>
      <c r="B422" s="91" t="s">
        <v>1603</v>
      </c>
      <c r="C422" s="8" t="s">
        <v>2274</v>
      </c>
    </row>
    <row r="423" spans="1:3">
      <c r="A423" s="171"/>
      <c r="B423" s="170"/>
      <c r="C423" s="8" t="s">
        <v>2275</v>
      </c>
    </row>
    <row r="424" spans="1:3" ht="17.25" thickBot="1">
      <c r="A424" s="98"/>
      <c r="B424" s="97"/>
      <c r="C424" s="5" t="s">
        <v>2276</v>
      </c>
    </row>
    <row r="425" spans="1:3">
      <c r="A425" s="92" t="s">
        <v>2277</v>
      </c>
      <c r="B425" s="91" t="s">
        <v>1603</v>
      </c>
      <c r="C425" s="7" t="s">
        <v>2278</v>
      </c>
    </row>
    <row r="426" spans="1:3" ht="17.25" thickBot="1">
      <c r="A426" s="98"/>
      <c r="B426" s="97"/>
      <c r="C426" s="5" t="s">
        <v>2279</v>
      </c>
    </row>
    <row r="427" spans="1:3" ht="17.25" thickBot="1">
      <c r="A427" s="4" t="s">
        <v>2280</v>
      </c>
      <c r="B427" s="5" t="s">
        <v>1603</v>
      </c>
      <c r="C427" s="5" t="s">
        <v>2281</v>
      </c>
    </row>
    <row r="428" spans="1:3" ht="17.25" thickBot="1">
      <c r="A428" s="4" t="s">
        <v>2282</v>
      </c>
      <c r="B428" s="5" t="s">
        <v>1603</v>
      </c>
      <c r="C428" s="5" t="s">
        <v>2283</v>
      </c>
    </row>
    <row r="429" spans="1:3" ht="17.25" thickBot="1">
      <c r="A429" s="4" t="s">
        <v>2284</v>
      </c>
      <c r="B429" s="5" t="s">
        <v>1603</v>
      </c>
      <c r="C429" s="5" t="s">
        <v>2285</v>
      </c>
    </row>
    <row r="430" spans="1:3" ht="17.25" thickBot="1">
      <c r="A430" s="4" t="s">
        <v>2286</v>
      </c>
      <c r="B430" s="5" t="s">
        <v>1622</v>
      </c>
      <c r="C430" s="5" t="s">
        <v>2287</v>
      </c>
    </row>
    <row r="431" spans="1:3" ht="17.25" thickBot="1">
      <c r="A431" s="4" t="s">
        <v>1635</v>
      </c>
      <c r="B431" s="5" t="s">
        <v>1603</v>
      </c>
      <c r="C431" s="5" t="s">
        <v>2288</v>
      </c>
    </row>
    <row r="432" spans="1:3" ht="17.25" thickBot="1">
      <c r="A432" s="4" t="s">
        <v>2289</v>
      </c>
      <c r="B432" s="5" t="s">
        <v>1603</v>
      </c>
      <c r="C432" s="6" t="s">
        <v>2290</v>
      </c>
    </row>
    <row r="433" spans="1:3" ht="25.5">
      <c r="A433" s="92" t="s">
        <v>2291</v>
      </c>
      <c r="B433" s="91" t="s">
        <v>1603</v>
      </c>
      <c r="C433" s="7" t="s">
        <v>2292</v>
      </c>
    </row>
    <row r="434" spans="1:3" ht="17.25" thickBot="1">
      <c r="A434" s="98"/>
      <c r="B434" s="97"/>
      <c r="C434" s="5" t="s">
        <v>2293</v>
      </c>
    </row>
    <row r="435" spans="1:3" ht="17.25" thickBot="1">
      <c r="A435" s="4" t="s">
        <v>2296</v>
      </c>
      <c r="B435" s="5" t="s">
        <v>1599</v>
      </c>
      <c r="C435" s="6" t="s">
        <v>2297</v>
      </c>
    </row>
    <row r="436" spans="1:3" ht="17.25" thickBot="1">
      <c r="A436" s="4" t="s">
        <v>1848</v>
      </c>
      <c r="B436" s="5" t="s">
        <v>0</v>
      </c>
      <c r="C436" s="5" t="s">
        <v>2298</v>
      </c>
    </row>
    <row r="437" spans="1:3" ht="17.25" thickBot="1">
      <c r="A437" s="4" t="s">
        <v>2299</v>
      </c>
      <c r="B437" s="5" t="s">
        <v>2300</v>
      </c>
      <c r="C437" s="5" t="s">
        <v>2301</v>
      </c>
    </row>
    <row r="438" spans="1:3" ht="17.25" thickBot="1">
      <c r="A438" s="4" t="s">
        <v>2302</v>
      </c>
      <c r="B438" s="5" t="s">
        <v>1617</v>
      </c>
      <c r="C438" s="5" t="s">
        <v>2303</v>
      </c>
    </row>
    <row r="439" spans="1:3" ht="17.25" thickBot="1">
      <c r="A439" s="4" t="s">
        <v>2304</v>
      </c>
      <c r="B439" s="5" t="s">
        <v>626</v>
      </c>
      <c r="C439" s="5" t="s">
        <v>2305</v>
      </c>
    </row>
    <row r="440" spans="1:3" ht="17.25" thickBot="1">
      <c r="A440" s="4" t="s">
        <v>2306</v>
      </c>
      <c r="B440" s="5" t="s">
        <v>626</v>
      </c>
      <c r="C440" s="6" t="s">
        <v>2307</v>
      </c>
    </row>
    <row r="441" spans="1:3">
      <c r="B441" s="114" t="s">
        <v>2308</v>
      </c>
      <c r="C441" s="114" t="s">
        <v>2309</v>
      </c>
    </row>
    <row r="442" spans="1:3" ht="17.25" thickBot="1">
      <c r="A442" s="115" t="s">
        <v>2310</v>
      </c>
      <c r="B442" s="115" t="s">
        <v>2311</v>
      </c>
    </row>
    <row r="443" spans="1:3" ht="17.25" thickBot="1">
      <c r="A443" s="102" t="s">
        <v>1591</v>
      </c>
      <c r="B443" s="103" t="s">
        <v>1592</v>
      </c>
      <c r="C443" s="103" t="s">
        <v>1593</v>
      </c>
    </row>
    <row r="444" spans="1:3" ht="17.25" thickBot="1">
      <c r="A444" s="4" t="s">
        <v>2312</v>
      </c>
      <c r="B444" s="5" t="s">
        <v>1557</v>
      </c>
      <c r="C444" s="6" t="s">
        <v>2313</v>
      </c>
    </row>
    <row r="445" spans="1:3" ht="27.75" thickBot="1">
      <c r="A445" s="4" t="s">
        <v>2314</v>
      </c>
      <c r="B445" s="5" t="s">
        <v>1557</v>
      </c>
      <c r="C445" s="6" t="s">
        <v>1948</v>
      </c>
    </row>
    <row r="446" spans="1:3" ht="27.75" thickBot="1">
      <c r="A446" s="4" t="s">
        <v>2315</v>
      </c>
      <c r="B446" s="5" t="s">
        <v>1628</v>
      </c>
      <c r="C446" s="6" t="s">
        <v>2316</v>
      </c>
    </row>
    <row r="447" spans="1:3" ht="26.25" thickBot="1">
      <c r="A447" s="4" t="s">
        <v>1629</v>
      </c>
      <c r="B447" s="5" t="s">
        <v>2317</v>
      </c>
      <c r="C447" s="6" t="s">
        <v>2318</v>
      </c>
    </row>
    <row r="448" spans="1:3" ht="17.25" thickBot="1">
      <c r="A448" s="4" t="s">
        <v>2319</v>
      </c>
      <c r="B448" s="5" t="s">
        <v>1566</v>
      </c>
      <c r="C448" s="6" t="s">
        <v>2320</v>
      </c>
    </row>
    <row r="449" spans="1:3">
      <c r="A449" s="92" t="s">
        <v>1631</v>
      </c>
      <c r="B449" s="91" t="s">
        <v>1632</v>
      </c>
      <c r="C449" s="7" t="s">
        <v>2321</v>
      </c>
    </row>
    <row r="450" spans="1:3" ht="17.25" thickBot="1">
      <c r="A450" s="98"/>
      <c r="B450" s="97"/>
      <c r="C450" s="6" t="s">
        <v>2322</v>
      </c>
    </row>
    <row r="451" spans="1:3" ht="17.25" thickBot="1">
      <c r="A451" s="4" t="s">
        <v>2323</v>
      </c>
      <c r="B451" s="5" t="s">
        <v>0</v>
      </c>
      <c r="C451" s="6" t="s">
        <v>2324</v>
      </c>
    </row>
    <row r="452" spans="1:3" ht="17.25" thickBot="1">
      <c r="A452" s="4" t="s">
        <v>2325</v>
      </c>
      <c r="B452" s="5" t="s">
        <v>0</v>
      </c>
      <c r="C452" s="5" t="s">
        <v>2326</v>
      </c>
    </row>
    <row r="453" spans="1:3" ht="17.25" thickBot="1">
      <c r="A453" s="4" t="s">
        <v>2327</v>
      </c>
      <c r="B453" s="5" t="s">
        <v>1603</v>
      </c>
      <c r="C453" s="6" t="s">
        <v>2328</v>
      </c>
    </row>
    <row r="454" spans="1:3">
      <c r="A454" s="92" t="s">
        <v>2329</v>
      </c>
      <c r="B454" s="91" t="s">
        <v>1608</v>
      </c>
      <c r="C454" s="7" t="s">
        <v>2330</v>
      </c>
    </row>
    <row r="455" spans="1:3" ht="17.25" thickBot="1">
      <c r="A455" s="98"/>
      <c r="B455" s="97"/>
      <c r="C455" s="5" t="s">
        <v>2331</v>
      </c>
    </row>
    <row r="456" spans="1:3" ht="17.25" thickBot="1">
      <c r="A456" s="4" t="s">
        <v>2332</v>
      </c>
      <c r="B456" s="5" t="s">
        <v>1620</v>
      </c>
      <c r="C456" s="6" t="s">
        <v>2333</v>
      </c>
    </row>
    <row r="457" spans="1:3" ht="17.25" thickBot="1">
      <c r="A457" s="4" t="s">
        <v>2334</v>
      </c>
      <c r="B457" s="6" t="s">
        <v>1561</v>
      </c>
      <c r="C457" s="6" t="s">
        <v>2335</v>
      </c>
    </row>
    <row r="458" spans="1:3">
      <c r="B458" s="114" t="s">
        <v>2336</v>
      </c>
      <c r="C458" s="114" t="s">
        <v>2309</v>
      </c>
    </row>
    <row r="459" spans="1:3" ht="17.25" thickBot="1">
      <c r="A459" s="115" t="s">
        <v>2337</v>
      </c>
      <c r="B459" s="115" t="s">
        <v>2338</v>
      </c>
    </row>
    <row r="460" spans="1:3" ht="17.25" thickBot="1">
      <c r="A460" s="102" t="s">
        <v>1591</v>
      </c>
      <c r="B460" s="103" t="s">
        <v>1592</v>
      </c>
      <c r="C460" s="103" t="s">
        <v>1593</v>
      </c>
    </row>
    <row r="461" spans="1:3" ht="17.25" thickBot="1">
      <c r="A461" s="4" t="s">
        <v>2284</v>
      </c>
      <c r="B461" s="5" t="s">
        <v>0</v>
      </c>
      <c r="C461" s="5" t="s">
        <v>2339</v>
      </c>
    </row>
    <row r="462" spans="1:3" ht="17.25" thickBot="1">
      <c r="A462" s="4" t="s">
        <v>1598</v>
      </c>
      <c r="B462" s="5" t="s">
        <v>1603</v>
      </c>
      <c r="C462" s="5" t="s">
        <v>2340</v>
      </c>
    </row>
    <row r="463" spans="1:3" ht="17.25" thickBot="1">
      <c r="A463" s="4" t="s">
        <v>2341</v>
      </c>
      <c r="B463" s="5" t="s">
        <v>1603</v>
      </c>
      <c r="C463" s="5" t="s">
        <v>2342</v>
      </c>
    </row>
    <row r="464" spans="1:3" ht="17.25" thickBot="1">
      <c r="A464" s="4" t="s">
        <v>2343</v>
      </c>
      <c r="B464" s="5" t="s">
        <v>1603</v>
      </c>
      <c r="C464" s="5" t="s">
        <v>2344</v>
      </c>
    </row>
    <row r="465" spans="1:3">
      <c r="B465" s="114" t="s">
        <v>2345</v>
      </c>
      <c r="C465" s="114" t="s">
        <v>2346</v>
      </c>
    </row>
    <row r="466" spans="1:3" ht="17.25" thickBot="1">
      <c r="A466" s="115" t="s">
        <v>2347</v>
      </c>
      <c r="B466" s="115" t="s">
        <v>2348</v>
      </c>
    </row>
    <row r="467" spans="1:3" ht="17.25" thickBot="1">
      <c r="A467" s="102" t="s">
        <v>1591</v>
      </c>
      <c r="B467" s="103" t="s">
        <v>1635</v>
      </c>
      <c r="C467" s="103" t="s">
        <v>1593</v>
      </c>
    </row>
    <row r="468" spans="1:3" ht="25.5">
      <c r="A468" s="92" t="s">
        <v>1549</v>
      </c>
      <c r="B468" s="8" t="s">
        <v>0</v>
      </c>
      <c r="C468" s="91" t="s">
        <v>1551</v>
      </c>
    </row>
    <row r="469" spans="1:3" ht="17.25" thickBot="1">
      <c r="A469" s="98"/>
      <c r="B469" s="5" t="s">
        <v>2349</v>
      </c>
      <c r="C469" s="97"/>
    </row>
    <row r="470" spans="1:3" ht="25.5">
      <c r="A470" s="92" t="s">
        <v>1552</v>
      </c>
      <c r="B470" s="8" t="s">
        <v>0</v>
      </c>
      <c r="C470" s="91" t="s">
        <v>1553</v>
      </c>
    </row>
    <row r="471" spans="1:3" ht="17.25" thickBot="1">
      <c r="A471" s="98"/>
      <c r="B471" s="5" t="s">
        <v>2349</v>
      </c>
      <c r="C471" s="97"/>
    </row>
    <row r="472" spans="1:3" ht="25.5">
      <c r="A472" s="92" t="s">
        <v>1554</v>
      </c>
      <c r="B472" s="8" t="s">
        <v>0</v>
      </c>
      <c r="C472" s="91" t="s">
        <v>1555</v>
      </c>
    </row>
    <row r="473" spans="1:3" ht="17.25" thickBot="1">
      <c r="A473" s="98"/>
      <c r="B473" s="5" t="s">
        <v>2349</v>
      </c>
      <c r="C473" s="97"/>
    </row>
    <row r="474" spans="1:3" ht="25.5">
      <c r="A474" s="92" t="s">
        <v>1556</v>
      </c>
      <c r="B474" s="8" t="s">
        <v>1557</v>
      </c>
      <c r="C474" s="91" t="s">
        <v>1558</v>
      </c>
    </row>
    <row r="475" spans="1:3" ht="17.25" thickBot="1">
      <c r="A475" s="98"/>
      <c r="B475" s="5" t="s">
        <v>2349</v>
      </c>
      <c r="C475" s="97"/>
    </row>
    <row r="476" spans="1:3" ht="17.25" thickBot="1">
      <c r="A476" s="4" t="s">
        <v>1560</v>
      </c>
      <c r="B476" s="6" t="s">
        <v>1561</v>
      </c>
      <c r="C476" s="6" t="s">
        <v>1562</v>
      </c>
    </row>
    <row r="477" spans="1:3" ht="27.75" thickBot="1">
      <c r="A477" s="4" t="s">
        <v>1563</v>
      </c>
      <c r="B477" s="6" t="s">
        <v>1561</v>
      </c>
      <c r="C477" s="6" t="s">
        <v>1564</v>
      </c>
    </row>
    <row r="478" spans="1:3" ht="17.25" thickBot="1">
      <c r="A478" s="4" t="s">
        <v>1565</v>
      </c>
      <c r="B478" s="5" t="s">
        <v>1566</v>
      </c>
      <c r="C478" s="6" t="s">
        <v>1567</v>
      </c>
    </row>
    <row r="479" spans="1:3" ht="17.25" thickBot="1">
      <c r="A479" s="4" t="s">
        <v>1568</v>
      </c>
      <c r="B479" s="5" t="s">
        <v>1566</v>
      </c>
      <c r="C479" s="5" t="s">
        <v>1569</v>
      </c>
    </row>
    <row r="480" spans="1:3" ht="17.25" thickBot="1">
      <c r="A480" s="4" t="s">
        <v>2352</v>
      </c>
      <c r="B480" s="5" t="s">
        <v>1603</v>
      </c>
      <c r="C480" s="5" t="s">
        <v>2353</v>
      </c>
    </row>
    <row r="481" spans="1:3" ht="17.25" thickBot="1">
      <c r="A481" s="4" t="s">
        <v>1570</v>
      </c>
      <c r="B481" s="6" t="s">
        <v>1561</v>
      </c>
      <c r="C481" s="6" t="s">
        <v>1571</v>
      </c>
    </row>
    <row r="482" spans="1:3" ht="17.25" thickBot="1">
      <c r="A482" s="4" t="s">
        <v>1572</v>
      </c>
      <c r="B482" s="5" t="s">
        <v>0</v>
      </c>
      <c r="C482" s="6" t="s">
        <v>1573</v>
      </c>
    </row>
    <row r="483" spans="1:3" ht="17.25" thickBot="1">
      <c r="A483" s="4" t="s">
        <v>1574</v>
      </c>
      <c r="B483" s="6" t="s">
        <v>1561</v>
      </c>
      <c r="C483" s="6" t="s">
        <v>1575</v>
      </c>
    </row>
    <row r="484" spans="1:3" ht="17.25" thickBot="1">
      <c r="A484" s="4" t="s">
        <v>1576</v>
      </c>
      <c r="B484" s="6" t="s">
        <v>1561</v>
      </c>
      <c r="C484" s="6" t="s">
        <v>1577</v>
      </c>
    </row>
    <row r="485" spans="1:3" ht="17.25" thickBot="1">
      <c r="A485" s="4" t="s">
        <v>1578</v>
      </c>
      <c r="B485" s="5" t="s">
        <v>0</v>
      </c>
      <c r="C485" s="6" t="s">
        <v>1579</v>
      </c>
    </row>
    <row r="486" spans="1:3" ht="27.75" thickBot="1">
      <c r="A486" s="4" t="s">
        <v>1580</v>
      </c>
      <c r="B486" s="5" t="s">
        <v>1566</v>
      </c>
      <c r="C486" s="5" t="s">
        <v>1581</v>
      </c>
    </row>
    <row r="487" spans="1:3" ht="27.75" thickBot="1">
      <c r="A487" s="4" t="s">
        <v>1582</v>
      </c>
      <c r="B487" s="5" t="s">
        <v>1566</v>
      </c>
      <c r="C487" s="6" t="s">
        <v>1583</v>
      </c>
    </row>
    <row r="488" spans="1:3">
      <c r="A488" s="92" t="s">
        <v>1584</v>
      </c>
      <c r="B488" s="91" t="s">
        <v>1561</v>
      </c>
      <c r="C488" s="8" t="s">
        <v>1585</v>
      </c>
    </row>
    <row r="489" spans="1:3" ht="17.25" thickBot="1">
      <c r="A489" s="98"/>
      <c r="B489" s="97"/>
      <c r="C489" s="5" t="s">
        <v>1586</v>
      </c>
    </row>
    <row r="490" spans="1:3" ht="27.75" thickBot="1">
      <c r="A490" s="4" t="s">
        <v>1587</v>
      </c>
      <c r="B490" s="6" t="s">
        <v>1561</v>
      </c>
      <c r="C490" s="6" t="s">
        <v>1588</v>
      </c>
    </row>
    <row r="491" spans="1:3" ht="17.25" thickBot="1">
      <c r="A491" s="4" t="s">
        <v>1589</v>
      </c>
      <c r="B491" s="6" t="s">
        <v>1561</v>
      </c>
      <c r="C491" s="6" t="s">
        <v>1590</v>
      </c>
    </row>
    <row r="492" spans="1:3" ht="17.25" thickBot="1">
      <c r="A492" s="99" t="s">
        <v>1591</v>
      </c>
      <c r="B492" s="100" t="s">
        <v>1592</v>
      </c>
      <c r="C492" s="100" t="s">
        <v>1593</v>
      </c>
    </row>
    <row r="493" spans="1:3" ht="27.75" thickBot="1">
      <c r="A493" s="4" t="s">
        <v>1594</v>
      </c>
      <c r="B493" s="5" t="s">
        <v>1566</v>
      </c>
      <c r="C493" s="6" t="s">
        <v>1595</v>
      </c>
    </row>
    <row r="494" spans="1:3" ht="27.75" thickBot="1">
      <c r="A494" s="4" t="s">
        <v>1596</v>
      </c>
      <c r="B494" s="5" t="s">
        <v>1566</v>
      </c>
      <c r="C494" s="6" t="s">
        <v>1597</v>
      </c>
    </row>
    <row r="495" spans="1:3">
      <c r="B495" s="114" t="s">
        <v>2354</v>
      </c>
      <c r="C495" s="114" t="s">
        <v>2355</v>
      </c>
    </row>
    <row r="496" spans="1:3" ht="17.25" thickBot="1">
      <c r="A496" s="115" t="s">
        <v>2356</v>
      </c>
      <c r="B496" s="115" t="s">
        <v>2357</v>
      </c>
    </row>
    <row r="497" spans="1:3" ht="17.25" thickBot="1">
      <c r="A497" s="102" t="s">
        <v>1591</v>
      </c>
      <c r="B497" s="103" t="s">
        <v>1592</v>
      </c>
      <c r="C497" s="103" t="s">
        <v>1593</v>
      </c>
    </row>
    <row r="498" spans="1:3" ht="17.25" thickBot="1">
      <c r="A498" s="4" t="s">
        <v>2358</v>
      </c>
      <c r="B498" s="5"/>
      <c r="C498" s="6" t="s">
        <v>2359</v>
      </c>
    </row>
    <row r="499" spans="1:3" ht="39" thickBot="1">
      <c r="A499" s="4" t="s">
        <v>2360</v>
      </c>
      <c r="B499" s="5"/>
      <c r="C499" s="6" t="s">
        <v>2361</v>
      </c>
    </row>
    <row r="500" spans="1:3" ht="27">
      <c r="A500" s="92" t="s">
        <v>2362</v>
      </c>
      <c r="B500" s="91"/>
      <c r="C500" s="7" t="s">
        <v>2363</v>
      </c>
    </row>
    <row r="501" spans="1:3" ht="17.25" thickBot="1">
      <c r="A501" s="98"/>
      <c r="B501" s="97"/>
      <c r="C501" s="6" t="s">
        <v>2364</v>
      </c>
    </row>
    <row r="502" spans="1:3" ht="17.25" thickBot="1">
      <c r="A502" s="4" t="s">
        <v>1634</v>
      </c>
      <c r="B502" s="5" t="s">
        <v>1603</v>
      </c>
      <c r="C502" s="6" t="s">
        <v>2365</v>
      </c>
    </row>
    <row r="503" spans="1:3" ht="17.25" thickBot="1">
      <c r="A503" s="4" t="s">
        <v>2366</v>
      </c>
      <c r="B503" s="5" t="s">
        <v>1628</v>
      </c>
      <c r="C503" s="6" t="s">
        <v>2367</v>
      </c>
    </row>
    <row r="504" spans="1:3">
      <c r="B504" s="114" t="s">
        <v>2368</v>
      </c>
      <c r="C504" s="114" t="s">
        <v>2369</v>
      </c>
    </row>
    <row r="505" spans="1:3" ht="17.25" thickBot="1">
      <c r="A505" s="115" t="s">
        <v>2370</v>
      </c>
      <c r="B505" s="115" t="s">
        <v>2371</v>
      </c>
    </row>
    <row r="506" spans="1:3" ht="17.25" thickBot="1">
      <c r="A506" s="102" t="s">
        <v>1591</v>
      </c>
      <c r="B506" s="103" t="s">
        <v>1592</v>
      </c>
      <c r="C506" s="103" t="s">
        <v>1593</v>
      </c>
    </row>
    <row r="507" spans="1:3" ht="17.25" thickBot="1">
      <c r="A507" s="4" t="s">
        <v>2372</v>
      </c>
      <c r="B507" s="5" t="s">
        <v>1601</v>
      </c>
      <c r="C507" s="6" t="s">
        <v>2373</v>
      </c>
    </row>
    <row r="508" spans="1:3" ht="26.25" thickBot="1">
      <c r="A508" s="4" t="s">
        <v>2374</v>
      </c>
      <c r="B508" s="5" t="s">
        <v>1603</v>
      </c>
      <c r="C508" s="6" t="s">
        <v>2375</v>
      </c>
    </row>
    <row r="509" spans="1:3" ht="17.25" thickBot="1">
      <c r="A509" s="4" t="s">
        <v>2376</v>
      </c>
      <c r="B509" s="6" t="s">
        <v>1632</v>
      </c>
      <c r="C509" s="5" t="s">
        <v>2377</v>
      </c>
    </row>
    <row r="510" spans="1:3" ht="26.25" thickBot="1">
      <c r="A510" s="4" t="s">
        <v>2378</v>
      </c>
      <c r="B510" s="5" t="s">
        <v>1601</v>
      </c>
      <c r="C510" s="6" t="s">
        <v>2379</v>
      </c>
    </row>
    <row r="511" spans="1:3" ht="26.25" thickBot="1">
      <c r="A511" s="4" t="s">
        <v>2380</v>
      </c>
      <c r="B511" s="5" t="s">
        <v>1601</v>
      </c>
      <c r="C511" s="6" t="s">
        <v>2381</v>
      </c>
    </row>
    <row r="512" spans="1:3" ht="17.25" thickBot="1">
      <c r="A512" s="4" t="s">
        <v>2382</v>
      </c>
      <c r="B512" s="6" t="s">
        <v>1632</v>
      </c>
      <c r="C512" s="6" t="s">
        <v>2383</v>
      </c>
    </row>
    <row r="513" spans="1:3" ht="17.25" thickBot="1">
      <c r="A513" s="4" t="s">
        <v>2384</v>
      </c>
      <c r="B513" s="5" t="s">
        <v>1601</v>
      </c>
      <c r="C513" s="6" t="s">
        <v>2385</v>
      </c>
    </row>
    <row r="514" spans="1:3" ht="26.25" thickBot="1">
      <c r="A514" s="4" t="s">
        <v>2386</v>
      </c>
      <c r="B514" s="5" t="s">
        <v>1604</v>
      </c>
      <c r="C514" s="6" t="s">
        <v>2387</v>
      </c>
    </row>
    <row r="515" spans="1:3" ht="17.25" thickBot="1">
      <c r="A515" s="4" t="s">
        <v>2388</v>
      </c>
      <c r="B515" s="5" t="s">
        <v>1603</v>
      </c>
      <c r="C515" s="5" t="s">
        <v>2389</v>
      </c>
    </row>
    <row r="516" spans="1:3">
      <c r="A516" s="92" t="s">
        <v>2390</v>
      </c>
      <c r="B516" s="91" t="s">
        <v>1566</v>
      </c>
      <c r="C516" s="8" t="s">
        <v>2391</v>
      </c>
    </row>
    <row r="517" spans="1:3" ht="17.25" thickBot="1">
      <c r="A517" s="98"/>
      <c r="B517" s="97"/>
      <c r="C517" s="6" t="s">
        <v>2392</v>
      </c>
    </row>
    <row r="518" spans="1:3" ht="25.5">
      <c r="A518" s="92" t="s">
        <v>2393</v>
      </c>
      <c r="B518" s="7" t="s">
        <v>2116</v>
      </c>
      <c r="C518" s="91" t="s">
        <v>2395</v>
      </c>
    </row>
    <row r="519" spans="1:3" ht="17.25" thickBot="1">
      <c r="A519" s="98"/>
      <c r="B519" s="5" t="s">
        <v>2394</v>
      </c>
      <c r="C519" s="97"/>
    </row>
    <row r="520" spans="1:3" ht="17.25" thickBot="1">
      <c r="A520" s="4" t="s">
        <v>1903</v>
      </c>
      <c r="B520" s="5" t="s">
        <v>1603</v>
      </c>
      <c r="C520" s="6" t="s">
        <v>2396</v>
      </c>
    </row>
    <row r="521" spans="1:3" ht="17.25" thickBot="1">
      <c r="A521" s="4" t="s">
        <v>2397</v>
      </c>
      <c r="B521" s="5" t="s">
        <v>1566</v>
      </c>
      <c r="C521" s="6" t="s">
        <v>2398</v>
      </c>
    </row>
    <row r="522" spans="1:3" ht="17.25" thickBot="1">
      <c r="A522" s="102" t="s">
        <v>1591</v>
      </c>
      <c r="B522" s="103" t="s">
        <v>1592</v>
      </c>
      <c r="C522" s="103" t="s">
        <v>1593</v>
      </c>
    </row>
    <row r="523" spans="1:3" ht="17.25" thickBot="1">
      <c r="A523" s="4" t="s">
        <v>2399</v>
      </c>
      <c r="B523" s="5" t="s">
        <v>0</v>
      </c>
      <c r="C523" s="6" t="s">
        <v>2400</v>
      </c>
    </row>
    <row r="524" spans="1:3">
      <c r="A524" s="92" t="s">
        <v>2401</v>
      </c>
      <c r="B524" s="91" t="s">
        <v>1601</v>
      </c>
      <c r="C524" s="7" t="s">
        <v>2402</v>
      </c>
    </row>
    <row r="525" spans="1:3" ht="17.25" thickBot="1">
      <c r="A525" s="98"/>
      <c r="B525" s="97"/>
      <c r="C525" s="5" t="s">
        <v>2403</v>
      </c>
    </row>
    <row r="526" spans="1:3" ht="17.25" thickBot="1">
      <c r="A526" s="4" t="s">
        <v>2404</v>
      </c>
      <c r="B526" s="5" t="s">
        <v>1601</v>
      </c>
      <c r="C526" s="6" t="s">
        <v>2405</v>
      </c>
    </row>
    <row r="527" spans="1:3" ht="17.25" thickBot="1">
      <c r="A527" s="4" t="s">
        <v>1912</v>
      </c>
      <c r="B527" s="5" t="s">
        <v>1603</v>
      </c>
      <c r="C527" s="6" t="s">
        <v>2406</v>
      </c>
    </row>
    <row r="528" spans="1:3">
      <c r="A528" s="92" t="s">
        <v>2407</v>
      </c>
      <c r="B528" s="91" t="s">
        <v>1632</v>
      </c>
      <c r="C528" s="7" t="s">
        <v>2408</v>
      </c>
    </row>
    <row r="529" spans="1:3">
      <c r="A529" s="171"/>
      <c r="B529" s="170"/>
      <c r="C529" s="8" t="s">
        <v>2409</v>
      </c>
    </row>
    <row r="530" spans="1:3" ht="17.25" thickBot="1">
      <c r="A530" s="98"/>
      <c r="B530" s="97"/>
      <c r="C530" s="5" t="s">
        <v>2410</v>
      </c>
    </row>
    <row r="531" spans="1:3" ht="17.25" thickBot="1">
      <c r="A531" s="4" t="s">
        <v>1915</v>
      </c>
      <c r="B531" s="5" t="s">
        <v>1603</v>
      </c>
      <c r="C531" s="6" t="s">
        <v>2411</v>
      </c>
    </row>
    <row r="532" spans="1:3" ht="25.5">
      <c r="A532" s="92" t="s">
        <v>2412</v>
      </c>
      <c r="B532" s="7" t="s">
        <v>2116</v>
      </c>
      <c r="C532" s="91" t="s">
        <v>2413</v>
      </c>
    </row>
    <row r="533" spans="1:3" ht="17.25" thickBot="1">
      <c r="A533" s="98"/>
      <c r="B533" s="5" t="s">
        <v>2394</v>
      </c>
      <c r="C533" s="97"/>
    </row>
    <row r="534" spans="1:3" ht="17.25" thickBot="1">
      <c r="A534" s="4" t="s">
        <v>2414</v>
      </c>
      <c r="B534" s="5" t="s">
        <v>1603</v>
      </c>
      <c r="C534" s="5" t="s">
        <v>2415</v>
      </c>
    </row>
    <row r="535" spans="1:3" ht="26.25" thickBot="1">
      <c r="A535" s="4" t="s">
        <v>2416</v>
      </c>
      <c r="B535" s="5" t="s">
        <v>2317</v>
      </c>
      <c r="C535" s="6" t="s">
        <v>2417</v>
      </c>
    </row>
    <row r="536" spans="1:3" ht="26.25" thickBot="1">
      <c r="A536" s="4" t="s">
        <v>2418</v>
      </c>
      <c r="B536" s="5" t="s">
        <v>2317</v>
      </c>
      <c r="C536" s="6" t="s">
        <v>2419</v>
      </c>
    </row>
    <row r="537" spans="1:3" ht="26.25" thickBot="1">
      <c r="A537" s="4" t="s">
        <v>2420</v>
      </c>
      <c r="B537" s="5" t="s">
        <v>1603</v>
      </c>
      <c r="C537" s="6" t="s">
        <v>2421</v>
      </c>
    </row>
    <row r="538" spans="1:3" ht="26.25" thickBot="1">
      <c r="A538" s="4" t="s">
        <v>1633</v>
      </c>
      <c r="B538" s="5" t="s">
        <v>1566</v>
      </c>
      <c r="C538" s="6" t="s">
        <v>2422</v>
      </c>
    </row>
    <row r="539" spans="1:3" ht="17.25" thickBot="1">
      <c r="A539" s="4" t="s">
        <v>1848</v>
      </c>
      <c r="B539" s="5" t="s">
        <v>0</v>
      </c>
      <c r="C539" s="5" t="s">
        <v>2423</v>
      </c>
    </row>
    <row r="540" spans="1:3" ht="25.5">
      <c r="A540" s="92" t="s">
        <v>2424</v>
      </c>
      <c r="B540" s="7" t="s">
        <v>2116</v>
      </c>
      <c r="C540" s="91" t="s">
        <v>2425</v>
      </c>
    </row>
    <row r="541" spans="1:3" ht="17.25" thickBot="1">
      <c r="A541" s="98"/>
      <c r="B541" s="5" t="s">
        <v>1601</v>
      </c>
      <c r="C541" s="97"/>
    </row>
    <row r="542" spans="1:3" ht="17.25" thickBot="1">
      <c r="A542" s="99" t="s">
        <v>1591</v>
      </c>
      <c r="B542" s="100" t="s">
        <v>1592</v>
      </c>
      <c r="C542" s="100" t="s">
        <v>1593</v>
      </c>
    </row>
    <row r="543" spans="1:3" ht="26.25" thickBot="1">
      <c r="A543" s="4" t="s">
        <v>1924</v>
      </c>
      <c r="B543" s="5" t="s">
        <v>1603</v>
      </c>
      <c r="C543" s="5" t="s">
        <v>2426</v>
      </c>
    </row>
    <row r="544" spans="1:3" ht="27">
      <c r="A544" s="96" t="s">
        <v>2427</v>
      </c>
      <c r="B544" s="91" t="s">
        <v>1632</v>
      </c>
      <c r="C544" s="7" t="s">
        <v>2429</v>
      </c>
    </row>
    <row r="545" spans="1:3" ht="26.25" thickBot="1">
      <c r="A545" s="4" t="s">
        <v>2428</v>
      </c>
      <c r="B545" s="97"/>
      <c r="C545" s="6" t="s">
        <v>2430</v>
      </c>
    </row>
    <row r="546" spans="1:3" ht="17.25" thickBot="1">
      <c r="A546" s="4" t="s">
        <v>2431</v>
      </c>
      <c r="B546" s="6" t="s">
        <v>1632</v>
      </c>
      <c r="C546" s="6" t="s">
        <v>2432</v>
      </c>
    </row>
    <row r="547" spans="1:3">
      <c r="B547" s="114" t="s">
        <v>2433</v>
      </c>
      <c r="C547" s="114" t="s">
        <v>2434</v>
      </c>
    </row>
    <row r="548" spans="1:3" ht="17.25" thickBot="1">
      <c r="A548" s="115" t="s">
        <v>2435</v>
      </c>
      <c r="B548" s="115" t="s">
        <v>2436</v>
      </c>
    </row>
    <row r="549" spans="1:3" ht="17.25" thickBot="1">
      <c r="A549" s="102" t="s">
        <v>1591</v>
      </c>
      <c r="B549" s="103" t="s">
        <v>1592</v>
      </c>
      <c r="C549" s="103" t="s">
        <v>1593</v>
      </c>
    </row>
    <row r="550" spans="1:3" ht="25.5">
      <c r="A550" s="92" t="s">
        <v>2437</v>
      </c>
      <c r="B550" s="91" t="s">
        <v>1566</v>
      </c>
      <c r="C550" s="7" t="s">
        <v>2438</v>
      </c>
    </row>
    <row r="551" spans="1:3" ht="17.25" thickBot="1">
      <c r="A551" s="98"/>
      <c r="B551" s="97"/>
      <c r="C551" s="6" t="s">
        <v>2439</v>
      </c>
    </row>
    <row r="552" spans="1:3" ht="39" thickBot="1">
      <c r="A552" s="4" t="s">
        <v>2440</v>
      </c>
      <c r="B552" s="5" t="s">
        <v>1624</v>
      </c>
      <c r="C552" s="6" t="s">
        <v>2441</v>
      </c>
    </row>
    <row r="553" spans="1:3" ht="25.5">
      <c r="A553" s="92" t="s">
        <v>2442</v>
      </c>
      <c r="B553" s="91" t="s">
        <v>1627</v>
      </c>
      <c r="C553" s="7" t="s">
        <v>2443</v>
      </c>
    </row>
    <row r="554" spans="1:3">
      <c r="A554" s="171"/>
      <c r="B554" s="170"/>
      <c r="C554" s="8" t="s">
        <v>2444</v>
      </c>
    </row>
    <row r="555" spans="1:3" ht="39" thickBot="1">
      <c r="A555" s="98"/>
      <c r="B555" s="97"/>
      <c r="C555" s="6" t="s">
        <v>2445</v>
      </c>
    </row>
    <row r="556" spans="1:3" ht="30.75" thickBot="1">
      <c r="A556" s="145" t="s">
        <v>2446</v>
      </c>
      <c r="B556" s="5" t="s">
        <v>1603</v>
      </c>
      <c r="C556" s="6" t="s">
        <v>2447</v>
      </c>
    </row>
    <row r="557" spans="1:3" ht="39" thickBot="1">
      <c r="A557" s="4" t="s">
        <v>2448</v>
      </c>
      <c r="B557" s="6" t="s">
        <v>1632</v>
      </c>
      <c r="C557" s="6" t="s">
        <v>2449</v>
      </c>
    </row>
    <row r="558" spans="1:3" ht="17.25" thickBot="1">
      <c r="A558" s="4" t="s">
        <v>2450</v>
      </c>
      <c r="B558" s="5" t="s">
        <v>1630</v>
      </c>
      <c r="C558" s="5" t="s">
        <v>2451</v>
      </c>
    </row>
    <row r="559" spans="1:3" ht="17.25" thickBot="1">
      <c r="A559" s="4" t="s">
        <v>2452</v>
      </c>
      <c r="B559" s="5" t="s">
        <v>1603</v>
      </c>
      <c r="C559" s="5" t="s">
        <v>2453</v>
      </c>
    </row>
    <row r="560" spans="1:3" ht="17.25" thickBot="1">
      <c r="A560" s="4" t="s">
        <v>2454</v>
      </c>
      <c r="B560" s="5" t="s">
        <v>1566</v>
      </c>
      <c r="C560" s="6" t="s">
        <v>2455</v>
      </c>
    </row>
    <row r="561" spans="1:3" ht="27">
      <c r="A561" s="92" t="s">
        <v>2456</v>
      </c>
      <c r="B561" s="91" t="s">
        <v>1624</v>
      </c>
      <c r="C561" s="7" t="s">
        <v>2457</v>
      </c>
    </row>
    <row r="562" spans="1:3" ht="39" thickBot="1">
      <c r="A562" s="98"/>
      <c r="B562" s="97"/>
      <c r="C562" s="6" t="s">
        <v>2458</v>
      </c>
    </row>
    <row r="563" spans="1:3" ht="17.25" thickBot="1">
      <c r="A563" s="4" t="s">
        <v>2459</v>
      </c>
      <c r="B563" s="5" t="s">
        <v>1624</v>
      </c>
      <c r="C563" s="5" t="s">
        <v>2460</v>
      </c>
    </row>
    <row r="564" spans="1:3" ht="39" thickBot="1">
      <c r="A564" s="4" t="s">
        <v>2461</v>
      </c>
      <c r="B564" s="5" t="s">
        <v>1566</v>
      </c>
      <c r="C564" s="6" t="s">
        <v>2462</v>
      </c>
    </row>
    <row r="565" spans="1:3" ht="40.5">
      <c r="A565" s="92" t="s">
        <v>2463</v>
      </c>
      <c r="B565" s="91" t="s">
        <v>1566</v>
      </c>
      <c r="C565" s="7" t="s">
        <v>2464</v>
      </c>
    </row>
    <row r="566" spans="1:3">
      <c r="A566" s="171"/>
      <c r="B566" s="170"/>
      <c r="C566" s="8" t="s">
        <v>2465</v>
      </c>
    </row>
    <row r="567" spans="1:3">
      <c r="A567" s="171"/>
      <c r="B567" s="170"/>
      <c r="C567" s="8" t="s">
        <v>2466</v>
      </c>
    </row>
    <row r="568" spans="1:3">
      <c r="A568" s="171"/>
      <c r="B568" s="170"/>
      <c r="C568" s="8" t="s">
        <v>2467</v>
      </c>
    </row>
    <row r="569" spans="1:3" ht="17.25" thickBot="1">
      <c r="A569" s="98"/>
      <c r="B569" s="97"/>
      <c r="C569" s="5" t="s">
        <v>2468</v>
      </c>
    </row>
    <row r="570" spans="1:3" ht="25.5">
      <c r="A570" s="176" t="s">
        <v>2469</v>
      </c>
      <c r="B570" s="91" t="s">
        <v>0</v>
      </c>
      <c r="C570" s="7" t="s">
        <v>2470</v>
      </c>
    </row>
    <row r="571" spans="1:3" ht="17.25" thickBot="1">
      <c r="A571" s="177"/>
      <c r="B571" s="97"/>
      <c r="C571" s="5" t="s">
        <v>2471</v>
      </c>
    </row>
    <row r="572" spans="1:3" ht="17.25" thickBot="1">
      <c r="A572" s="4" t="s">
        <v>2023</v>
      </c>
      <c r="B572" s="6" t="s">
        <v>1632</v>
      </c>
      <c r="C572" s="5" t="s">
        <v>2472</v>
      </c>
    </row>
    <row r="573" spans="1:3" ht="38.25">
      <c r="A573" s="96" t="s">
        <v>2473</v>
      </c>
      <c r="B573" s="91" t="s">
        <v>1632</v>
      </c>
      <c r="C573" s="91" t="s">
        <v>2475</v>
      </c>
    </row>
    <row r="574" spans="1:3" ht="17.25" thickBot="1">
      <c r="A574" s="4" t="s">
        <v>2474</v>
      </c>
      <c r="B574" s="97"/>
      <c r="C574" s="97"/>
    </row>
    <row r="575" spans="1:3" ht="30">
      <c r="A575" s="149" t="s">
        <v>2476</v>
      </c>
      <c r="B575" s="91" t="s">
        <v>2477</v>
      </c>
      <c r="C575" s="91" t="s">
        <v>2478</v>
      </c>
    </row>
    <row r="576" spans="1:3" ht="17.25" thickBot="1">
      <c r="A576" s="145" t="s">
        <v>2148</v>
      </c>
      <c r="B576" s="97"/>
      <c r="C576" s="97"/>
    </row>
    <row r="577" spans="1:3" ht="27.75" thickBot="1">
      <c r="A577" s="4" t="s">
        <v>2479</v>
      </c>
      <c r="B577" s="5" t="s">
        <v>2477</v>
      </c>
      <c r="C577" s="5" t="s">
        <v>2480</v>
      </c>
    </row>
    <row r="578" spans="1:3" ht="17.25" thickBot="1">
      <c r="A578" s="4" t="s">
        <v>2481</v>
      </c>
      <c r="B578" s="6" t="s">
        <v>1632</v>
      </c>
      <c r="C578" s="6" t="s">
        <v>2482</v>
      </c>
    </row>
    <row r="579" spans="1:3" ht="17.25" thickBot="1">
      <c r="A579" s="4" t="s">
        <v>2483</v>
      </c>
      <c r="B579" s="5" t="s">
        <v>1624</v>
      </c>
      <c r="C579" s="5" t="s">
        <v>2484</v>
      </c>
    </row>
    <row r="580" spans="1:3" ht="39" thickBot="1">
      <c r="A580" s="145" t="s">
        <v>2485</v>
      </c>
      <c r="B580" s="6" t="s">
        <v>1632</v>
      </c>
      <c r="C580" s="6" t="s">
        <v>2486</v>
      </c>
    </row>
    <row r="581" spans="1:3" ht="27.75" thickBot="1">
      <c r="A581" s="4" t="s">
        <v>2487</v>
      </c>
      <c r="B581" s="6" t="s">
        <v>1632</v>
      </c>
      <c r="C581" s="6" t="s">
        <v>2488</v>
      </c>
    </row>
    <row r="582" spans="1:3">
      <c r="B582" s="114" t="s">
        <v>2489</v>
      </c>
      <c r="C582" s="114" t="s">
        <v>2490</v>
      </c>
    </row>
    <row r="583" spans="1:3" ht="17.25" thickBot="1">
      <c r="A583" s="115" t="s">
        <v>2491</v>
      </c>
      <c r="B583" s="115" t="s">
        <v>2492</v>
      </c>
    </row>
    <row r="584" spans="1:3" ht="17.25" thickBot="1">
      <c r="A584" s="102" t="s">
        <v>1591</v>
      </c>
      <c r="B584" s="103" t="s">
        <v>1635</v>
      </c>
      <c r="C584" s="103" t="s">
        <v>1593</v>
      </c>
    </row>
    <row r="585" spans="1:3" ht="17.25" thickBot="1">
      <c r="A585" s="4" t="s">
        <v>2493</v>
      </c>
      <c r="B585" s="5" t="s">
        <v>2494</v>
      </c>
      <c r="C585" s="5" t="s">
        <v>2495</v>
      </c>
    </row>
    <row r="586" spans="1:3" ht="17.25" thickBot="1">
      <c r="A586" s="4" t="s">
        <v>2496</v>
      </c>
      <c r="B586" s="5" t="s">
        <v>2494</v>
      </c>
      <c r="C586" s="5" t="s">
        <v>2497</v>
      </c>
    </row>
    <row r="587" spans="1:3" ht="17.25" thickBot="1">
      <c r="A587" s="4" t="s">
        <v>2498</v>
      </c>
      <c r="B587" s="5" t="s">
        <v>2494</v>
      </c>
      <c r="C587" s="5" t="s">
        <v>2499</v>
      </c>
    </row>
    <row r="588" spans="1:3" ht="17.25" thickBot="1">
      <c r="A588" s="4" t="s">
        <v>2500</v>
      </c>
      <c r="B588" s="5" t="s">
        <v>2494</v>
      </c>
      <c r="C588" s="5" t="s">
        <v>2501</v>
      </c>
    </row>
    <row r="589" spans="1:3" ht="26.25" thickBot="1">
      <c r="A589" s="4" t="s">
        <v>2502</v>
      </c>
      <c r="B589" s="5" t="s">
        <v>2494</v>
      </c>
      <c r="C589" s="6" t="s">
        <v>2503</v>
      </c>
    </row>
    <row r="590" spans="1:3" ht="17.25" thickBot="1">
      <c r="A590" s="4" t="s">
        <v>2504</v>
      </c>
      <c r="B590" s="5" t="s">
        <v>2494</v>
      </c>
      <c r="C590" s="6" t="s">
        <v>2505</v>
      </c>
    </row>
    <row r="591" spans="1:3" ht="17.25" thickBot="1">
      <c r="A591" s="4" t="s">
        <v>2506</v>
      </c>
      <c r="B591" s="5" t="s">
        <v>2494</v>
      </c>
      <c r="C591" s="6" t="s">
        <v>2507</v>
      </c>
    </row>
    <row r="592" spans="1:3" ht="25.5">
      <c r="A592" s="92" t="s">
        <v>2508</v>
      </c>
      <c r="B592" s="8" t="s">
        <v>2509</v>
      </c>
      <c r="C592" s="7" t="s">
        <v>2510</v>
      </c>
    </row>
    <row r="593" spans="1:3" ht="17.25" thickBot="1">
      <c r="A593" s="98"/>
      <c r="B593" s="5" t="s">
        <v>1550</v>
      </c>
      <c r="C593" s="5" t="s">
        <v>2511</v>
      </c>
    </row>
    <row r="594" spans="1:3" ht="51">
      <c r="A594" s="92" t="s">
        <v>2512</v>
      </c>
      <c r="B594" s="8" t="s">
        <v>1566</v>
      </c>
      <c r="C594" s="91" t="s">
        <v>2513</v>
      </c>
    </row>
    <row r="595" spans="1:3" ht="17.25" thickBot="1">
      <c r="A595" s="98"/>
      <c r="B595" s="5" t="s">
        <v>1550</v>
      </c>
      <c r="C595" s="97"/>
    </row>
    <row r="596" spans="1:3" ht="25.5">
      <c r="A596" s="92" t="s">
        <v>2514</v>
      </c>
      <c r="B596" s="91" t="s">
        <v>2494</v>
      </c>
      <c r="C596" s="7" t="s">
        <v>2515</v>
      </c>
    </row>
    <row r="597" spans="1:3">
      <c r="A597" s="171"/>
      <c r="B597" s="170"/>
      <c r="C597" s="7" t="s">
        <v>2516</v>
      </c>
    </row>
    <row r="598" spans="1:3" ht="39">
      <c r="A598" s="171"/>
      <c r="B598" s="170"/>
      <c r="C598" s="138" t="s">
        <v>2517</v>
      </c>
    </row>
    <row r="599" spans="1:3">
      <c r="A599" s="171"/>
      <c r="B599" s="170"/>
      <c r="C599" s="7" t="s">
        <v>2518</v>
      </c>
    </row>
    <row r="600" spans="1:3" ht="53.25" thickBot="1">
      <c r="A600" s="98"/>
      <c r="B600" s="97"/>
      <c r="C600" s="150" t="s">
        <v>2519</v>
      </c>
    </row>
    <row r="601" spans="1:3">
      <c r="A601" s="92" t="s">
        <v>2520</v>
      </c>
      <c r="B601" s="8" t="s">
        <v>1566</v>
      </c>
      <c r="C601" s="91" t="s">
        <v>2521</v>
      </c>
    </row>
    <row r="602" spans="1:3" ht="17.25" thickBot="1">
      <c r="A602" s="98"/>
      <c r="B602" s="5" t="s">
        <v>1550</v>
      </c>
      <c r="C602" s="97"/>
    </row>
    <row r="603" spans="1:3">
      <c r="A603" s="92" t="s">
        <v>2522</v>
      </c>
      <c r="B603" s="8" t="s">
        <v>1566</v>
      </c>
      <c r="C603" s="91" t="s">
        <v>2524</v>
      </c>
    </row>
    <row r="604" spans="1:3" ht="17.25" thickBot="1">
      <c r="A604" s="98"/>
      <c r="B604" s="5" t="s">
        <v>2523</v>
      </c>
      <c r="C604" s="97"/>
    </row>
    <row r="605" spans="1:3">
      <c r="A605" s="92" t="s">
        <v>2525</v>
      </c>
      <c r="B605" s="8" t="s">
        <v>2526</v>
      </c>
      <c r="C605" s="91" t="s">
        <v>2527</v>
      </c>
    </row>
    <row r="606" spans="1:3" ht="17.25" thickBot="1">
      <c r="A606" s="98"/>
      <c r="B606" s="5" t="s">
        <v>1550</v>
      </c>
      <c r="C606" s="97"/>
    </row>
    <row r="607" spans="1:3">
      <c r="A607" s="92" t="s">
        <v>2528</v>
      </c>
      <c r="B607" s="91" t="s">
        <v>1603</v>
      </c>
      <c r="C607" s="8" t="s">
        <v>2529</v>
      </c>
    </row>
    <row r="608" spans="1:3" ht="25.5">
      <c r="A608" s="171"/>
      <c r="B608" s="170"/>
      <c r="C608" s="7" t="s">
        <v>2530</v>
      </c>
    </row>
    <row r="609" spans="1:3" ht="26.25" thickBot="1">
      <c r="A609" s="98"/>
      <c r="B609" s="97"/>
      <c r="C609" s="5" t="s">
        <v>2531</v>
      </c>
    </row>
    <row r="610" spans="1:3" ht="51">
      <c r="A610" s="92" t="s">
        <v>2532</v>
      </c>
      <c r="B610" s="8" t="s">
        <v>1603</v>
      </c>
      <c r="C610" s="91" t="s">
        <v>2533</v>
      </c>
    </row>
    <row r="611" spans="1:3" ht="17.25" thickBot="1">
      <c r="A611" s="98"/>
      <c r="B611" s="5" t="s">
        <v>1550</v>
      </c>
      <c r="C611" s="97"/>
    </row>
    <row r="612" spans="1:3" ht="38.25">
      <c r="A612" s="92" t="s">
        <v>2534</v>
      </c>
      <c r="B612" s="8" t="s">
        <v>1603</v>
      </c>
      <c r="C612" s="91" t="s">
        <v>2535</v>
      </c>
    </row>
    <row r="613" spans="1:3" ht="17.25" thickBot="1">
      <c r="A613" s="98"/>
      <c r="B613" s="5" t="s">
        <v>1550</v>
      </c>
      <c r="C613" s="97"/>
    </row>
    <row r="614" spans="1:3" ht="17.25" thickBot="1">
      <c r="A614" s="4" t="s">
        <v>1912</v>
      </c>
      <c r="B614" s="5" t="s">
        <v>1603</v>
      </c>
      <c r="C614" s="5" t="s">
        <v>2538</v>
      </c>
    </row>
    <row r="615" spans="1:3">
      <c r="A615" s="92" t="s">
        <v>1903</v>
      </c>
      <c r="B615" s="91" t="s">
        <v>1603</v>
      </c>
      <c r="C615" s="7" t="s">
        <v>2539</v>
      </c>
    </row>
    <row r="616" spans="1:3" ht="17.25" thickBot="1">
      <c r="A616" s="98"/>
      <c r="B616" s="97"/>
      <c r="C616" s="5" t="s">
        <v>2540</v>
      </c>
    </row>
    <row r="617" spans="1:3" ht="27.75" thickBot="1">
      <c r="A617" s="4" t="s">
        <v>2541</v>
      </c>
      <c r="B617" s="5" t="s">
        <v>1625</v>
      </c>
      <c r="C617" s="6" t="s">
        <v>2542</v>
      </c>
    </row>
    <row r="618" spans="1:3" ht="41.25" thickBot="1">
      <c r="A618" s="4" t="s">
        <v>2543</v>
      </c>
      <c r="B618" s="5" t="s">
        <v>1625</v>
      </c>
      <c r="C618" s="6" t="s">
        <v>2544</v>
      </c>
    </row>
    <row r="619" spans="1:3" ht="26.25">
      <c r="A619" s="92" t="s">
        <v>2545</v>
      </c>
      <c r="B619" s="91" t="s">
        <v>1632</v>
      </c>
      <c r="C619" s="138" t="s">
        <v>2546</v>
      </c>
    </row>
    <row r="620" spans="1:3" ht="27" thickBot="1">
      <c r="A620" s="98"/>
      <c r="B620" s="97"/>
      <c r="C620" s="150" t="s">
        <v>2547</v>
      </c>
    </row>
    <row r="621" spans="1:3" ht="27">
      <c r="A621" s="92" t="s">
        <v>2548</v>
      </c>
      <c r="B621" s="91" t="s">
        <v>1632</v>
      </c>
      <c r="C621" s="137" t="s">
        <v>2549</v>
      </c>
    </row>
    <row r="622" spans="1:3" ht="26.25">
      <c r="A622" s="171"/>
      <c r="B622" s="170"/>
      <c r="C622" s="138" t="s">
        <v>2550</v>
      </c>
    </row>
    <row r="623" spans="1:3" ht="27" thickBot="1">
      <c r="A623" s="98"/>
      <c r="B623" s="97"/>
      <c r="C623" s="150" t="s">
        <v>2551</v>
      </c>
    </row>
    <row r="624" spans="1:3" ht="26.25" thickBot="1">
      <c r="A624" s="4" t="s">
        <v>2552</v>
      </c>
      <c r="B624" s="6" t="s">
        <v>1632</v>
      </c>
      <c r="C624" s="6" t="s">
        <v>2553</v>
      </c>
    </row>
    <row r="625" spans="1:3" ht="17.25" thickBot="1">
      <c r="A625" s="4" t="s">
        <v>2554</v>
      </c>
      <c r="B625" s="6" t="s">
        <v>1632</v>
      </c>
      <c r="C625" s="5" t="s">
        <v>2555</v>
      </c>
    </row>
    <row r="626" spans="1:3" ht="17.25" thickBot="1">
      <c r="A626" s="4" t="s">
        <v>2019</v>
      </c>
      <c r="B626" s="5" t="s">
        <v>1625</v>
      </c>
      <c r="C626" s="6" t="s">
        <v>2556</v>
      </c>
    </row>
    <row r="627" spans="1:3" ht="17.25" thickBot="1">
      <c r="A627" s="4" t="s">
        <v>2557</v>
      </c>
      <c r="B627" s="6" t="s">
        <v>1632</v>
      </c>
      <c r="C627" s="6" t="s">
        <v>2558</v>
      </c>
    </row>
    <row r="628" spans="1:3" ht="27.75" thickBot="1">
      <c r="A628" s="4" t="s">
        <v>2559</v>
      </c>
      <c r="B628" s="6" t="s">
        <v>1632</v>
      </c>
      <c r="C628" s="6" t="s">
        <v>2560</v>
      </c>
    </row>
    <row r="629" spans="1:3" ht="27.75" thickBot="1">
      <c r="A629" s="4" t="s">
        <v>2561</v>
      </c>
      <c r="B629" s="6" t="s">
        <v>1632</v>
      </c>
      <c r="C629" s="6" t="s">
        <v>2562</v>
      </c>
    </row>
    <row r="630" spans="1:3" ht="17.25" thickBot="1">
      <c r="A630" s="4" t="s">
        <v>1922</v>
      </c>
      <c r="B630" s="5" t="s">
        <v>1566</v>
      </c>
      <c r="C630" s="5" t="s">
        <v>2563</v>
      </c>
    </row>
    <row r="631" spans="1:3" ht="17.25" thickBot="1">
      <c r="A631" s="4" t="s">
        <v>2564</v>
      </c>
      <c r="B631" s="6" t="s">
        <v>1632</v>
      </c>
      <c r="C631" s="6" t="s">
        <v>2565</v>
      </c>
    </row>
    <row r="632" spans="1:3" ht="26.25" thickBot="1">
      <c r="A632" s="4" t="s">
        <v>1915</v>
      </c>
      <c r="B632" s="5" t="s">
        <v>1624</v>
      </c>
      <c r="C632" s="6" t="s">
        <v>2566</v>
      </c>
    </row>
    <row r="633" spans="1:3" ht="39" thickBot="1">
      <c r="A633" s="4" t="s">
        <v>2567</v>
      </c>
      <c r="B633" s="5" t="s">
        <v>2477</v>
      </c>
      <c r="C633" s="6" t="s">
        <v>2568</v>
      </c>
    </row>
    <row r="634" spans="1:3">
      <c r="A634" s="92" t="s">
        <v>2569</v>
      </c>
      <c r="B634" s="91" t="s">
        <v>1603</v>
      </c>
      <c r="C634" s="7" t="s">
        <v>2570</v>
      </c>
    </row>
    <row r="635" spans="1:3">
      <c r="A635" s="171"/>
      <c r="B635" s="170"/>
      <c r="C635" s="8" t="s">
        <v>2571</v>
      </c>
    </row>
    <row r="636" spans="1:3" ht="17.25" thickBot="1">
      <c r="A636" s="98"/>
      <c r="B636" s="97"/>
      <c r="C636" s="5" t="s">
        <v>2572</v>
      </c>
    </row>
    <row r="637" spans="1:3">
      <c r="A637" s="92" t="s">
        <v>2573</v>
      </c>
      <c r="B637" s="8" t="s">
        <v>2574</v>
      </c>
      <c r="C637" s="91"/>
    </row>
    <row r="638" spans="1:3" ht="17.25" thickBot="1">
      <c r="A638" s="98"/>
      <c r="B638" s="5" t="s">
        <v>1628</v>
      </c>
      <c r="C638" s="97"/>
    </row>
    <row r="639" spans="1:3" ht="17.25" thickBot="1">
      <c r="A639" s="4" t="s">
        <v>2575</v>
      </c>
      <c r="B639" s="5" t="s">
        <v>1603</v>
      </c>
      <c r="C639" s="5"/>
    </row>
    <row r="640" spans="1:3">
      <c r="B640" s="114" t="s">
        <v>2576</v>
      </c>
      <c r="C640" s="114" t="s">
        <v>2577</v>
      </c>
    </row>
    <row r="641" spans="1:3" ht="17.25" thickBot="1">
      <c r="A641" s="115" t="s">
        <v>2580</v>
      </c>
      <c r="B641" s="115" t="s">
        <v>2581</v>
      </c>
    </row>
    <row r="642" spans="1:3" ht="17.25" thickBot="1">
      <c r="A642" s="102" t="s">
        <v>1591</v>
      </c>
      <c r="B642" s="103" t="s">
        <v>1635</v>
      </c>
      <c r="C642" s="103" t="s">
        <v>1593</v>
      </c>
    </row>
    <row r="643" spans="1:3" ht="26.25" thickBot="1">
      <c r="A643" s="4" t="s">
        <v>2584</v>
      </c>
      <c r="B643" s="5" t="s">
        <v>2585</v>
      </c>
      <c r="C643" s="6" t="s">
        <v>2586</v>
      </c>
    </row>
    <row r="644" spans="1:3" ht="17.25" thickBot="1">
      <c r="A644" s="4" t="s">
        <v>2587</v>
      </c>
      <c r="B644" s="5" t="s">
        <v>2588</v>
      </c>
      <c r="C644" s="6" t="s">
        <v>2589</v>
      </c>
    </row>
    <row r="645" spans="1:3">
      <c r="A645" s="92" t="s">
        <v>2590</v>
      </c>
      <c r="B645" s="8" t="s">
        <v>1603</v>
      </c>
      <c r="C645" s="8" t="s">
        <v>2595</v>
      </c>
    </row>
    <row r="646" spans="1:3">
      <c r="A646" s="171"/>
      <c r="B646" s="8" t="s">
        <v>2591</v>
      </c>
      <c r="C646" s="8" t="s">
        <v>2596</v>
      </c>
    </row>
    <row r="647" spans="1:3">
      <c r="A647" s="171"/>
      <c r="B647" s="8" t="s">
        <v>2592</v>
      </c>
      <c r="C647" s="8" t="s">
        <v>2597</v>
      </c>
    </row>
    <row r="648" spans="1:3">
      <c r="A648" s="171"/>
      <c r="B648" s="8" t="s">
        <v>2593</v>
      </c>
      <c r="C648" s="8" t="s">
        <v>2598</v>
      </c>
    </row>
    <row r="649" spans="1:3">
      <c r="A649" s="171"/>
      <c r="B649" s="8" t="s">
        <v>2594</v>
      </c>
      <c r="C649" s="8" t="s">
        <v>2599</v>
      </c>
    </row>
    <row r="650" spans="1:3" ht="77.25" thickBot="1">
      <c r="A650" s="98"/>
      <c r="B650" s="136"/>
      <c r="C650" s="6" t="s">
        <v>2600</v>
      </c>
    </row>
    <row r="651" spans="1:3" ht="17.25" thickBot="1">
      <c r="A651" s="4" t="s">
        <v>2601</v>
      </c>
      <c r="B651" s="5" t="s">
        <v>2602</v>
      </c>
      <c r="C651" s="6" t="s">
        <v>2603</v>
      </c>
    </row>
    <row r="652" spans="1:3">
      <c r="A652" s="92" t="s">
        <v>2604</v>
      </c>
      <c r="B652" s="8" t="s">
        <v>1566</v>
      </c>
      <c r="C652" s="7" t="s">
        <v>2605</v>
      </c>
    </row>
    <row r="653" spans="1:3">
      <c r="A653" s="171"/>
      <c r="B653" s="8" t="b">
        <v>1</v>
      </c>
      <c r="C653" s="7" t="s">
        <v>2606</v>
      </c>
    </row>
    <row r="654" spans="1:3" ht="17.25" thickBot="1">
      <c r="A654" s="98"/>
      <c r="B654" s="5" t="b">
        <v>0</v>
      </c>
      <c r="C654" s="5" t="s">
        <v>2607</v>
      </c>
    </row>
    <row r="655" spans="1:3">
      <c r="A655" s="92" t="s">
        <v>2608</v>
      </c>
      <c r="B655" s="8" t="s">
        <v>1566</v>
      </c>
      <c r="C655" s="8" t="s">
        <v>2609</v>
      </c>
    </row>
    <row r="656" spans="1:3">
      <c r="A656" s="171"/>
      <c r="B656" s="8" t="b">
        <v>0</v>
      </c>
      <c r="C656" s="8" t="s">
        <v>2610</v>
      </c>
    </row>
    <row r="657" spans="1:3" ht="17.25" thickBot="1">
      <c r="A657" s="98"/>
      <c r="B657" s="5" t="b">
        <v>1</v>
      </c>
      <c r="C657" s="136"/>
    </row>
    <row r="658" spans="1:3">
      <c r="A658" s="92" t="s">
        <v>2611</v>
      </c>
      <c r="B658" s="91" t="s">
        <v>2612</v>
      </c>
      <c r="C658" s="8" t="s">
        <v>2613</v>
      </c>
    </row>
    <row r="659" spans="1:3">
      <c r="A659" s="171"/>
      <c r="B659" s="170"/>
      <c r="C659" s="8" t="s">
        <v>2614</v>
      </c>
    </row>
    <row r="660" spans="1:3" ht="17.25" thickBot="1">
      <c r="A660" s="98"/>
      <c r="B660" s="97"/>
      <c r="C660" s="5" t="s">
        <v>2615</v>
      </c>
    </row>
    <row r="661" spans="1:3" ht="17.25" thickBot="1">
      <c r="A661" s="4" t="s">
        <v>2616</v>
      </c>
      <c r="B661" s="5" t="s">
        <v>2617</v>
      </c>
      <c r="C661" s="6" t="s">
        <v>2618</v>
      </c>
    </row>
    <row r="662" spans="1:3">
      <c r="A662" s="92" t="s">
        <v>2619</v>
      </c>
      <c r="B662" s="91" t="s">
        <v>2620</v>
      </c>
      <c r="C662" s="94" t="s">
        <v>2621</v>
      </c>
    </row>
    <row r="663" spans="1:3">
      <c r="A663" s="171"/>
      <c r="B663" s="170"/>
      <c r="C663" s="94" t="s">
        <v>2622</v>
      </c>
    </row>
    <row r="664" spans="1:3">
      <c r="A664" s="171"/>
      <c r="B664" s="170"/>
      <c r="C664" s="94" t="s">
        <v>2623</v>
      </c>
    </row>
    <row r="665" spans="1:3" ht="140.25">
      <c r="A665" s="171"/>
      <c r="B665" s="170"/>
      <c r="C665" s="95" t="s">
        <v>2624</v>
      </c>
    </row>
    <row r="666" spans="1:3" ht="26.25" thickBot="1">
      <c r="A666" s="98"/>
      <c r="B666" s="97"/>
      <c r="C666" s="151" t="s">
        <v>2625</v>
      </c>
    </row>
    <row r="667" spans="1:3">
      <c r="A667" s="92" t="s">
        <v>2626</v>
      </c>
      <c r="B667" s="8" t="s">
        <v>1566</v>
      </c>
      <c r="C667" s="8" t="s">
        <v>2627</v>
      </c>
    </row>
    <row r="668" spans="1:3">
      <c r="A668" s="171"/>
      <c r="B668" s="8" t="b">
        <v>0</v>
      </c>
      <c r="C668" s="8" t="s">
        <v>2628</v>
      </c>
    </row>
    <row r="669" spans="1:3" ht="17.25" thickBot="1">
      <c r="A669" s="98"/>
      <c r="B669" s="5" t="b">
        <v>1</v>
      </c>
      <c r="C669" s="136"/>
    </row>
    <row r="670" spans="1:3" ht="25.5">
      <c r="A670" s="92" t="s">
        <v>2629</v>
      </c>
      <c r="B670" s="91" t="s">
        <v>1566</v>
      </c>
      <c r="C670" s="7" t="s">
        <v>2630</v>
      </c>
    </row>
    <row r="671" spans="1:3" ht="26.25" thickBot="1">
      <c r="A671" s="98"/>
      <c r="B671" s="97"/>
      <c r="C671" s="6" t="s">
        <v>2631</v>
      </c>
    </row>
    <row r="672" spans="1:3">
      <c r="A672" s="92" t="s">
        <v>2632</v>
      </c>
      <c r="B672" s="8" t="s">
        <v>1603</v>
      </c>
      <c r="C672" s="7" t="s">
        <v>2637</v>
      </c>
    </row>
    <row r="673" spans="1:3">
      <c r="A673" s="171"/>
      <c r="B673" s="8" t="s">
        <v>2633</v>
      </c>
      <c r="C673" s="8" t="s">
        <v>2596</v>
      </c>
    </row>
    <row r="674" spans="1:3">
      <c r="A674" s="171"/>
      <c r="B674" s="8" t="s">
        <v>2634</v>
      </c>
      <c r="C674" s="8" t="s">
        <v>2638</v>
      </c>
    </row>
    <row r="675" spans="1:3">
      <c r="A675" s="171"/>
      <c r="B675" s="8" t="s">
        <v>2635</v>
      </c>
      <c r="C675" s="8" t="s">
        <v>2639</v>
      </c>
    </row>
    <row r="676" spans="1:3" ht="51.75" thickBot="1">
      <c r="A676" s="98"/>
      <c r="B676" s="5" t="s">
        <v>2636</v>
      </c>
      <c r="C676" s="6" t="s">
        <v>2640</v>
      </c>
    </row>
    <row r="677" spans="1:3">
      <c r="A677" s="92" t="s">
        <v>2641</v>
      </c>
      <c r="B677" s="8" t="s">
        <v>1600</v>
      </c>
      <c r="C677" s="8" t="s">
        <v>2645</v>
      </c>
    </row>
    <row r="678" spans="1:3">
      <c r="A678" s="171"/>
      <c r="B678" s="8" t="s">
        <v>2642</v>
      </c>
      <c r="C678" s="8" t="s">
        <v>2646</v>
      </c>
    </row>
    <row r="679" spans="1:3">
      <c r="A679" s="171"/>
      <c r="B679" s="8" t="s">
        <v>2643</v>
      </c>
      <c r="C679" s="8" t="s">
        <v>2647</v>
      </c>
    </row>
    <row r="680" spans="1:3" ht="17.25" thickBot="1">
      <c r="A680" s="98"/>
      <c r="B680" s="5" t="s">
        <v>2644</v>
      </c>
      <c r="C680" s="136"/>
    </row>
    <row r="681" spans="1:3">
      <c r="A681" s="92" t="s">
        <v>2648</v>
      </c>
      <c r="B681" s="8" t="s">
        <v>1566</v>
      </c>
      <c r="C681" s="7" t="s">
        <v>2649</v>
      </c>
    </row>
    <row r="682" spans="1:3">
      <c r="A682" s="171"/>
      <c r="B682" s="8" t="b">
        <v>1</v>
      </c>
      <c r="C682" s="7" t="s">
        <v>2650</v>
      </c>
    </row>
    <row r="683" spans="1:3" ht="17.25" thickBot="1">
      <c r="A683" s="98"/>
      <c r="B683" s="5" t="b">
        <v>0</v>
      </c>
      <c r="C683" s="136"/>
    </row>
    <row r="684" spans="1:3">
      <c r="B684" s="114" t="s">
        <v>2651</v>
      </c>
      <c r="C684" s="114" t="s">
        <v>2652</v>
      </c>
    </row>
    <row r="685" spans="1:3" ht="17.25" thickBot="1">
      <c r="A685" s="115" t="s">
        <v>2653</v>
      </c>
      <c r="B685" s="115" t="s">
        <v>2654</v>
      </c>
    </row>
    <row r="686" spans="1:3" ht="17.25" thickBot="1">
      <c r="A686" s="102" t="s">
        <v>1591</v>
      </c>
      <c r="B686" s="103" t="s">
        <v>1635</v>
      </c>
      <c r="C686" s="103" t="s">
        <v>1593</v>
      </c>
    </row>
    <row r="687" spans="1:3">
      <c r="A687" s="92" t="s">
        <v>2655</v>
      </c>
      <c r="B687" s="8" t="s">
        <v>1603</v>
      </c>
      <c r="C687" s="91" t="s">
        <v>2656</v>
      </c>
    </row>
    <row r="688" spans="1:3" ht="17.25" thickBot="1">
      <c r="A688" s="98"/>
      <c r="B688" s="5" t="s">
        <v>1550</v>
      </c>
      <c r="C688" s="97"/>
    </row>
    <row r="689" spans="1:3">
      <c r="A689" s="92" t="s">
        <v>2002</v>
      </c>
      <c r="B689" s="8" t="s">
        <v>2112</v>
      </c>
      <c r="C689" s="91" t="s">
        <v>2658</v>
      </c>
    </row>
    <row r="690" spans="1:3" ht="17.25" thickBot="1">
      <c r="A690" s="98"/>
      <c r="B690" s="5" t="s">
        <v>2657</v>
      </c>
      <c r="C690" s="97"/>
    </row>
    <row r="691" spans="1:3" ht="25.5">
      <c r="A691" s="92" t="s">
        <v>2659</v>
      </c>
      <c r="B691" s="8" t="s">
        <v>2660</v>
      </c>
      <c r="C691" s="91" t="s">
        <v>2662</v>
      </c>
    </row>
    <row r="692" spans="1:3" ht="17.25" thickBot="1">
      <c r="A692" s="98"/>
      <c r="B692" s="5" t="s">
        <v>2661</v>
      </c>
      <c r="C692" s="97"/>
    </row>
    <row r="693" spans="1:3">
      <c r="A693" s="92" t="s">
        <v>2663</v>
      </c>
      <c r="B693" s="8" t="s">
        <v>1603</v>
      </c>
      <c r="C693" s="91" t="s">
        <v>2664</v>
      </c>
    </row>
    <row r="694" spans="1:3" ht="17.25" thickBot="1">
      <c r="A694" s="98"/>
      <c r="B694" s="5" t="s">
        <v>1550</v>
      </c>
      <c r="C694" s="97"/>
    </row>
    <row r="695" spans="1:3">
      <c r="A695" s="176" t="s">
        <v>2665</v>
      </c>
      <c r="B695" s="8" t="s">
        <v>1566</v>
      </c>
      <c r="C695" s="8" t="s">
        <v>2666</v>
      </c>
    </row>
    <row r="696" spans="1:3" ht="17.25" thickBot="1">
      <c r="A696" s="177"/>
      <c r="B696" s="5" t="s">
        <v>1550</v>
      </c>
      <c r="C696" s="5" t="s">
        <v>2667</v>
      </c>
    </row>
    <row r="697" spans="1:3" ht="27.75" thickBot="1">
      <c r="A697" s="4" t="s">
        <v>2670</v>
      </c>
      <c r="B697" s="5" t="s">
        <v>2509</v>
      </c>
      <c r="C697" s="6" t="s">
        <v>2671</v>
      </c>
    </row>
    <row r="698" spans="1:3">
      <c r="A698" s="92" t="s">
        <v>2025</v>
      </c>
      <c r="B698" s="91" t="s">
        <v>1603</v>
      </c>
      <c r="C698" s="8" t="s">
        <v>2026</v>
      </c>
    </row>
    <row r="699" spans="1:3" ht="51.75" thickBot="1">
      <c r="A699" s="98"/>
      <c r="B699" s="97"/>
      <c r="C699" s="6" t="s">
        <v>2027</v>
      </c>
    </row>
    <row r="700" spans="1:3">
      <c r="B700" s="114" t="s">
        <v>2672</v>
      </c>
      <c r="C700" s="114" t="s">
        <v>2673</v>
      </c>
    </row>
    <row r="701" spans="1:3">
      <c r="A701" s="115" t="s">
        <v>2675</v>
      </c>
      <c r="B701" s="115" t="s">
        <v>2676</v>
      </c>
    </row>
    <row r="702" spans="1:3" ht="17.25" thickBot="1">
      <c r="A702" s="126" t="s">
        <v>2677</v>
      </c>
    </row>
    <row r="703" spans="1:3" ht="17.25" thickBot="1">
      <c r="A703" s="102" t="s">
        <v>1591</v>
      </c>
      <c r="B703" s="103" t="s">
        <v>1592</v>
      </c>
      <c r="C703" s="103" t="s">
        <v>1593</v>
      </c>
    </row>
    <row r="704" spans="1:3" ht="17.25" thickBot="1">
      <c r="A704" s="145" t="s">
        <v>2678</v>
      </c>
      <c r="B704" s="5" t="s">
        <v>2698</v>
      </c>
      <c r="C704" s="5" t="s">
        <v>2679</v>
      </c>
    </row>
    <row r="705" spans="1:3" ht="25.5">
      <c r="A705" s="176" t="s">
        <v>2680</v>
      </c>
      <c r="B705" s="91" t="s">
        <v>1566</v>
      </c>
      <c r="C705" s="7" t="s">
        <v>2681</v>
      </c>
    </row>
    <row r="706" spans="1:3" ht="17.25" thickBot="1">
      <c r="A706" s="177"/>
      <c r="B706" s="97"/>
      <c r="C706" s="5" t="s">
        <v>2682</v>
      </c>
    </row>
    <row r="707" spans="1:3" ht="17.25" thickBot="1">
      <c r="A707" s="145" t="s">
        <v>2683</v>
      </c>
      <c r="B707" s="5" t="s">
        <v>1557</v>
      </c>
      <c r="C707" s="6" t="s">
        <v>2684</v>
      </c>
    </row>
    <row r="708" spans="1:3" ht="30">
      <c r="A708" s="176" t="s">
        <v>2685</v>
      </c>
      <c r="B708" s="91" t="s">
        <v>1599</v>
      </c>
      <c r="C708" s="93" t="s">
        <v>2686</v>
      </c>
    </row>
    <row r="709" spans="1:3" ht="26.25" thickBot="1">
      <c r="A709" s="177"/>
      <c r="B709" s="97"/>
      <c r="C709" s="6" t="s">
        <v>2687</v>
      </c>
    </row>
    <row r="710" spans="1:3" ht="30">
      <c r="A710" s="176" t="s">
        <v>2688</v>
      </c>
      <c r="B710" s="91" t="s">
        <v>1599</v>
      </c>
      <c r="C710" s="8" t="s">
        <v>2689</v>
      </c>
    </row>
    <row r="711" spans="1:3" ht="26.25" thickBot="1">
      <c r="A711" s="177"/>
      <c r="B711" s="97"/>
      <c r="C711" s="6" t="s">
        <v>2690</v>
      </c>
    </row>
    <row r="712" spans="1:3" ht="30">
      <c r="A712" s="176" t="s">
        <v>2691</v>
      </c>
      <c r="B712" s="91" t="s">
        <v>1599</v>
      </c>
      <c r="C712" s="8" t="s">
        <v>2692</v>
      </c>
    </row>
    <row r="713" spans="1:3">
      <c r="A713" s="178"/>
      <c r="B713" s="170"/>
      <c r="C713" s="7" t="s">
        <v>2693</v>
      </c>
    </row>
    <row r="714" spans="1:3" ht="17.25" thickBot="1">
      <c r="A714" s="177"/>
      <c r="B714" s="97"/>
      <c r="C714" s="5" t="s">
        <v>2694</v>
      </c>
    </row>
    <row r="715" spans="1:3" ht="30.75" thickBot="1">
      <c r="A715" s="145" t="s">
        <v>2695</v>
      </c>
      <c r="B715" s="5" t="s">
        <v>1599</v>
      </c>
      <c r="C715" s="6" t="s">
        <v>2696</v>
      </c>
    </row>
    <row r="716" spans="1:3" ht="17.25" thickBot="1">
      <c r="A716" s="145" t="s">
        <v>2697</v>
      </c>
      <c r="B716" s="5" t="s">
        <v>2698</v>
      </c>
      <c r="C716" s="6" t="s">
        <v>2699</v>
      </c>
    </row>
    <row r="717" spans="1:3" ht="17.25" thickBot="1">
      <c r="A717" s="145" t="s">
        <v>2700</v>
      </c>
      <c r="B717" s="5" t="s">
        <v>2698</v>
      </c>
      <c r="C717" s="5" t="s">
        <v>2701</v>
      </c>
    </row>
    <row r="718" spans="1:3" ht="26.25" thickBot="1">
      <c r="A718" s="145" t="s">
        <v>2702</v>
      </c>
      <c r="B718" s="5" t="s">
        <v>2698</v>
      </c>
      <c r="C718" s="6" t="s">
        <v>2703</v>
      </c>
    </row>
    <row r="719" spans="1:3" ht="17.25" thickBot="1">
      <c r="A719" s="145" t="s">
        <v>2704</v>
      </c>
      <c r="B719" s="5" t="s">
        <v>2698</v>
      </c>
      <c r="C719" s="6" t="s">
        <v>2705</v>
      </c>
    </row>
    <row r="720" spans="1:3" ht="26.25" thickBot="1">
      <c r="A720" s="145" t="s">
        <v>2706</v>
      </c>
      <c r="B720" s="5" t="s">
        <v>2698</v>
      </c>
      <c r="C720" s="6" t="s">
        <v>2707</v>
      </c>
    </row>
    <row r="721" spans="1:3" ht="17.25" thickBot="1">
      <c r="A721" s="126" t="s">
        <v>2708</v>
      </c>
    </row>
    <row r="722" spans="1:3" ht="17.25" thickBot="1">
      <c r="A722" s="102" t="s">
        <v>1591</v>
      </c>
      <c r="B722" s="110" t="s">
        <v>1592</v>
      </c>
      <c r="C722" s="103" t="s">
        <v>1593</v>
      </c>
    </row>
    <row r="723" spans="1:3" ht="26.25" thickBot="1">
      <c r="A723" s="145" t="s">
        <v>2709</v>
      </c>
      <c r="B723" s="111" t="s">
        <v>1566</v>
      </c>
      <c r="C723" s="6" t="s">
        <v>4895</v>
      </c>
    </row>
    <row r="724" spans="1:3" ht="26.25" thickBot="1">
      <c r="A724" s="145" t="s">
        <v>2710</v>
      </c>
      <c r="B724" s="111" t="s">
        <v>1557</v>
      </c>
      <c r="C724" s="6" t="s">
        <v>4896</v>
      </c>
    </row>
    <row r="725" spans="1:3" ht="30">
      <c r="A725" s="176" t="s">
        <v>2711</v>
      </c>
      <c r="B725" s="179" t="s">
        <v>1566</v>
      </c>
      <c r="C725" s="7" t="s">
        <v>4897</v>
      </c>
    </row>
    <row r="726" spans="1:3" ht="30.75" thickBot="1">
      <c r="A726" s="145" t="s">
        <v>2712</v>
      </c>
      <c r="B726" s="111" t="s">
        <v>1566</v>
      </c>
      <c r="C726" s="6" t="s">
        <v>4898</v>
      </c>
    </row>
    <row r="727" spans="1:3" ht="30.75" thickBot="1">
      <c r="A727" s="145" t="s">
        <v>2713</v>
      </c>
      <c r="B727" s="111" t="s">
        <v>1566</v>
      </c>
      <c r="C727" s="6" t="s">
        <v>4899</v>
      </c>
    </row>
    <row r="728" spans="1:3" ht="26.25" thickBot="1">
      <c r="A728" s="145" t="s">
        <v>2714</v>
      </c>
      <c r="B728" s="111" t="s">
        <v>2715</v>
      </c>
      <c r="C728" s="6" t="s">
        <v>4900</v>
      </c>
    </row>
    <row r="729" spans="1:3" ht="17.25" thickBot="1">
      <c r="A729" s="145" t="s">
        <v>2717</v>
      </c>
      <c r="B729" s="111" t="s">
        <v>2715</v>
      </c>
      <c r="C729" s="5" t="s">
        <v>4901</v>
      </c>
    </row>
    <row r="730" spans="1:3">
      <c r="B730" s="114" t="s">
        <v>2718</v>
      </c>
      <c r="C730" s="114" t="s">
        <v>2719</v>
      </c>
    </row>
    <row r="731" spans="1:3" ht="17.25" thickBot="1">
      <c r="A731" s="115" t="s">
        <v>2720</v>
      </c>
      <c r="B731" s="115" t="s">
        <v>2721</v>
      </c>
    </row>
    <row r="732" spans="1:3" ht="17.25" thickBot="1">
      <c r="A732" s="102" t="s">
        <v>1591</v>
      </c>
      <c r="B732" s="103" t="s">
        <v>1592</v>
      </c>
      <c r="C732" s="103" t="s">
        <v>1593</v>
      </c>
    </row>
    <row r="733" spans="1:3" ht="39" thickBot="1">
      <c r="A733" s="104" t="s">
        <v>2722</v>
      </c>
      <c r="B733" s="5" t="s">
        <v>2698</v>
      </c>
      <c r="C733" s="6" t="s">
        <v>2723</v>
      </c>
    </row>
    <row r="734" spans="1:3" ht="51.75" thickBot="1">
      <c r="A734" s="145" t="s">
        <v>2724</v>
      </c>
      <c r="B734" s="5" t="s">
        <v>2698</v>
      </c>
      <c r="C734" s="6" t="s">
        <v>2725</v>
      </c>
    </row>
    <row r="735" spans="1:3" ht="26.25" thickBot="1">
      <c r="A735" s="145" t="s">
        <v>2726</v>
      </c>
      <c r="B735" s="5" t="s">
        <v>2698</v>
      </c>
      <c r="C735" s="6" t="s">
        <v>2727</v>
      </c>
    </row>
    <row r="736" spans="1:3" ht="39" thickBot="1">
      <c r="A736" s="145" t="s">
        <v>2728</v>
      </c>
      <c r="B736" s="5" t="s">
        <v>2698</v>
      </c>
      <c r="C736" s="6" t="s">
        <v>2729</v>
      </c>
    </row>
    <row r="737" spans="1:3" ht="30.75" thickBot="1">
      <c r="A737" s="145" t="s">
        <v>2730</v>
      </c>
      <c r="B737" s="5" t="s">
        <v>2698</v>
      </c>
      <c r="C737" s="6" t="s">
        <v>2731</v>
      </c>
    </row>
    <row r="738" spans="1:3" ht="30.75" thickBot="1">
      <c r="A738" s="145" t="s">
        <v>2732</v>
      </c>
      <c r="B738" s="5" t="s">
        <v>1566</v>
      </c>
      <c r="C738" s="6" t="s">
        <v>2733</v>
      </c>
    </row>
    <row r="739" spans="1:3" ht="17.25" thickBot="1">
      <c r="A739" s="145" t="s">
        <v>2700</v>
      </c>
      <c r="B739" s="5" t="s">
        <v>2698</v>
      </c>
      <c r="C739" s="5" t="s">
        <v>2734</v>
      </c>
    </row>
    <row r="740" spans="1:3">
      <c r="A740" s="176" t="s">
        <v>2735</v>
      </c>
      <c r="B740" s="8" t="s">
        <v>2736</v>
      </c>
      <c r="C740" s="8" t="s">
        <v>2738</v>
      </c>
    </row>
    <row r="741" spans="1:3">
      <c r="A741" s="178"/>
      <c r="B741" s="8" t="s">
        <v>2737</v>
      </c>
      <c r="C741" s="8" t="s">
        <v>2739</v>
      </c>
    </row>
    <row r="742" spans="1:3">
      <c r="A742" s="178"/>
      <c r="B742" s="154"/>
      <c r="C742" s="8" t="s">
        <v>2740</v>
      </c>
    </row>
    <row r="743" spans="1:3">
      <c r="A743" s="178"/>
      <c r="B743" s="154"/>
      <c r="C743" s="8" t="s">
        <v>2741</v>
      </c>
    </row>
    <row r="744" spans="1:3" ht="17.25" thickBot="1">
      <c r="A744" s="177"/>
      <c r="B744" s="136"/>
      <c r="C744" s="5" t="s">
        <v>2742</v>
      </c>
    </row>
    <row r="745" spans="1:3">
      <c r="B745" s="114" t="s">
        <v>2743</v>
      </c>
      <c r="C745" s="114" t="s">
        <v>2744</v>
      </c>
    </row>
    <row r="746" spans="1:3" ht="17.25" thickBot="1">
      <c r="A746" s="115" t="s">
        <v>2745</v>
      </c>
      <c r="B746" s="115" t="s">
        <v>2746</v>
      </c>
    </row>
    <row r="747" spans="1:3" ht="17.25" thickBot="1">
      <c r="A747" s="102" t="s">
        <v>1591</v>
      </c>
      <c r="B747" s="103" t="s">
        <v>1635</v>
      </c>
      <c r="C747" s="103" t="s">
        <v>1593</v>
      </c>
    </row>
    <row r="748" spans="1:3">
      <c r="A748" s="92" t="s">
        <v>2747</v>
      </c>
      <c r="B748" s="8" t="s">
        <v>1620</v>
      </c>
      <c r="C748" s="91" t="s">
        <v>2748</v>
      </c>
    </row>
    <row r="749" spans="1:3" ht="17.25" thickBot="1">
      <c r="A749" s="98"/>
      <c r="B749" s="5" t="s">
        <v>1550</v>
      </c>
      <c r="C749" s="97"/>
    </row>
    <row r="750" spans="1:3">
      <c r="A750" s="92" t="s">
        <v>2749</v>
      </c>
      <c r="B750" s="8" t="s">
        <v>1620</v>
      </c>
      <c r="C750" s="91" t="s">
        <v>2750</v>
      </c>
    </row>
    <row r="751" spans="1:3" ht="17.25" thickBot="1">
      <c r="A751" s="98"/>
      <c r="B751" s="5" t="s">
        <v>1550</v>
      </c>
      <c r="C751" s="97"/>
    </row>
    <row r="752" spans="1:3" ht="41.25" thickBot="1">
      <c r="A752" s="4" t="s">
        <v>2752</v>
      </c>
      <c r="B752" s="5" t="s">
        <v>1608</v>
      </c>
      <c r="C752" s="6" t="s">
        <v>2753</v>
      </c>
    </row>
    <row r="753" spans="1:3" ht="17.25" thickBot="1">
      <c r="A753" s="4" t="s">
        <v>1634</v>
      </c>
      <c r="B753" s="5" t="s">
        <v>1603</v>
      </c>
      <c r="C753" s="5" t="s">
        <v>2754</v>
      </c>
    </row>
    <row r="754" spans="1:3" ht="17.25" thickBot="1">
      <c r="A754" s="4" t="s">
        <v>2755</v>
      </c>
      <c r="B754" s="6" t="s">
        <v>1561</v>
      </c>
      <c r="C754" s="6" t="s">
        <v>2756</v>
      </c>
    </row>
    <row r="755" spans="1:3" ht="27.75" thickBot="1">
      <c r="A755" s="4" t="s">
        <v>2757</v>
      </c>
      <c r="B755" s="5" t="s">
        <v>1608</v>
      </c>
      <c r="C755" s="6" t="s">
        <v>2758</v>
      </c>
    </row>
    <row r="756" spans="1:3" ht="17.25" thickBot="1">
      <c r="A756" s="4" t="s">
        <v>2759</v>
      </c>
      <c r="B756" s="5" t="s">
        <v>1566</v>
      </c>
      <c r="C756" s="6" t="s">
        <v>2760</v>
      </c>
    </row>
    <row r="757" spans="1:3" ht="27.75" thickBot="1">
      <c r="A757" s="4" t="s">
        <v>2761</v>
      </c>
      <c r="B757" s="5" t="s">
        <v>1566</v>
      </c>
      <c r="C757" s="6" t="s">
        <v>2762</v>
      </c>
    </row>
    <row r="758" spans="1:3" ht="27.75" thickBot="1">
      <c r="A758" s="4" t="s">
        <v>2763</v>
      </c>
      <c r="B758" s="5" t="s">
        <v>1566</v>
      </c>
      <c r="C758" s="6" t="s">
        <v>2764</v>
      </c>
    </row>
    <row r="759" spans="1:3" ht="27">
      <c r="A759" s="92" t="s">
        <v>2765</v>
      </c>
      <c r="B759" s="91" t="s">
        <v>1620</v>
      </c>
      <c r="C759" s="7" t="s">
        <v>2766</v>
      </c>
    </row>
    <row r="760" spans="1:3" ht="17.25" thickBot="1">
      <c r="A760" s="98"/>
      <c r="B760" s="97"/>
      <c r="C760" s="5" t="s">
        <v>2767</v>
      </c>
    </row>
    <row r="761" spans="1:3" ht="27">
      <c r="A761" s="96" t="s">
        <v>2768</v>
      </c>
      <c r="B761" s="91" t="s">
        <v>1620</v>
      </c>
      <c r="C761" s="91" t="s">
        <v>2770</v>
      </c>
    </row>
    <row r="762" spans="1:3" ht="17.25" thickBot="1">
      <c r="A762" s="4" t="s">
        <v>2769</v>
      </c>
      <c r="B762" s="97"/>
      <c r="C762" s="97"/>
    </row>
    <row r="763" spans="1:3" ht="27.75" thickBot="1">
      <c r="A763" s="4" t="s">
        <v>2771</v>
      </c>
      <c r="B763" s="5" t="s">
        <v>1608</v>
      </c>
      <c r="C763" s="6" t="s">
        <v>2772</v>
      </c>
    </row>
    <row r="764" spans="1:3" ht="27">
      <c r="A764" s="92" t="s">
        <v>2773</v>
      </c>
      <c r="B764" s="7" t="s">
        <v>2116</v>
      </c>
      <c r="C764" s="91" t="s">
        <v>2774</v>
      </c>
    </row>
    <row r="765" spans="1:3" ht="17.25" thickBot="1">
      <c r="A765" s="98"/>
      <c r="B765" s="5" t="s">
        <v>2607</v>
      </c>
      <c r="C765" s="97"/>
    </row>
    <row r="766" spans="1:3" ht="27.75" thickBot="1">
      <c r="A766" s="4" t="s">
        <v>2775</v>
      </c>
      <c r="B766" s="5" t="s">
        <v>1620</v>
      </c>
      <c r="C766" s="6" t="s">
        <v>2776</v>
      </c>
    </row>
    <row r="767" spans="1:3" ht="27">
      <c r="A767" s="92" t="s">
        <v>2777</v>
      </c>
      <c r="B767" s="91" t="s">
        <v>1620</v>
      </c>
      <c r="C767" s="7" t="s">
        <v>2778</v>
      </c>
    </row>
    <row r="768" spans="1:3">
      <c r="A768" s="171"/>
      <c r="B768" s="170"/>
      <c r="C768" s="137" t="s">
        <v>2779</v>
      </c>
    </row>
    <row r="769" spans="1:3">
      <c r="A769" s="171"/>
      <c r="B769" s="170"/>
      <c r="C769" s="7" t="s">
        <v>2780</v>
      </c>
    </row>
    <row r="770" spans="1:3" ht="17.25" thickBot="1">
      <c r="A770" s="98"/>
      <c r="B770" s="97"/>
      <c r="C770" s="6" t="s">
        <v>2781</v>
      </c>
    </row>
    <row r="771" spans="1:3" ht="17.25" thickBot="1">
      <c r="A771" s="4" t="s">
        <v>1740</v>
      </c>
      <c r="B771" s="5" t="s">
        <v>0</v>
      </c>
      <c r="C771" s="6" t="s">
        <v>2782</v>
      </c>
    </row>
    <row r="772" spans="1:3" ht="17.25" thickBot="1">
      <c r="A772" s="4" t="s">
        <v>2783</v>
      </c>
      <c r="B772" s="5" t="s">
        <v>0</v>
      </c>
      <c r="C772" s="6" t="s">
        <v>2784</v>
      </c>
    </row>
    <row r="773" spans="1:3" ht="27.75" thickBot="1">
      <c r="A773" s="4" t="s">
        <v>2785</v>
      </c>
      <c r="B773" s="5" t="s">
        <v>0</v>
      </c>
      <c r="C773" s="6" t="s">
        <v>2786</v>
      </c>
    </row>
    <row r="774" spans="1:3">
      <c r="A774" s="92" t="s">
        <v>2787</v>
      </c>
      <c r="B774" s="91" t="s">
        <v>1611</v>
      </c>
      <c r="C774" s="7" t="s">
        <v>2788</v>
      </c>
    </row>
    <row r="775" spans="1:3" ht="17.25" thickBot="1">
      <c r="A775" s="98"/>
      <c r="B775" s="97"/>
      <c r="C775" s="5" t="s">
        <v>2789</v>
      </c>
    </row>
    <row r="776" spans="1:3">
      <c r="A776" s="92" t="s">
        <v>2790</v>
      </c>
      <c r="B776" s="91" t="s">
        <v>2791</v>
      </c>
      <c r="C776" s="7" t="s">
        <v>2792</v>
      </c>
    </row>
    <row r="777" spans="1:3">
      <c r="A777" s="171"/>
      <c r="B777" s="170"/>
      <c r="C777" s="155" t="s">
        <v>2793</v>
      </c>
    </row>
    <row r="778" spans="1:3" ht="17.25" thickBot="1">
      <c r="A778" s="98"/>
      <c r="B778" s="97"/>
      <c r="C778" s="5" t="s">
        <v>2794</v>
      </c>
    </row>
    <row r="779" spans="1:3" ht="27.75" thickBot="1">
      <c r="A779" s="4" t="s">
        <v>2795</v>
      </c>
      <c r="B779" s="5" t="s">
        <v>1608</v>
      </c>
      <c r="C779" s="6" t="s">
        <v>2796</v>
      </c>
    </row>
    <row r="780" spans="1:3" ht="27.75" thickBot="1">
      <c r="A780" s="4" t="s">
        <v>2797</v>
      </c>
      <c r="B780" s="5" t="s">
        <v>1608</v>
      </c>
      <c r="C780" s="6" t="s">
        <v>2798</v>
      </c>
    </row>
    <row r="781" spans="1:3" ht="27">
      <c r="A781" s="92" t="s">
        <v>2799</v>
      </c>
      <c r="B781" s="91" t="s">
        <v>1608</v>
      </c>
      <c r="C781" s="7" t="s">
        <v>2800</v>
      </c>
    </row>
    <row r="782" spans="1:3" ht="26.25" thickBot="1">
      <c r="A782" s="98"/>
      <c r="B782" s="97"/>
      <c r="C782" s="156" t="s">
        <v>2801</v>
      </c>
    </row>
    <row r="783" spans="1:3" ht="27.75" thickBot="1">
      <c r="A783" s="4" t="s">
        <v>2802</v>
      </c>
      <c r="B783" s="5" t="s">
        <v>1608</v>
      </c>
      <c r="C783" s="6" t="s">
        <v>2803</v>
      </c>
    </row>
    <row r="784" spans="1:3" ht="27.75" thickBot="1">
      <c r="A784" s="4" t="s">
        <v>2804</v>
      </c>
      <c r="B784" s="5" t="s">
        <v>1608</v>
      </c>
      <c r="C784" s="6" t="s">
        <v>2805</v>
      </c>
    </row>
    <row r="785" spans="1:3" ht="27.75" thickBot="1">
      <c r="A785" s="4" t="s">
        <v>2806</v>
      </c>
      <c r="B785" s="5" t="s">
        <v>1608</v>
      </c>
      <c r="C785" s="6" t="s">
        <v>2807</v>
      </c>
    </row>
    <row r="786" spans="1:3" ht="27.75" thickBot="1">
      <c r="A786" s="4" t="s">
        <v>2808</v>
      </c>
      <c r="B786" s="5" t="s">
        <v>1608</v>
      </c>
      <c r="C786" s="6" t="s">
        <v>2809</v>
      </c>
    </row>
    <row r="787" spans="1:3" ht="27.75" thickBot="1">
      <c r="A787" s="4" t="s">
        <v>2810</v>
      </c>
      <c r="B787" s="5" t="s">
        <v>1608</v>
      </c>
      <c r="C787" s="6" t="s">
        <v>2811</v>
      </c>
    </row>
    <row r="788" spans="1:3" ht="27.75" thickBot="1">
      <c r="A788" s="4" t="s">
        <v>2812</v>
      </c>
      <c r="B788" s="5" t="s">
        <v>1608</v>
      </c>
      <c r="C788" s="6" t="s">
        <v>2813</v>
      </c>
    </row>
    <row r="789" spans="1:3">
      <c r="A789" s="92" t="s">
        <v>2814</v>
      </c>
      <c r="B789" s="91" t="s">
        <v>1608</v>
      </c>
      <c r="C789" s="7" t="s">
        <v>2815</v>
      </c>
    </row>
    <row r="790" spans="1:3" ht="17.25" thickBot="1">
      <c r="A790" s="98"/>
      <c r="B790" s="97"/>
      <c r="C790" s="100" t="s">
        <v>2816</v>
      </c>
    </row>
    <row r="791" spans="1:3" ht="27.75" thickBot="1">
      <c r="A791" s="4" t="s">
        <v>2817</v>
      </c>
      <c r="B791" s="5" t="s">
        <v>1608</v>
      </c>
      <c r="C791" s="6" t="s">
        <v>2818</v>
      </c>
    </row>
    <row r="792" spans="1:3" ht="27.75" thickBot="1">
      <c r="A792" s="4" t="s">
        <v>2819</v>
      </c>
      <c r="B792" s="5" t="s">
        <v>1608</v>
      </c>
      <c r="C792" s="6" t="s">
        <v>2820</v>
      </c>
    </row>
    <row r="793" spans="1:3" ht="41.25" thickBot="1">
      <c r="A793" s="4" t="s">
        <v>2821</v>
      </c>
      <c r="B793" s="5" t="s">
        <v>1608</v>
      </c>
      <c r="C793" s="6" t="s">
        <v>2822</v>
      </c>
    </row>
    <row r="794" spans="1:3" ht="26.25" thickBot="1">
      <c r="A794" s="4" t="s">
        <v>2823</v>
      </c>
      <c r="B794" s="5" t="s">
        <v>1608</v>
      </c>
      <c r="C794" s="6" t="s">
        <v>2824</v>
      </c>
    </row>
    <row r="795" spans="1:3" ht="26.25" thickBot="1">
      <c r="A795" s="4" t="s">
        <v>2825</v>
      </c>
      <c r="B795" s="5" t="s">
        <v>1608</v>
      </c>
      <c r="C795" s="6" t="s">
        <v>2826</v>
      </c>
    </row>
    <row r="796" spans="1:3">
      <c r="B796" s="114" t="s">
        <v>2827</v>
      </c>
      <c r="C796" s="114" t="s">
        <v>2828</v>
      </c>
    </row>
    <row r="797" spans="1:3" ht="17.25" thickBot="1">
      <c r="A797" s="115" t="s">
        <v>2863</v>
      </c>
      <c r="B797" s="115" t="s">
        <v>2864</v>
      </c>
    </row>
    <row r="798" spans="1:3" ht="17.25" thickBot="1">
      <c r="A798" s="102" t="s">
        <v>1591</v>
      </c>
      <c r="B798" s="103" t="s">
        <v>1635</v>
      </c>
      <c r="C798" s="103" t="s">
        <v>1593</v>
      </c>
    </row>
    <row r="799" spans="1:3">
      <c r="A799" s="92" t="s">
        <v>1677</v>
      </c>
      <c r="B799" s="8" t="s">
        <v>1620</v>
      </c>
      <c r="C799" s="91" t="s">
        <v>2830</v>
      </c>
    </row>
    <row r="800" spans="1:3" ht="17.25" thickBot="1">
      <c r="A800" s="98"/>
      <c r="B800" s="5" t="s">
        <v>1550</v>
      </c>
      <c r="C800" s="97"/>
    </row>
    <row r="801" spans="1:3" ht="17.25" thickBot="1">
      <c r="A801" s="4" t="s">
        <v>1674</v>
      </c>
      <c r="B801" s="5" t="s">
        <v>2831</v>
      </c>
      <c r="C801" s="5" t="s">
        <v>2832</v>
      </c>
    </row>
    <row r="802" spans="1:3" ht="17.25" thickBot="1">
      <c r="A802" s="4" t="s">
        <v>2833</v>
      </c>
      <c r="B802" s="5" t="s">
        <v>1559</v>
      </c>
      <c r="C802" s="5" t="s">
        <v>2834</v>
      </c>
    </row>
    <row r="803" spans="1:3" ht="17.25" thickBot="1">
      <c r="A803" s="4" t="s">
        <v>2835</v>
      </c>
      <c r="B803" s="5" t="s">
        <v>1559</v>
      </c>
      <c r="C803" s="5" t="s">
        <v>2836</v>
      </c>
    </row>
    <row r="804" spans="1:3" ht="27">
      <c r="A804" s="96" t="s">
        <v>2839</v>
      </c>
      <c r="B804" s="91" t="s">
        <v>1609</v>
      </c>
      <c r="C804" s="91" t="s">
        <v>2841</v>
      </c>
    </row>
    <row r="805" spans="1:3" ht="27.75" thickBot="1">
      <c r="A805" s="4" t="s">
        <v>2840</v>
      </c>
      <c r="B805" s="97"/>
      <c r="C805" s="97"/>
    </row>
    <row r="806" spans="1:3" ht="17.25" thickBot="1">
      <c r="A806" s="4" t="s">
        <v>1634</v>
      </c>
      <c r="B806" s="5" t="s">
        <v>1603</v>
      </c>
      <c r="C806" s="5" t="s">
        <v>2842</v>
      </c>
    </row>
    <row r="807" spans="1:3" ht="39" thickBot="1">
      <c r="A807" s="4" t="s">
        <v>2846</v>
      </c>
      <c r="B807" s="5" t="s">
        <v>1620</v>
      </c>
      <c r="C807" s="6" t="s">
        <v>2847</v>
      </c>
    </row>
    <row r="808" spans="1:3" ht="26.25" thickBot="1">
      <c r="A808" s="4" t="s">
        <v>2848</v>
      </c>
      <c r="B808" s="5" t="s">
        <v>1620</v>
      </c>
      <c r="C808" s="6" t="s">
        <v>2849</v>
      </c>
    </row>
    <row r="809" spans="1:3" ht="26.25" thickBot="1">
      <c r="A809" s="4" t="s">
        <v>2850</v>
      </c>
      <c r="B809" s="5" t="s">
        <v>1620</v>
      </c>
      <c r="C809" s="6" t="s">
        <v>2851</v>
      </c>
    </row>
    <row r="810" spans="1:3" ht="26.25" thickBot="1">
      <c r="A810" s="4" t="s">
        <v>2852</v>
      </c>
      <c r="B810" s="5" t="s">
        <v>1620</v>
      </c>
      <c r="C810" s="6" t="s">
        <v>2853</v>
      </c>
    </row>
    <row r="811" spans="1:3" ht="27.75" thickBot="1">
      <c r="A811" s="4" t="s">
        <v>2854</v>
      </c>
      <c r="B811" s="5" t="s">
        <v>1620</v>
      </c>
      <c r="C811" s="6" t="s">
        <v>2855</v>
      </c>
    </row>
    <row r="812" spans="1:3" ht="26.25" thickBot="1">
      <c r="A812" s="4" t="s">
        <v>2856</v>
      </c>
      <c r="B812" s="5" t="s">
        <v>1620</v>
      </c>
      <c r="C812" s="6" t="s">
        <v>2857</v>
      </c>
    </row>
    <row r="813" spans="1:3" ht="27.75" thickBot="1">
      <c r="A813" s="4" t="s">
        <v>2858</v>
      </c>
      <c r="B813" s="5" t="s">
        <v>1620</v>
      </c>
      <c r="C813" s="6" t="s">
        <v>2859</v>
      </c>
    </row>
    <row r="814" spans="1:3" ht="17.25" thickBot="1">
      <c r="A814" s="4" t="s">
        <v>2787</v>
      </c>
      <c r="B814" s="5" t="s">
        <v>1611</v>
      </c>
      <c r="C814" s="5" t="s">
        <v>2865</v>
      </c>
    </row>
    <row r="815" spans="1:3" ht="25.5">
      <c r="A815" s="92" t="s">
        <v>1728</v>
      </c>
      <c r="B815" s="91" t="s">
        <v>1615</v>
      </c>
      <c r="C815" s="7" t="s">
        <v>2871</v>
      </c>
    </row>
    <row r="816" spans="1:3" ht="17.25" thickBot="1">
      <c r="A816" s="98"/>
      <c r="B816" s="97"/>
      <c r="C816" s="5" t="s">
        <v>2872</v>
      </c>
    </row>
    <row r="817" spans="1:3">
      <c r="B817" s="114" t="s">
        <v>2873</v>
      </c>
      <c r="C817" s="114" t="s">
        <v>2874</v>
      </c>
    </row>
    <row r="818" spans="1:3" ht="17.25" thickBot="1">
      <c r="A818" s="115" t="s">
        <v>2877</v>
      </c>
      <c r="B818" s="115" t="s">
        <v>2878</v>
      </c>
    </row>
    <row r="819" spans="1:3" ht="17.25" thickBot="1">
      <c r="A819" s="102" t="s">
        <v>1591</v>
      </c>
      <c r="B819" s="103" t="s">
        <v>1635</v>
      </c>
      <c r="C819" s="103" t="s">
        <v>1593</v>
      </c>
    </row>
    <row r="820" spans="1:3" ht="17.25" thickBot="1">
      <c r="A820" s="4" t="s">
        <v>2111</v>
      </c>
      <c r="B820" s="5" t="s">
        <v>1559</v>
      </c>
      <c r="C820" s="6" t="s">
        <v>2879</v>
      </c>
    </row>
    <row r="821" spans="1:3">
      <c r="A821" s="92" t="s">
        <v>2002</v>
      </c>
      <c r="B821" s="8" t="s">
        <v>2880</v>
      </c>
      <c r="C821" s="91" t="s">
        <v>2881</v>
      </c>
    </row>
    <row r="822" spans="1:3" ht="17.25" thickBot="1">
      <c r="A822" s="98"/>
      <c r="B822" s="5" t="s">
        <v>1550</v>
      </c>
      <c r="C822" s="97"/>
    </row>
    <row r="823" spans="1:3">
      <c r="A823" s="92" t="s">
        <v>2115</v>
      </c>
      <c r="B823" s="8" t="s">
        <v>1603</v>
      </c>
      <c r="C823" s="91" t="s">
        <v>2117</v>
      </c>
    </row>
    <row r="824" spans="1:3" ht="17.25" thickBot="1">
      <c r="A824" s="98"/>
      <c r="B824" s="6" t="s">
        <v>2882</v>
      </c>
      <c r="C824" s="97"/>
    </row>
    <row r="825" spans="1:3">
      <c r="A825" s="92" t="s">
        <v>2118</v>
      </c>
      <c r="B825" s="8" t="s">
        <v>2883</v>
      </c>
      <c r="C825" s="91" t="s">
        <v>2885</v>
      </c>
    </row>
    <row r="826" spans="1:3" ht="17.25" thickBot="1">
      <c r="A826" s="98"/>
      <c r="B826" s="5" t="s">
        <v>2884</v>
      </c>
      <c r="C826" s="97"/>
    </row>
    <row r="827" spans="1:3" ht="17.25" thickBot="1">
      <c r="A827" s="4" t="s">
        <v>2886</v>
      </c>
      <c r="B827" s="5" t="s">
        <v>2887</v>
      </c>
      <c r="C827" s="5" t="s">
        <v>2888</v>
      </c>
    </row>
    <row r="828" spans="1:3">
      <c r="A828" s="92" t="s">
        <v>2121</v>
      </c>
      <c r="B828" s="8" t="s">
        <v>1603</v>
      </c>
      <c r="C828" s="91" t="s">
        <v>2122</v>
      </c>
    </row>
    <row r="829" spans="1:3" ht="17.25" thickBot="1">
      <c r="A829" s="98"/>
      <c r="B829" s="6" t="s">
        <v>2882</v>
      </c>
      <c r="C829" s="97"/>
    </row>
    <row r="830" spans="1:3">
      <c r="A830" s="92" t="s">
        <v>2123</v>
      </c>
      <c r="B830" s="8" t="s">
        <v>2889</v>
      </c>
      <c r="C830" s="91" t="s">
        <v>2890</v>
      </c>
    </row>
    <row r="831" spans="1:3" ht="17.25" thickBot="1">
      <c r="A831" s="98"/>
      <c r="B831" s="5" t="s">
        <v>2884</v>
      </c>
      <c r="C831" s="97"/>
    </row>
    <row r="832" spans="1:3">
      <c r="A832" s="92" t="s">
        <v>2132</v>
      </c>
      <c r="B832" s="8" t="s">
        <v>0</v>
      </c>
      <c r="C832" s="91" t="s">
        <v>2891</v>
      </c>
    </row>
    <row r="833" spans="1:3" ht="17.25" thickBot="1">
      <c r="A833" s="98"/>
      <c r="B833" s="5" t="s">
        <v>2133</v>
      </c>
      <c r="C833" s="97"/>
    </row>
    <row r="834" spans="1:3" ht="26.25" thickBot="1">
      <c r="A834" s="4" t="s">
        <v>2892</v>
      </c>
      <c r="B834" s="5" t="s">
        <v>1559</v>
      </c>
      <c r="C834" s="6" t="s">
        <v>2893</v>
      </c>
    </row>
    <row r="835" spans="1:3" ht="26.25" thickBot="1">
      <c r="A835" s="4" t="s">
        <v>2138</v>
      </c>
      <c r="B835" s="5" t="s">
        <v>1632</v>
      </c>
      <c r="C835" s="6" t="s">
        <v>2896</v>
      </c>
    </row>
    <row r="836" spans="1:3" ht="38.25">
      <c r="A836" s="96" t="s">
        <v>2897</v>
      </c>
      <c r="B836" s="91" t="s">
        <v>1632</v>
      </c>
      <c r="C836" s="91" t="s">
        <v>2899</v>
      </c>
    </row>
    <row r="837" spans="1:3" ht="17.25" thickBot="1">
      <c r="A837" s="4" t="s">
        <v>2898</v>
      </c>
      <c r="B837" s="97"/>
      <c r="C837" s="97"/>
    </row>
    <row r="838" spans="1:3" ht="17.25" thickBot="1">
      <c r="A838" s="4" t="s">
        <v>1903</v>
      </c>
      <c r="B838" s="5" t="s">
        <v>1603</v>
      </c>
      <c r="C838" s="5" t="s">
        <v>2900</v>
      </c>
    </row>
    <row r="839" spans="1:3" ht="17.25" thickBot="1">
      <c r="A839" s="4" t="s">
        <v>1912</v>
      </c>
      <c r="B839" s="5" t="s">
        <v>1603</v>
      </c>
      <c r="C839" s="5" t="s">
        <v>2146</v>
      </c>
    </row>
    <row r="840" spans="1:3" ht="17.25" thickBot="1">
      <c r="A840" s="4" t="s">
        <v>1915</v>
      </c>
      <c r="B840" s="5" t="s">
        <v>1624</v>
      </c>
      <c r="C840" s="5" t="s">
        <v>2014</v>
      </c>
    </row>
    <row r="841" spans="1:3" ht="27.75" thickBot="1">
      <c r="A841" s="4" t="s">
        <v>2901</v>
      </c>
      <c r="B841" s="5" t="s">
        <v>1632</v>
      </c>
      <c r="C841" s="6" t="s">
        <v>2902</v>
      </c>
    </row>
    <row r="842" spans="1:3" ht="41.25" thickBot="1">
      <c r="A842" s="4" t="s">
        <v>2903</v>
      </c>
      <c r="B842" s="5" t="s">
        <v>1632</v>
      </c>
      <c r="C842" s="6" t="s">
        <v>2904</v>
      </c>
    </row>
    <row r="843" spans="1:3">
      <c r="A843" s="92" t="s">
        <v>2905</v>
      </c>
      <c r="B843" s="91" t="s">
        <v>2906</v>
      </c>
      <c r="C843" s="8" t="s">
        <v>2907</v>
      </c>
    </row>
    <row r="844" spans="1:3" ht="17.25" thickBot="1">
      <c r="A844" s="98"/>
      <c r="B844" s="97"/>
      <c r="C844" s="5" t="s">
        <v>2908</v>
      </c>
    </row>
    <row r="845" spans="1:3" ht="27">
      <c r="A845" s="92" t="s">
        <v>2909</v>
      </c>
      <c r="B845" s="91" t="s">
        <v>2906</v>
      </c>
      <c r="C845" s="8" t="s">
        <v>2910</v>
      </c>
    </row>
    <row r="846" spans="1:3" ht="17.25" thickBot="1">
      <c r="A846" s="98"/>
      <c r="B846" s="97"/>
      <c r="C846" s="6" t="s">
        <v>2911</v>
      </c>
    </row>
    <row r="847" spans="1:3" ht="17.25" thickBot="1">
      <c r="A847" s="4" t="s">
        <v>1775</v>
      </c>
      <c r="B847" s="5" t="s">
        <v>1632</v>
      </c>
      <c r="C847" s="5" t="s">
        <v>2912</v>
      </c>
    </row>
    <row r="848" spans="1:3" ht="17.25" thickBot="1">
      <c r="A848" s="4" t="s">
        <v>2143</v>
      </c>
      <c r="B848" s="5" t="s">
        <v>1632</v>
      </c>
      <c r="C848" s="5" t="s">
        <v>2913</v>
      </c>
    </row>
    <row r="849" spans="1:3" ht="17.25" thickBot="1">
      <c r="A849" s="4" t="s">
        <v>2914</v>
      </c>
      <c r="B849" s="5" t="s">
        <v>1632</v>
      </c>
      <c r="C849" s="6" t="s">
        <v>2156</v>
      </c>
    </row>
    <row r="850" spans="1:3" ht="27.75" thickBot="1">
      <c r="A850" s="4" t="s">
        <v>2017</v>
      </c>
      <c r="B850" s="5" t="s">
        <v>1632</v>
      </c>
      <c r="C850" s="6" t="s">
        <v>2915</v>
      </c>
    </row>
    <row r="851" spans="1:3" ht="17.25" thickBot="1">
      <c r="A851" s="4" t="s">
        <v>2019</v>
      </c>
      <c r="B851" s="5" t="s">
        <v>1625</v>
      </c>
      <c r="C851" s="6" t="s">
        <v>2160</v>
      </c>
    </row>
    <row r="852" spans="1:3" ht="17.25" thickBot="1">
      <c r="A852" s="4" t="s">
        <v>2023</v>
      </c>
      <c r="B852" s="5" t="s">
        <v>1632</v>
      </c>
      <c r="C852" s="5" t="s">
        <v>2158</v>
      </c>
    </row>
    <row r="853" spans="1:3" ht="17.25" thickBot="1">
      <c r="A853" s="4" t="s">
        <v>1922</v>
      </c>
      <c r="B853" s="5" t="s">
        <v>1566</v>
      </c>
      <c r="C853" s="5" t="s">
        <v>2161</v>
      </c>
    </row>
    <row r="854" spans="1:3" ht="17.25" thickBot="1">
      <c r="A854" s="4" t="s">
        <v>1924</v>
      </c>
      <c r="B854" s="5" t="s">
        <v>1603</v>
      </c>
      <c r="C854" s="5" t="s">
        <v>2916</v>
      </c>
    </row>
    <row r="855" spans="1:3" ht="17.25" thickBot="1">
      <c r="A855" s="4" t="s">
        <v>2028</v>
      </c>
      <c r="B855" s="5" t="s">
        <v>1632</v>
      </c>
      <c r="C855" s="6" t="s">
        <v>2917</v>
      </c>
    </row>
    <row r="856" spans="1:3" ht="17.25" thickBot="1">
      <c r="A856" s="4" t="s">
        <v>2021</v>
      </c>
      <c r="B856" s="5" t="s">
        <v>1632</v>
      </c>
      <c r="C856" s="5" t="s">
        <v>2022</v>
      </c>
    </row>
    <row r="857" spans="1:3" ht="27">
      <c r="A857" s="96" t="s">
        <v>2918</v>
      </c>
      <c r="B857" s="91" t="s">
        <v>2477</v>
      </c>
      <c r="C857" s="91" t="s">
        <v>2919</v>
      </c>
    </row>
    <row r="858" spans="1:3" ht="17.25" thickBot="1">
      <c r="A858" s="4" t="s">
        <v>2428</v>
      </c>
      <c r="B858" s="97"/>
      <c r="C858" s="97"/>
    </row>
    <row r="859" spans="1:3" ht="27">
      <c r="A859" s="96" t="s">
        <v>2918</v>
      </c>
      <c r="B859" s="91" t="s">
        <v>2477</v>
      </c>
      <c r="C859" s="91" t="s">
        <v>2921</v>
      </c>
    </row>
    <row r="860" spans="1:3" ht="17.25" thickBot="1">
      <c r="A860" s="4" t="s">
        <v>2920</v>
      </c>
      <c r="B860" s="97"/>
      <c r="C860" s="97"/>
    </row>
    <row r="861" spans="1:3" ht="17.25" thickBot="1">
      <c r="A861" s="4" t="s">
        <v>2167</v>
      </c>
      <c r="B861" s="5" t="s">
        <v>1632</v>
      </c>
      <c r="C861" s="6" t="s">
        <v>2168</v>
      </c>
    </row>
    <row r="862" spans="1:3" ht="27.75" thickBot="1">
      <c r="A862" s="4" t="s">
        <v>2169</v>
      </c>
      <c r="B862" s="5" t="s">
        <v>1632</v>
      </c>
      <c r="C862" s="5" t="s">
        <v>2922</v>
      </c>
    </row>
    <row r="863" spans="1:3" ht="102">
      <c r="A863" s="134" t="s">
        <v>2923</v>
      </c>
      <c r="B863" s="91" t="s">
        <v>1632</v>
      </c>
      <c r="C863" s="91" t="s">
        <v>2925</v>
      </c>
    </row>
    <row r="864" spans="1:3" ht="17.25" thickBot="1">
      <c r="A864" s="4" t="s">
        <v>2924</v>
      </c>
      <c r="B864" s="97"/>
      <c r="C864" s="97"/>
    </row>
    <row r="865" spans="1:3" ht="77.25" thickBot="1">
      <c r="A865" s="4" t="s">
        <v>2926</v>
      </c>
      <c r="B865" s="5" t="s">
        <v>1632</v>
      </c>
      <c r="C865" s="6" t="s">
        <v>2927</v>
      </c>
    </row>
    <row r="866" spans="1:3" ht="51.75" thickBot="1">
      <c r="A866" s="4" t="s">
        <v>2928</v>
      </c>
      <c r="B866" s="5" t="s">
        <v>1632</v>
      </c>
      <c r="C866" s="6" t="s">
        <v>2929</v>
      </c>
    </row>
    <row r="867" spans="1:3">
      <c r="A867" s="92" t="s">
        <v>2025</v>
      </c>
      <c r="B867" s="91" t="s">
        <v>1603</v>
      </c>
      <c r="C867" s="8" t="s">
        <v>2930</v>
      </c>
    </row>
    <row r="868" spans="1:3" ht="51.75" thickBot="1">
      <c r="A868" s="98"/>
      <c r="B868" s="97"/>
      <c r="C868" s="6" t="s">
        <v>2027</v>
      </c>
    </row>
    <row r="869" spans="1:3">
      <c r="B869" s="114" t="s">
        <v>2931</v>
      </c>
      <c r="C869" s="114" t="s">
        <v>2932</v>
      </c>
    </row>
    <row r="870" spans="1:3" ht="17.25" thickBot="1">
      <c r="A870" s="115" t="s">
        <v>2966</v>
      </c>
      <c r="B870" s="115" t="s">
        <v>2967</v>
      </c>
    </row>
    <row r="871" spans="1:3" ht="17.25" thickBot="1">
      <c r="A871" s="102" t="s">
        <v>1591</v>
      </c>
      <c r="B871" s="103" t="s">
        <v>1635</v>
      </c>
      <c r="C871" s="103" t="s">
        <v>1593</v>
      </c>
    </row>
    <row r="872" spans="1:3" ht="17.25" thickBot="1">
      <c r="A872" s="4" t="s">
        <v>2269</v>
      </c>
      <c r="B872" s="5" t="s">
        <v>1603</v>
      </c>
      <c r="C872" s="5" t="s">
        <v>2968</v>
      </c>
    </row>
    <row r="873" spans="1:3" ht="17.25" thickBot="1">
      <c r="A873" s="4" t="s">
        <v>2271</v>
      </c>
      <c r="B873" s="5" t="s">
        <v>1603</v>
      </c>
      <c r="C873" s="5" t="s">
        <v>2969</v>
      </c>
    </row>
    <row r="874" spans="1:3" ht="17.25" thickBot="1">
      <c r="A874" s="4" t="s">
        <v>2970</v>
      </c>
      <c r="B874" s="5" t="s">
        <v>1603</v>
      </c>
      <c r="C874" s="5" t="s">
        <v>2971</v>
      </c>
    </row>
    <row r="875" spans="1:3" ht="17.25" thickBot="1">
      <c r="A875" s="4" t="s">
        <v>2289</v>
      </c>
      <c r="B875" s="5" t="s">
        <v>1603</v>
      </c>
      <c r="C875" s="5" t="s">
        <v>2972</v>
      </c>
    </row>
    <row r="876" spans="1:3" ht="17.25" thickBot="1">
      <c r="A876" s="4" t="s">
        <v>2973</v>
      </c>
      <c r="B876" s="5" t="s">
        <v>1566</v>
      </c>
      <c r="C876" s="5" t="s">
        <v>2974</v>
      </c>
    </row>
    <row r="877" spans="1:3" ht="17.25" thickBot="1">
      <c r="A877" s="4" t="s">
        <v>2977</v>
      </c>
      <c r="B877" s="5" t="s">
        <v>1610</v>
      </c>
      <c r="C877" s="6" t="s">
        <v>2978</v>
      </c>
    </row>
    <row r="878" spans="1:3" ht="26.25" thickBot="1">
      <c r="A878" s="4" t="s">
        <v>2979</v>
      </c>
      <c r="B878" s="5" t="s">
        <v>1610</v>
      </c>
      <c r="C878" s="6" t="s">
        <v>2980</v>
      </c>
    </row>
    <row r="879" spans="1:3" ht="26.25" thickBot="1">
      <c r="A879" s="4" t="s">
        <v>2981</v>
      </c>
      <c r="B879" s="5" t="s">
        <v>2982</v>
      </c>
      <c r="C879" s="6" t="s">
        <v>2983</v>
      </c>
    </row>
    <row r="880" spans="1:3" ht="25.5">
      <c r="A880" s="92" t="s">
        <v>2299</v>
      </c>
      <c r="B880" s="8" t="s">
        <v>2984</v>
      </c>
      <c r="C880" s="91" t="s">
        <v>2986</v>
      </c>
    </row>
    <row r="881" spans="1:3" ht="17.25" thickBot="1">
      <c r="A881" s="98"/>
      <c r="B881" s="5" t="s">
        <v>2985</v>
      </c>
      <c r="C881" s="97"/>
    </row>
    <row r="882" spans="1:3" ht="26.25" thickBot="1">
      <c r="A882" s="4" t="s">
        <v>1634</v>
      </c>
      <c r="B882" s="5" t="s">
        <v>1603</v>
      </c>
      <c r="C882" s="6" t="s">
        <v>2987</v>
      </c>
    </row>
    <row r="883" spans="1:3">
      <c r="B883" s="114" t="s">
        <v>2988</v>
      </c>
      <c r="C883" s="114" t="s">
        <v>2989</v>
      </c>
    </row>
    <row r="884" spans="1:3" ht="17.25" thickBot="1">
      <c r="A884" s="115" t="s">
        <v>2997</v>
      </c>
      <c r="B884" s="115" t="s">
        <v>2998</v>
      </c>
    </row>
    <row r="885" spans="1:3" ht="17.25" thickBot="1">
      <c r="A885" s="102" t="s">
        <v>1591</v>
      </c>
      <c r="B885" s="103" t="s">
        <v>1635</v>
      </c>
      <c r="C885" s="103" t="s">
        <v>1593</v>
      </c>
    </row>
    <row r="886" spans="1:3" ht="17.25" thickBot="1">
      <c r="A886" s="4" t="s">
        <v>2999</v>
      </c>
      <c r="B886" s="5" t="s">
        <v>1603</v>
      </c>
      <c r="C886" s="6" t="s">
        <v>3000</v>
      </c>
    </row>
    <row r="887" spans="1:3" ht="17.25" thickBot="1">
      <c r="A887" s="4" t="s">
        <v>3001</v>
      </c>
      <c r="B887" s="5" t="s">
        <v>626</v>
      </c>
      <c r="C887" s="6" t="s">
        <v>3002</v>
      </c>
    </row>
    <row r="888" spans="1:3" ht="17.25" thickBot="1">
      <c r="A888" s="4" t="s">
        <v>2284</v>
      </c>
      <c r="B888" s="5" t="s">
        <v>0</v>
      </c>
      <c r="C888" s="5" t="s">
        <v>3003</v>
      </c>
    </row>
    <row r="889" spans="1:3" ht="17.25" thickBot="1">
      <c r="A889" s="4" t="s">
        <v>3004</v>
      </c>
      <c r="B889" s="5" t="s">
        <v>626</v>
      </c>
      <c r="C889" s="6" t="s">
        <v>3005</v>
      </c>
    </row>
    <row r="890" spans="1:3">
      <c r="B890" s="114" t="s">
        <v>3006</v>
      </c>
      <c r="C890" s="114" t="s">
        <v>3007</v>
      </c>
    </row>
    <row r="891" spans="1:3" ht="17.25" thickBot="1">
      <c r="A891" s="115" t="s">
        <v>3011</v>
      </c>
      <c r="B891" s="115" t="s">
        <v>3012</v>
      </c>
    </row>
    <row r="892" spans="1:3" ht="17.25" thickBot="1">
      <c r="A892" s="102" t="s">
        <v>1591</v>
      </c>
      <c r="B892" s="103" t="s">
        <v>1635</v>
      </c>
      <c r="C892" s="103" t="s">
        <v>1593</v>
      </c>
    </row>
    <row r="893" spans="1:3" ht="17.25" thickBot="1">
      <c r="A893" s="4" t="s">
        <v>2269</v>
      </c>
      <c r="B893" s="5" t="s">
        <v>1603</v>
      </c>
      <c r="C893" s="5" t="s">
        <v>3013</v>
      </c>
    </row>
    <row r="894" spans="1:3" ht="17.25" thickBot="1">
      <c r="A894" s="4" t="s">
        <v>2271</v>
      </c>
      <c r="B894" s="5" t="s">
        <v>1603</v>
      </c>
      <c r="C894" s="5" t="s">
        <v>3014</v>
      </c>
    </row>
    <row r="895" spans="1:3" ht="17.25" thickBot="1">
      <c r="A895" s="4" t="s">
        <v>2289</v>
      </c>
      <c r="B895" s="5" t="s">
        <v>1603</v>
      </c>
      <c r="C895" s="6" t="s">
        <v>2290</v>
      </c>
    </row>
    <row r="896" spans="1:3" ht="17.25" thickBot="1">
      <c r="A896" s="4" t="s">
        <v>3017</v>
      </c>
      <c r="B896" s="5" t="s">
        <v>1618</v>
      </c>
      <c r="C896" s="6" t="s">
        <v>3018</v>
      </c>
    </row>
    <row r="897" spans="1:3" ht="17.25" thickBot="1">
      <c r="A897" s="4" t="s">
        <v>3019</v>
      </c>
      <c r="B897" s="5" t="s">
        <v>1618</v>
      </c>
      <c r="C897" s="6" t="s">
        <v>3020</v>
      </c>
    </row>
    <row r="898" spans="1:3">
      <c r="A898" s="92" t="s">
        <v>3021</v>
      </c>
      <c r="B898" s="91" t="s">
        <v>3022</v>
      </c>
      <c r="C898" s="7" t="s">
        <v>3023</v>
      </c>
    </row>
    <row r="899" spans="1:3" ht="17.25" thickBot="1">
      <c r="A899" s="98"/>
      <c r="B899" s="97"/>
      <c r="C899" s="5" t="s">
        <v>3024</v>
      </c>
    </row>
    <row r="900" spans="1:3" ht="17.25" thickBot="1">
      <c r="A900" s="4" t="s">
        <v>3025</v>
      </c>
      <c r="B900" s="5" t="s">
        <v>3022</v>
      </c>
      <c r="C900" s="6" t="s">
        <v>3026</v>
      </c>
    </row>
    <row r="901" spans="1:3" ht="17.25" thickBot="1">
      <c r="A901" s="4" t="s">
        <v>3027</v>
      </c>
      <c r="B901" s="5" t="s">
        <v>1630</v>
      </c>
      <c r="C901" s="5" t="s">
        <v>3028</v>
      </c>
    </row>
    <row r="902" spans="1:3">
      <c r="B902" s="114" t="s">
        <v>3029</v>
      </c>
      <c r="C902" s="114" t="s">
        <v>3030</v>
      </c>
    </row>
    <row r="903" spans="1:3" ht="17.25" thickBot="1">
      <c r="A903" s="115" t="s">
        <v>3037</v>
      </c>
      <c r="B903" s="115" t="s">
        <v>3038</v>
      </c>
    </row>
    <row r="904" spans="1:3" ht="17.25" thickBot="1">
      <c r="A904" s="102" t="s">
        <v>1591</v>
      </c>
      <c r="B904" s="103" t="s">
        <v>1635</v>
      </c>
      <c r="C904" s="103" t="s">
        <v>1593</v>
      </c>
    </row>
    <row r="905" spans="1:3" ht="17.25" thickBot="1">
      <c r="A905" s="4" t="s">
        <v>3040</v>
      </c>
      <c r="B905" s="5" t="s">
        <v>1606</v>
      </c>
      <c r="C905" s="5" t="s">
        <v>3041</v>
      </c>
    </row>
    <row r="906" spans="1:3" ht="39" thickBot="1">
      <c r="A906" s="4" t="s">
        <v>3042</v>
      </c>
      <c r="B906" s="5" t="s">
        <v>1606</v>
      </c>
      <c r="C906" s="6" t="s">
        <v>3043</v>
      </c>
    </row>
    <row r="907" spans="1:3" ht="26.25" thickBot="1">
      <c r="A907" s="4" t="s">
        <v>3044</v>
      </c>
      <c r="B907" s="5" t="s">
        <v>1606</v>
      </c>
      <c r="C907" s="6" t="s">
        <v>3045</v>
      </c>
    </row>
    <row r="908" spans="1:3">
      <c r="A908" s="96" t="s">
        <v>3048</v>
      </c>
      <c r="B908" s="91" t="s">
        <v>1603</v>
      </c>
      <c r="C908" s="91" t="s">
        <v>3049</v>
      </c>
    </row>
    <row r="909" spans="1:3" ht="17.25" thickBot="1">
      <c r="A909" s="4" t="s">
        <v>1634</v>
      </c>
      <c r="B909" s="97"/>
      <c r="C909" s="97"/>
    </row>
    <row r="910" spans="1:3" ht="17.25" thickBot="1">
      <c r="A910" s="4" t="s">
        <v>1912</v>
      </c>
      <c r="B910" s="5" t="s">
        <v>1603</v>
      </c>
      <c r="C910" s="6" t="s">
        <v>3050</v>
      </c>
    </row>
    <row r="911" spans="1:3" ht="25.5">
      <c r="A911" s="96" t="s">
        <v>3051</v>
      </c>
      <c r="B911" s="91" t="s">
        <v>1603</v>
      </c>
      <c r="C911" s="91" t="s">
        <v>3053</v>
      </c>
    </row>
    <row r="912" spans="1:3" ht="17.25" thickBot="1">
      <c r="A912" s="4" t="s">
        <v>3052</v>
      </c>
      <c r="B912" s="97"/>
      <c r="C912" s="97"/>
    </row>
    <row r="913" spans="1:3" ht="17.25" thickBot="1">
      <c r="A913" s="145" t="s">
        <v>3055</v>
      </c>
      <c r="B913" s="5" t="s">
        <v>1605</v>
      </c>
      <c r="C913" s="5" t="s">
        <v>3056</v>
      </c>
    </row>
    <row r="914" spans="1:3" ht="17.25" thickBot="1">
      <c r="A914" s="145" t="s">
        <v>3057</v>
      </c>
      <c r="B914" s="5" t="s">
        <v>1603</v>
      </c>
      <c r="C914" s="5" t="s">
        <v>3058</v>
      </c>
    </row>
    <row r="915" spans="1:3" ht="17.25" thickBot="1">
      <c r="A915" s="145" t="s">
        <v>3059</v>
      </c>
      <c r="B915" s="5" t="s">
        <v>0</v>
      </c>
      <c r="C915" s="6" t="s">
        <v>3060</v>
      </c>
    </row>
    <row r="916" spans="1:3" ht="17.25" thickBot="1">
      <c r="A916" s="145" t="s">
        <v>3061</v>
      </c>
      <c r="B916" s="5" t="s">
        <v>1566</v>
      </c>
      <c r="C916" s="6" t="s">
        <v>3062</v>
      </c>
    </row>
    <row r="917" spans="1:3" ht="25.5">
      <c r="A917" s="176" t="s">
        <v>3063</v>
      </c>
      <c r="B917" s="91" t="s">
        <v>1566</v>
      </c>
      <c r="C917" s="7" t="s">
        <v>3064</v>
      </c>
    </row>
    <row r="918" spans="1:3" ht="25.5">
      <c r="A918" s="178"/>
      <c r="B918" s="170"/>
      <c r="C918" s="7" t="s">
        <v>3065</v>
      </c>
    </row>
    <row r="919" spans="1:3" ht="17.25" thickBot="1">
      <c r="A919" s="177"/>
      <c r="B919" s="97"/>
      <c r="C919" s="5" t="s">
        <v>3066</v>
      </c>
    </row>
    <row r="920" spans="1:3" ht="25.5">
      <c r="A920" s="176" t="s">
        <v>3067</v>
      </c>
      <c r="B920" s="91" t="s">
        <v>1566</v>
      </c>
      <c r="C920" s="7" t="s">
        <v>3068</v>
      </c>
    </row>
    <row r="921" spans="1:3" ht="17.25" thickBot="1">
      <c r="A921" s="177"/>
      <c r="B921" s="97"/>
      <c r="C921" s="5" t="s">
        <v>3066</v>
      </c>
    </row>
    <row r="922" spans="1:3" ht="25.5">
      <c r="A922" s="176" t="s">
        <v>3069</v>
      </c>
      <c r="B922" s="91" t="s">
        <v>1566</v>
      </c>
      <c r="C922" s="7" t="s">
        <v>3070</v>
      </c>
    </row>
    <row r="923" spans="1:3" ht="17.25" thickBot="1">
      <c r="A923" s="177"/>
      <c r="B923" s="97"/>
      <c r="C923" s="5" t="s">
        <v>3066</v>
      </c>
    </row>
    <row r="924" spans="1:3">
      <c r="A924" s="176" t="s">
        <v>3071</v>
      </c>
      <c r="B924" s="91" t="s">
        <v>0</v>
      </c>
      <c r="C924" s="7" t="s">
        <v>3072</v>
      </c>
    </row>
    <row r="925" spans="1:3" ht="17.25" thickBot="1">
      <c r="A925" s="177"/>
      <c r="B925" s="97"/>
      <c r="C925" s="5" t="s">
        <v>3073</v>
      </c>
    </row>
    <row r="926" spans="1:3" ht="25.5">
      <c r="A926" s="176" t="s">
        <v>3074</v>
      </c>
      <c r="B926" s="91" t="s">
        <v>1566</v>
      </c>
      <c r="C926" s="7" t="s">
        <v>3075</v>
      </c>
    </row>
    <row r="927" spans="1:3" ht="17.25" thickBot="1">
      <c r="A927" s="177"/>
      <c r="B927" s="97"/>
      <c r="C927" s="5" t="s">
        <v>3066</v>
      </c>
    </row>
    <row r="928" spans="1:3" ht="25.5">
      <c r="A928" s="176" t="s">
        <v>3076</v>
      </c>
      <c r="B928" s="91" t="s">
        <v>1566</v>
      </c>
      <c r="C928" s="7" t="s">
        <v>3077</v>
      </c>
    </row>
    <row r="929" spans="1:3" ht="17.25" thickBot="1">
      <c r="A929" s="177"/>
      <c r="B929" s="97"/>
      <c r="C929" s="5" t="s">
        <v>3066</v>
      </c>
    </row>
    <row r="930" spans="1:3" ht="17.25" thickBot="1">
      <c r="A930" s="145" t="s">
        <v>3079</v>
      </c>
      <c r="B930" s="5" t="s">
        <v>1566</v>
      </c>
      <c r="C930" s="6" t="s">
        <v>3080</v>
      </c>
    </row>
    <row r="931" spans="1:3">
      <c r="A931" s="176" t="s">
        <v>3081</v>
      </c>
      <c r="B931" s="91" t="s">
        <v>1566</v>
      </c>
      <c r="C931" s="7" t="s">
        <v>3082</v>
      </c>
    </row>
    <row r="932" spans="1:3" ht="17.25" thickBot="1">
      <c r="A932" s="177"/>
      <c r="B932" s="97"/>
      <c r="C932" s="6" t="s">
        <v>3083</v>
      </c>
    </row>
    <row r="933" spans="1:3">
      <c r="A933" s="144" t="s">
        <v>3084</v>
      </c>
      <c r="B933" s="91" t="s">
        <v>1605</v>
      </c>
      <c r="C933" s="91" t="s">
        <v>3086</v>
      </c>
    </row>
    <row r="934" spans="1:3" ht="17.25" thickBot="1">
      <c r="A934" s="145" t="s">
        <v>3085</v>
      </c>
      <c r="B934" s="97"/>
      <c r="C934" s="97"/>
    </row>
    <row r="935" spans="1:3">
      <c r="A935" s="176" t="s">
        <v>3087</v>
      </c>
      <c r="B935" s="8" t="s">
        <v>2736</v>
      </c>
      <c r="C935" s="91" t="s">
        <v>3089</v>
      </c>
    </row>
    <row r="936" spans="1:3" ht="17.25" thickBot="1">
      <c r="A936" s="177"/>
      <c r="B936" s="5" t="s">
        <v>3088</v>
      </c>
      <c r="C936" s="97"/>
    </row>
    <row r="937" spans="1:3" ht="17.25" thickBot="1">
      <c r="A937" s="145" t="s">
        <v>3090</v>
      </c>
      <c r="B937" s="5" t="s">
        <v>3091</v>
      </c>
      <c r="C937" s="5" t="s">
        <v>3092</v>
      </c>
    </row>
    <row r="938" spans="1:3">
      <c r="A938" s="176" t="s">
        <v>3093</v>
      </c>
      <c r="B938" s="8" t="s">
        <v>2736</v>
      </c>
      <c r="C938" s="91" t="s">
        <v>3094</v>
      </c>
    </row>
    <row r="939" spans="1:3" ht="17.25" thickBot="1">
      <c r="A939" s="177"/>
      <c r="B939" s="5" t="s">
        <v>3088</v>
      </c>
      <c r="C939" s="97"/>
    </row>
    <row r="940" spans="1:3">
      <c r="A940" s="176" t="s">
        <v>3095</v>
      </c>
      <c r="B940" s="91" t="s">
        <v>0</v>
      </c>
      <c r="C940" s="8" t="s">
        <v>3096</v>
      </c>
    </row>
    <row r="941" spans="1:3">
      <c r="A941" s="178"/>
      <c r="B941" s="170"/>
      <c r="C941" s="8" t="s">
        <v>3097</v>
      </c>
    </row>
    <row r="942" spans="1:3" ht="26.25" thickBot="1">
      <c r="A942" s="177"/>
      <c r="B942" s="97"/>
      <c r="C942" s="5" t="s">
        <v>3098</v>
      </c>
    </row>
    <row r="943" spans="1:3">
      <c r="A943" s="192"/>
      <c r="B943" s="114" t="s">
        <v>3029</v>
      </c>
      <c r="C943" s="190"/>
    </row>
    <row r="944" spans="1:3" ht="17.25" thickBot="1">
      <c r="A944" s="115" t="s">
        <v>3099</v>
      </c>
      <c r="B944" s="115" t="s">
        <v>3100</v>
      </c>
    </row>
    <row r="945" spans="1:3" ht="17.25" thickBot="1">
      <c r="A945" s="102" t="s">
        <v>1591</v>
      </c>
      <c r="B945" s="103" t="s">
        <v>1635</v>
      </c>
      <c r="C945" s="103" t="s">
        <v>1593</v>
      </c>
    </row>
    <row r="946" spans="1:3">
      <c r="A946" s="92" t="s">
        <v>2663</v>
      </c>
      <c r="B946" s="8" t="s">
        <v>1603</v>
      </c>
      <c r="C946" s="91" t="s">
        <v>3101</v>
      </c>
    </row>
    <row r="947" spans="1:3" ht="17.25" thickBot="1">
      <c r="A947" s="98"/>
      <c r="B947" s="5" t="s">
        <v>1550</v>
      </c>
      <c r="C947" s="97"/>
    </row>
    <row r="948" spans="1:3">
      <c r="A948" s="92" t="s">
        <v>3102</v>
      </c>
      <c r="B948" s="8" t="s">
        <v>1603</v>
      </c>
      <c r="C948" s="7" t="s">
        <v>3103</v>
      </c>
    </row>
    <row r="949" spans="1:3" ht="26.25" thickBot="1">
      <c r="A949" s="98"/>
      <c r="B949" s="5" t="s">
        <v>2523</v>
      </c>
      <c r="C949" s="156" t="s">
        <v>3104</v>
      </c>
    </row>
    <row r="950" spans="1:3" ht="25.5">
      <c r="A950" s="92" t="s">
        <v>3105</v>
      </c>
      <c r="B950" s="8" t="s">
        <v>1603</v>
      </c>
      <c r="C950" s="91" t="s">
        <v>3106</v>
      </c>
    </row>
    <row r="951" spans="1:3" ht="17.25" thickBot="1">
      <c r="A951" s="98"/>
      <c r="B951" s="5" t="s">
        <v>2523</v>
      </c>
      <c r="C951" s="97"/>
    </row>
    <row r="952" spans="1:3" ht="39" thickBot="1">
      <c r="A952" s="4" t="s">
        <v>3109</v>
      </c>
      <c r="B952" s="6" t="s">
        <v>1632</v>
      </c>
      <c r="C952" s="6" t="s">
        <v>3110</v>
      </c>
    </row>
    <row r="953" spans="1:3" ht="54">
      <c r="A953" s="92" t="s">
        <v>3111</v>
      </c>
      <c r="B953" s="91" t="s">
        <v>1632</v>
      </c>
      <c r="C953" s="7" t="s">
        <v>3112</v>
      </c>
    </row>
    <row r="954" spans="1:3">
      <c r="A954" s="171"/>
      <c r="B954" s="170"/>
      <c r="C954" s="7" t="s">
        <v>3113</v>
      </c>
    </row>
    <row r="955" spans="1:3" ht="26.25" thickBot="1">
      <c r="A955" s="98"/>
      <c r="B955" s="97"/>
      <c r="C955" s="6" t="s">
        <v>3114</v>
      </c>
    </row>
    <row r="956" spans="1:3" ht="54">
      <c r="A956" s="92" t="s">
        <v>3115</v>
      </c>
      <c r="B956" s="91" t="s">
        <v>1632</v>
      </c>
      <c r="C956" s="7" t="s">
        <v>3116</v>
      </c>
    </row>
    <row r="957" spans="1:3" ht="25.5">
      <c r="A957" s="171"/>
      <c r="B957" s="170"/>
      <c r="C957" s="7" t="s">
        <v>3117</v>
      </c>
    </row>
    <row r="958" spans="1:3" ht="26.25" thickBot="1">
      <c r="A958" s="98"/>
      <c r="B958" s="97"/>
      <c r="C958" s="6" t="s">
        <v>3118</v>
      </c>
    </row>
    <row r="959" spans="1:3" ht="54">
      <c r="A959" s="92" t="s">
        <v>3119</v>
      </c>
      <c r="B959" s="91" t="s">
        <v>1632</v>
      </c>
      <c r="C959" s="7" t="s">
        <v>3120</v>
      </c>
    </row>
    <row r="960" spans="1:3" ht="26.25">
      <c r="A960" s="171"/>
      <c r="B960" s="170"/>
      <c r="C960" s="138" t="s">
        <v>3121</v>
      </c>
    </row>
    <row r="961" spans="1:3" ht="26.25" thickBot="1">
      <c r="A961" s="98"/>
      <c r="B961" s="97"/>
      <c r="C961" s="6" t="s">
        <v>3114</v>
      </c>
    </row>
    <row r="962" spans="1:3" ht="54">
      <c r="A962" s="92" t="s">
        <v>3122</v>
      </c>
      <c r="B962" s="91" t="s">
        <v>1632</v>
      </c>
      <c r="C962" s="7" t="s">
        <v>3123</v>
      </c>
    </row>
    <row r="963" spans="1:3" ht="25.5">
      <c r="A963" s="171"/>
      <c r="B963" s="170"/>
      <c r="C963" s="7" t="s">
        <v>3124</v>
      </c>
    </row>
    <row r="964" spans="1:3" ht="26.25" thickBot="1">
      <c r="A964" s="98"/>
      <c r="B964" s="97"/>
      <c r="C964" s="6" t="s">
        <v>3114</v>
      </c>
    </row>
    <row r="965" spans="1:3">
      <c r="A965" s="92" t="s">
        <v>1775</v>
      </c>
      <c r="B965" s="91" t="s">
        <v>1632</v>
      </c>
      <c r="C965" s="7" t="s">
        <v>3125</v>
      </c>
    </row>
    <row r="966" spans="1:3" ht="17.25" thickBot="1">
      <c r="A966" s="98"/>
      <c r="B966" s="97"/>
      <c r="C966" s="100" t="s">
        <v>1898</v>
      </c>
    </row>
    <row r="967" spans="1:3" ht="25.5">
      <c r="A967" s="92" t="s">
        <v>3126</v>
      </c>
      <c r="B967" s="91" t="s">
        <v>1632</v>
      </c>
      <c r="C967" s="7" t="s">
        <v>3127</v>
      </c>
    </row>
    <row r="968" spans="1:3" ht="17.25" thickBot="1">
      <c r="A968" s="98"/>
      <c r="B968" s="97"/>
      <c r="C968" s="100" t="s">
        <v>3128</v>
      </c>
    </row>
    <row r="969" spans="1:3" ht="27">
      <c r="A969" s="96" t="s">
        <v>3129</v>
      </c>
      <c r="B969" s="91" t="s">
        <v>1566</v>
      </c>
      <c r="C969" s="7" t="s">
        <v>3130</v>
      </c>
    </row>
    <row r="970" spans="1:3" ht="26.25" thickBot="1">
      <c r="A970" s="4" t="s">
        <v>1900</v>
      </c>
      <c r="B970" s="97"/>
      <c r="C970" s="6" t="s">
        <v>3131</v>
      </c>
    </row>
    <row r="971" spans="1:3">
      <c r="A971" s="92" t="s">
        <v>1903</v>
      </c>
      <c r="B971" s="91" t="s">
        <v>1603</v>
      </c>
      <c r="C971" s="7" t="s">
        <v>3132</v>
      </c>
    </row>
    <row r="972" spans="1:3" ht="17.25" thickBot="1">
      <c r="A972" s="98"/>
      <c r="B972" s="97"/>
      <c r="C972" s="5" t="s">
        <v>3133</v>
      </c>
    </row>
    <row r="973" spans="1:3" ht="81">
      <c r="A973" s="92" t="s">
        <v>3134</v>
      </c>
      <c r="B973" s="91" t="s">
        <v>1632</v>
      </c>
      <c r="C973" s="7" t="s">
        <v>3135</v>
      </c>
    </row>
    <row r="974" spans="1:3">
      <c r="A974" s="171"/>
      <c r="B974" s="170"/>
      <c r="C974" s="7" t="s">
        <v>3113</v>
      </c>
    </row>
    <row r="975" spans="1:3" ht="26.25" thickBot="1">
      <c r="A975" s="98"/>
      <c r="B975" s="97"/>
      <c r="C975" s="6" t="s">
        <v>3114</v>
      </c>
    </row>
    <row r="976" spans="1:3" ht="67.5">
      <c r="A976" s="92" t="s">
        <v>3136</v>
      </c>
      <c r="B976" s="91" t="s">
        <v>1632</v>
      </c>
      <c r="C976" s="7" t="s">
        <v>3137</v>
      </c>
    </row>
    <row r="977" spans="1:3">
      <c r="A977" s="171"/>
      <c r="B977" s="170"/>
      <c r="C977" s="7" t="s">
        <v>3138</v>
      </c>
    </row>
    <row r="978" spans="1:3" ht="26.25" thickBot="1">
      <c r="A978" s="98"/>
      <c r="B978" s="97"/>
      <c r="C978" s="6" t="s">
        <v>3114</v>
      </c>
    </row>
    <row r="979" spans="1:3" ht="67.5">
      <c r="A979" s="92" t="s">
        <v>3139</v>
      </c>
      <c r="B979" s="91" t="s">
        <v>1632</v>
      </c>
      <c r="C979" s="7" t="s">
        <v>3140</v>
      </c>
    </row>
    <row r="980" spans="1:3">
      <c r="A980" s="171"/>
      <c r="B980" s="170"/>
      <c r="C980" s="7" t="s">
        <v>3141</v>
      </c>
    </row>
    <row r="981" spans="1:3" ht="26.25" thickBot="1">
      <c r="A981" s="98"/>
      <c r="B981" s="97"/>
      <c r="C981" s="6" t="s">
        <v>3114</v>
      </c>
    </row>
    <row r="982" spans="1:3" ht="67.5">
      <c r="A982" s="92" t="s">
        <v>3142</v>
      </c>
      <c r="B982" s="91" t="s">
        <v>1632</v>
      </c>
      <c r="C982" s="7" t="s">
        <v>3143</v>
      </c>
    </row>
    <row r="983" spans="1:3" ht="25.5">
      <c r="A983" s="171"/>
      <c r="B983" s="170"/>
      <c r="C983" s="7" t="s">
        <v>3124</v>
      </c>
    </row>
    <row r="984" spans="1:3" ht="26.25" thickBot="1">
      <c r="A984" s="98"/>
      <c r="B984" s="97"/>
      <c r="C984" s="6" t="s">
        <v>3114</v>
      </c>
    </row>
    <row r="985" spans="1:3" ht="27">
      <c r="A985" s="96" t="s">
        <v>3144</v>
      </c>
      <c r="B985" s="91" t="s">
        <v>1632</v>
      </c>
      <c r="C985" s="7" t="s">
        <v>3146</v>
      </c>
    </row>
    <row r="986" spans="1:3" ht="27.75" thickBot="1">
      <c r="A986" s="4" t="s">
        <v>3145</v>
      </c>
      <c r="B986" s="97"/>
      <c r="C986" s="6" t="s">
        <v>3114</v>
      </c>
    </row>
    <row r="987" spans="1:3" ht="81">
      <c r="A987" s="92" t="s">
        <v>3147</v>
      </c>
      <c r="B987" s="91" t="s">
        <v>1632</v>
      </c>
      <c r="C987" s="7" t="s">
        <v>3148</v>
      </c>
    </row>
    <row r="988" spans="1:3">
      <c r="A988" s="171"/>
      <c r="B988" s="170"/>
      <c r="C988" s="7" t="s">
        <v>3113</v>
      </c>
    </row>
    <row r="989" spans="1:3" ht="26.25" thickBot="1">
      <c r="A989" s="98"/>
      <c r="B989" s="97"/>
      <c r="C989" s="6" t="s">
        <v>3114</v>
      </c>
    </row>
    <row r="990" spans="1:3" ht="67.5">
      <c r="A990" s="92" t="s">
        <v>3149</v>
      </c>
      <c r="B990" s="91" t="s">
        <v>1632</v>
      </c>
      <c r="C990" s="7" t="s">
        <v>3150</v>
      </c>
    </row>
    <row r="991" spans="1:3">
      <c r="A991" s="171"/>
      <c r="B991" s="170"/>
      <c r="C991" s="7" t="s">
        <v>3138</v>
      </c>
    </row>
    <row r="992" spans="1:3" ht="26.25" thickBot="1">
      <c r="A992" s="98"/>
      <c r="B992" s="97"/>
      <c r="C992" s="6" t="s">
        <v>3114</v>
      </c>
    </row>
    <row r="993" spans="1:3" ht="67.5">
      <c r="A993" s="92" t="s">
        <v>3151</v>
      </c>
      <c r="B993" s="91" t="s">
        <v>1632</v>
      </c>
      <c r="C993" s="7" t="s">
        <v>3152</v>
      </c>
    </row>
    <row r="994" spans="1:3">
      <c r="A994" s="171"/>
      <c r="B994" s="170"/>
      <c r="C994" s="7" t="s">
        <v>3141</v>
      </c>
    </row>
    <row r="995" spans="1:3" ht="26.25" thickBot="1">
      <c r="A995" s="98"/>
      <c r="B995" s="97"/>
      <c r="C995" s="6" t="s">
        <v>3114</v>
      </c>
    </row>
    <row r="996" spans="1:3" ht="67.5">
      <c r="A996" s="92" t="s">
        <v>3153</v>
      </c>
      <c r="B996" s="91" t="s">
        <v>1632</v>
      </c>
      <c r="C996" s="7" t="s">
        <v>3154</v>
      </c>
    </row>
    <row r="997" spans="1:3" ht="25.5">
      <c r="A997" s="171"/>
      <c r="B997" s="170"/>
      <c r="C997" s="7" t="s">
        <v>3124</v>
      </c>
    </row>
    <row r="998" spans="1:3" ht="26.25" thickBot="1">
      <c r="A998" s="98"/>
      <c r="B998" s="97"/>
      <c r="C998" s="6" t="s">
        <v>3114</v>
      </c>
    </row>
    <row r="999" spans="1:3" ht="27">
      <c r="A999" s="96" t="s">
        <v>3155</v>
      </c>
      <c r="B999" s="91" t="s">
        <v>1632</v>
      </c>
      <c r="C999" s="7" t="s">
        <v>3156</v>
      </c>
    </row>
    <row r="1000" spans="1:3" ht="27.75" thickBot="1">
      <c r="A1000" s="4" t="s">
        <v>3145</v>
      </c>
      <c r="B1000" s="97"/>
      <c r="C1000" s="6" t="s">
        <v>3114</v>
      </c>
    </row>
    <row r="1001" spans="1:3">
      <c r="A1001" s="92" t="s">
        <v>1912</v>
      </c>
      <c r="B1001" s="91" t="s">
        <v>1603</v>
      </c>
      <c r="C1001" s="7" t="s">
        <v>3157</v>
      </c>
    </row>
    <row r="1002" spans="1:3" ht="17.25" thickBot="1">
      <c r="A1002" s="98"/>
      <c r="B1002" s="97"/>
      <c r="C1002" s="5" t="s">
        <v>3158</v>
      </c>
    </row>
    <row r="1003" spans="1:3" ht="17.25" thickBot="1">
      <c r="A1003" s="4" t="s">
        <v>1915</v>
      </c>
      <c r="B1003" s="5" t="s">
        <v>3159</v>
      </c>
      <c r="C1003" s="5" t="s">
        <v>3160</v>
      </c>
    </row>
    <row r="1004" spans="1:3" ht="26.25" thickBot="1">
      <c r="A1004" s="4" t="s">
        <v>3161</v>
      </c>
      <c r="B1004" s="5" t="s">
        <v>2509</v>
      </c>
      <c r="C1004" s="6" t="s">
        <v>3162</v>
      </c>
    </row>
    <row r="1005" spans="1:3" ht="17.25" thickBot="1">
      <c r="A1005" s="4" t="s">
        <v>2023</v>
      </c>
      <c r="B1005" s="6" t="s">
        <v>1632</v>
      </c>
      <c r="C1005" s="5" t="s">
        <v>2158</v>
      </c>
    </row>
    <row r="1006" spans="1:3" ht="27">
      <c r="A1006" s="92" t="s">
        <v>3163</v>
      </c>
      <c r="B1006" s="91" t="s">
        <v>3164</v>
      </c>
      <c r="C1006" s="7" t="s">
        <v>3165</v>
      </c>
    </row>
    <row r="1007" spans="1:3" ht="17.25" thickBot="1">
      <c r="A1007" s="98"/>
      <c r="B1007" s="97"/>
      <c r="C1007" s="100" t="s">
        <v>3166</v>
      </c>
    </row>
    <row r="1008" spans="1:3" ht="27">
      <c r="A1008" s="92" t="s">
        <v>3167</v>
      </c>
      <c r="B1008" s="91" t="s">
        <v>1566</v>
      </c>
      <c r="C1008" s="7" t="s">
        <v>3168</v>
      </c>
    </row>
    <row r="1009" spans="1:3" ht="17.25" thickBot="1">
      <c r="A1009" s="98"/>
      <c r="B1009" s="97"/>
      <c r="C1009" s="100" t="s">
        <v>3166</v>
      </c>
    </row>
    <row r="1010" spans="1:3" ht="40.5">
      <c r="A1010" s="92" t="s">
        <v>3169</v>
      </c>
      <c r="B1010" s="91" t="s">
        <v>1632</v>
      </c>
      <c r="C1010" s="7" t="s">
        <v>3170</v>
      </c>
    </row>
    <row r="1011" spans="1:3" ht="17.25" thickBot="1">
      <c r="A1011" s="98"/>
      <c r="B1011" s="97"/>
      <c r="C1011" s="100" t="s">
        <v>3166</v>
      </c>
    </row>
    <row r="1012" spans="1:3" ht="40.5">
      <c r="A1012" s="96" t="s">
        <v>3171</v>
      </c>
      <c r="B1012" s="91" t="s">
        <v>1632</v>
      </c>
      <c r="C1012" s="7" t="s">
        <v>3173</v>
      </c>
    </row>
    <row r="1013" spans="1:3" ht="25.5">
      <c r="A1013" s="96" t="s">
        <v>3172</v>
      </c>
      <c r="B1013" s="170"/>
      <c r="C1013" s="7" t="s">
        <v>3131</v>
      </c>
    </row>
    <row r="1014" spans="1:3" ht="26.25" thickBot="1">
      <c r="A1014" s="113"/>
      <c r="B1014" s="97"/>
      <c r="C1014" s="6" t="s">
        <v>3174</v>
      </c>
    </row>
    <row r="1015" spans="1:3">
      <c r="B1015" s="114" t="s">
        <v>3175</v>
      </c>
      <c r="C1015" s="114" t="s">
        <v>3176</v>
      </c>
    </row>
    <row r="1016" spans="1:3" ht="17.25" thickBot="1">
      <c r="A1016" s="115" t="s">
        <v>3177</v>
      </c>
      <c r="B1016" s="115" t="s">
        <v>3178</v>
      </c>
    </row>
    <row r="1017" spans="1:3" ht="17.25" thickBot="1">
      <c r="A1017" s="102" t="s">
        <v>1963</v>
      </c>
      <c r="B1017" s="103" t="s">
        <v>1635</v>
      </c>
      <c r="C1017" s="103" t="s">
        <v>1593</v>
      </c>
    </row>
    <row r="1018" spans="1:3" ht="26.25" thickBot="1">
      <c r="A1018" s="104" t="s">
        <v>2892</v>
      </c>
      <c r="B1018" s="5" t="s">
        <v>3179</v>
      </c>
      <c r="C1018" s="6" t="s">
        <v>3180</v>
      </c>
    </row>
    <row r="1019" spans="1:3" ht="17.25" thickBot="1">
      <c r="A1019" s="104" t="s">
        <v>3181</v>
      </c>
      <c r="B1019" s="5" t="s">
        <v>3182</v>
      </c>
      <c r="C1019" s="5" t="s">
        <v>3183</v>
      </c>
    </row>
    <row r="1020" spans="1:3" ht="26.25" thickBot="1">
      <c r="A1020" s="104" t="s">
        <v>3184</v>
      </c>
      <c r="B1020" s="5" t="s">
        <v>3185</v>
      </c>
      <c r="C1020" s="6" t="s">
        <v>3186</v>
      </c>
    </row>
    <row r="1021" spans="1:3" ht="17.25" thickBot="1">
      <c r="A1021" s="104" t="s">
        <v>3187</v>
      </c>
      <c r="B1021" s="5" t="s">
        <v>3188</v>
      </c>
      <c r="C1021" s="5" t="s">
        <v>3189</v>
      </c>
    </row>
    <row r="1022" spans="1:3" ht="17.25" thickBot="1">
      <c r="A1022" s="104" t="s">
        <v>3190</v>
      </c>
      <c r="B1022" s="5" t="s">
        <v>3188</v>
      </c>
      <c r="C1022" s="5" t="s">
        <v>3191</v>
      </c>
    </row>
    <row r="1023" spans="1:3" ht="39" thickBot="1">
      <c r="A1023" s="135" t="s">
        <v>3194</v>
      </c>
      <c r="B1023" s="5" t="s">
        <v>1632</v>
      </c>
      <c r="C1023" s="6" t="s">
        <v>3195</v>
      </c>
    </row>
    <row r="1024" spans="1:3">
      <c r="B1024" s="114" t="s">
        <v>3196</v>
      </c>
      <c r="C1024" s="114" t="s">
        <v>3197</v>
      </c>
    </row>
    <row r="1025" spans="1:3" ht="17.25" thickBot="1">
      <c r="A1025" s="115" t="s">
        <v>3202</v>
      </c>
      <c r="B1025" s="115" t="s">
        <v>1602</v>
      </c>
    </row>
    <row r="1026" spans="1:3" ht="17.25" thickBot="1">
      <c r="A1026" s="102" t="s">
        <v>1591</v>
      </c>
      <c r="B1026" s="103" t="s">
        <v>1592</v>
      </c>
      <c r="C1026" s="103" t="s">
        <v>1593</v>
      </c>
    </row>
    <row r="1027" spans="1:3" ht="17.25" thickBot="1">
      <c r="A1027" s="4" t="s">
        <v>3204</v>
      </c>
      <c r="B1027" s="5" t="s">
        <v>1603</v>
      </c>
      <c r="C1027" s="6" t="s">
        <v>3205</v>
      </c>
    </row>
    <row r="1028" spans="1:3">
      <c r="B1028" s="114" t="s">
        <v>3206</v>
      </c>
      <c r="C1028" s="114" t="s">
        <v>3207</v>
      </c>
    </row>
    <row r="1029" spans="1:3" ht="17.25" thickBot="1">
      <c r="A1029" s="115" t="s">
        <v>3208</v>
      </c>
      <c r="B1029" s="115" t="s">
        <v>3209</v>
      </c>
    </row>
    <row r="1030" spans="1:3" ht="17.25" thickBot="1">
      <c r="A1030" s="102" t="s">
        <v>1591</v>
      </c>
      <c r="B1030" s="103" t="s">
        <v>1635</v>
      </c>
      <c r="C1030" s="103" t="s">
        <v>1593</v>
      </c>
    </row>
    <row r="1031" spans="1:3">
      <c r="A1031" s="92" t="s">
        <v>2115</v>
      </c>
      <c r="B1031" s="8" t="s">
        <v>2116</v>
      </c>
      <c r="C1031" s="91" t="s">
        <v>2117</v>
      </c>
    </row>
    <row r="1032" spans="1:3">
      <c r="A1032" s="171"/>
      <c r="B1032" s="8" t="s">
        <v>1603</v>
      </c>
      <c r="C1032" s="170"/>
    </row>
    <row r="1033" spans="1:3" ht="17.25" thickBot="1">
      <c r="A1033" s="98"/>
      <c r="B1033" s="5" t="s">
        <v>1550</v>
      </c>
      <c r="C1033" s="97"/>
    </row>
    <row r="1034" spans="1:3">
      <c r="A1034" s="92" t="s">
        <v>2118</v>
      </c>
      <c r="B1034" s="8" t="s">
        <v>3210</v>
      </c>
      <c r="C1034" s="91" t="s">
        <v>2120</v>
      </c>
    </row>
    <row r="1035" spans="1:3" ht="17.25" thickBot="1">
      <c r="A1035" s="98"/>
      <c r="B1035" s="5" t="s">
        <v>2523</v>
      </c>
      <c r="C1035" s="97"/>
    </row>
    <row r="1036" spans="1:3">
      <c r="A1036" s="92" t="s">
        <v>2121</v>
      </c>
      <c r="B1036" s="8" t="s">
        <v>2116</v>
      </c>
      <c r="C1036" s="91" t="s">
        <v>2122</v>
      </c>
    </row>
    <row r="1037" spans="1:3">
      <c r="A1037" s="171"/>
      <c r="B1037" s="8" t="s">
        <v>1603</v>
      </c>
      <c r="C1037" s="170"/>
    </row>
    <row r="1038" spans="1:3" ht="17.25" thickBot="1">
      <c r="A1038" s="98"/>
      <c r="B1038" s="5" t="s">
        <v>1550</v>
      </c>
      <c r="C1038" s="97"/>
    </row>
    <row r="1039" spans="1:3" ht="17.25" thickBot="1">
      <c r="A1039" s="4" t="s">
        <v>2123</v>
      </c>
      <c r="B1039" s="5" t="s">
        <v>3211</v>
      </c>
      <c r="C1039" s="6" t="s">
        <v>2126</v>
      </c>
    </row>
    <row r="1040" spans="1:3">
      <c r="A1040" s="176" t="s">
        <v>2132</v>
      </c>
      <c r="B1040" s="8" t="s">
        <v>0</v>
      </c>
      <c r="C1040" s="91" t="s">
        <v>2134</v>
      </c>
    </row>
    <row r="1041" spans="1:3" ht="17.25" thickBot="1">
      <c r="A1041" s="177"/>
      <c r="B1041" s="5" t="s">
        <v>2133</v>
      </c>
      <c r="C1041" s="97"/>
    </row>
    <row r="1042" spans="1:3" ht="25.5">
      <c r="A1042" s="176" t="s">
        <v>2002</v>
      </c>
      <c r="B1042" s="8" t="s">
        <v>0</v>
      </c>
      <c r="C1042" s="91" t="s">
        <v>2135</v>
      </c>
    </row>
    <row r="1043" spans="1:3" ht="17.25" thickBot="1">
      <c r="A1043" s="177"/>
      <c r="B1043" s="5" t="s">
        <v>1550</v>
      </c>
      <c r="C1043" s="97"/>
    </row>
    <row r="1044" spans="1:3" ht="26.25" thickBot="1">
      <c r="A1044" s="4" t="s">
        <v>2138</v>
      </c>
      <c r="B1044" s="6" t="s">
        <v>1632</v>
      </c>
      <c r="C1044" s="6" t="s">
        <v>2139</v>
      </c>
    </row>
    <row r="1045" spans="1:3" ht="39" thickBot="1">
      <c r="A1045" s="4" t="s">
        <v>2140</v>
      </c>
      <c r="B1045" s="6" t="s">
        <v>1632</v>
      </c>
      <c r="C1045" s="6" t="s">
        <v>2141</v>
      </c>
    </row>
    <row r="1046" spans="1:3" ht="17.25" thickBot="1">
      <c r="A1046" s="4" t="s">
        <v>1775</v>
      </c>
      <c r="B1046" s="6" t="s">
        <v>1632</v>
      </c>
      <c r="C1046" s="5" t="s">
        <v>2142</v>
      </c>
    </row>
    <row r="1047" spans="1:3" ht="17.25" thickBot="1">
      <c r="A1047" s="4" t="s">
        <v>2143</v>
      </c>
      <c r="B1047" s="6" t="s">
        <v>1632</v>
      </c>
      <c r="C1047" s="6" t="s">
        <v>2144</v>
      </c>
    </row>
    <row r="1048" spans="1:3" ht="17.25" thickBot="1">
      <c r="A1048" s="4" t="s">
        <v>1903</v>
      </c>
      <c r="B1048" s="5" t="s">
        <v>1603</v>
      </c>
      <c r="C1048" s="5" t="s">
        <v>2145</v>
      </c>
    </row>
    <row r="1049" spans="1:3" ht="17.25" thickBot="1">
      <c r="A1049" s="4" t="s">
        <v>1912</v>
      </c>
      <c r="B1049" s="5" t="s">
        <v>1603</v>
      </c>
      <c r="C1049" s="5" t="s">
        <v>2146</v>
      </c>
    </row>
    <row r="1050" spans="1:3" ht="17.25" thickBot="1">
      <c r="A1050" s="4" t="s">
        <v>1915</v>
      </c>
      <c r="B1050" s="5" t="s">
        <v>1624</v>
      </c>
      <c r="C1050" s="5" t="s">
        <v>2014</v>
      </c>
    </row>
    <row r="1051" spans="1:3" ht="27">
      <c r="A1051" s="134" t="s">
        <v>2147</v>
      </c>
      <c r="B1051" s="91" t="s">
        <v>1632</v>
      </c>
      <c r="C1051" s="91" t="s">
        <v>2149</v>
      </c>
    </row>
    <row r="1052" spans="1:3" ht="17.25" thickBot="1">
      <c r="A1052" s="4" t="s">
        <v>2148</v>
      </c>
      <c r="B1052" s="97"/>
      <c r="C1052" s="97"/>
    </row>
    <row r="1053" spans="1:3" ht="17.25" thickBot="1">
      <c r="A1053" s="4" t="s">
        <v>2150</v>
      </c>
      <c r="B1053" s="5" t="s">
        <v>1603</v>
      </c>
      <c r="C1053" s="5" t="s">
        <v>2151</v>
      </c>
    </row>
    <row r="1054" spans="1:3" ht="27.75" thickBot="1">
      <c r="A1054" s="4" t="s">
        <v>2152</v>
      </c>
      <c r="B1054" s="5" t="s">
        <v>1603</v>
      </c>
      <c r="C1054" s="6" t="s">
        <v>2153</v>
      </c>
    </row>
    <row r="1055" spans="1:3" ht="17.25" thickBot="1">
      <c r="A1055" s="4" t="s">
        <v>2015</v>
      </c>
      <c r="B1055" s="6" t="s">
        <v>1632</v>
      </c>
      <c r="C1055" s="6" t="s">
        <v>2156</v>
      </c>
    </row>
    <row r="1056" spans="1:3">
      <c r="A1056" s="92" t="s">
        <v>2023</v>
      </c>
      <c r="B1056" s="8" t="s">
        <v>66</v>
      </c>
      <c r="C1056" s="91" t="s">
        <v>2158</v>
      </c>
    </row>
    <row r="1057" spans="1:3" ht="17.25" thickBot="1">
      <c r="A1057" s="98"/>
      <c r="B1057" s="5" t="s">
        <v>2157</v>
      </c>
      <c r="C1057" s="97"/>
    </row>
    <row r="1058" spans="1:3" ht="17.25" thickBot="1">
      <c r="A1058" s="4" t="s">
        <v>2021</v>
      </c>
      <c r="B1058" s="6" t="s">
        <v>1632</v>
      </c>
      <c r="C1058" s="5" t="s">
        <v>2022</v>
      </c>
    </row>
    <row r="1059" spans="1:3" ht="27.75" thickBot="1">
      <c r="A1059" s="4" t="s">
        <v>2017</v>
      </c>
      <c r="B1059" s="6" t="s">
        <v>1632</v>
      </c>
      <c r="C1059" s="6" t="s">
        <v>2159</v>
      </c>
    </row>
    <row r="1060" spans="1:3" ht="17.25" thickBot="1">
      <c r="A1060" s="4" t="s">
        <v>2019</v>
      </c>
      <c r="B1060" s="5" t="s">
        <v>1625</v>
      </c>
      <c r="C1060" s="6" t="s">
        <v>2160</v>
      </c>
    </row>
    <row r="1061" spans="1:3" ht="17.25" thickBot="1">
      <c r="A1061" s="4" t="s">
        <v>1922</v>
      </c>
      <c r="B1061" s="5" t="s">
        <v>1566</v>
      </c>
      <c r="C1061" s="5" t="s">
        <v>2161</v>
      </c>
    </row>
    <row r="1062" spans="1:3" ht="17.25" thickBot="1">
      <c r="A1062" s="4" t="s">
        <v>1924</v>
      </c>
      <c r="B1062" s="5" t="s">
        <v>1603</v>
      </c>
      <c r="C1062" s="5" t="s">
        <v>2162</v>
      </c>
    </row>
    <row r="1063" spans="1:3">
      <c r="A1063" s="92" t="s">
        <v>2025</v>
      </c>
      <c r="B1063" s="91" t="s">
        <v>1603</v>
      </c>
      <c r="C1063" s="8" t="s">
        <v>2026</v>
      </c>
    </row>
    <row r="1064" spans="1:3" ht="51.75" thickBot="1">
      <c r="A1064" s="98"/>
      <c r="B1064" s="97"/>
      <c r="C1064" s="6" t="s">
        <v>2027</v>
      </c>
    </row>
    <row r="1065" spans="1:3" ht="26.25" thickBot="1">
      <c r="A1065" s="4" t="s">
        <v>2163</v>
      </c>
      <c r="B1065" s="5" t="s">
        <v>1603</v>
      </c>
      <c r="C1065" s="6" t="s">
        <v>2164</v>
      </c>
    </row>
    <row r="1066" spans="1:3" ht="17.25" thickBot="1">
      <c r="A1066" s="99" t="s">
        <v>1591</v>
      </c>
      <c r="B1066" s="100" t="s">
        <v>1592</v>
      </c>
      <c r="C1066" s="100" t="s">
        <v>1593</v>
      </c>
    </row>
    <row r="1067" spans="1:3" ht="17.25" thickBot="1">
      <c r="A1067" s="4" t="s">
        <v>2165</v>
      </c>
      <c r="B1067" s="6" t="s">
        <v>1632</v>
      </c>
      <c r="C1067" s="6" t="s">
        <v>2166</v>
      </c>
    </row>
    <row r="1068" spans="1:3" ht="17.25" thickBot="1">
      <c r="A1068" s="4" t="s">
        <v>2167</v>
      </c>
      <c r="B1068" s="6" t="s">
        <v>1632</v>
      </c>
      <c r="C1068" s="6" t="s">
        <v>2168</v>
      </c>
    </row>
    <row r="1069" spans="1:3" ht="27.75" thickBot="1">
      <c r="A1069" s="4" t="s">
        <v>2169</v>
      </c>
      <c r="B1069" s="6" t="s">
        <v>1632</v>
      </c>
      <c r="C1069" s="5" t="s">
        <v>2170</v>
      </c>
    </row>
    <row r="1070" spans="1:3">
      <c r="B1070" s="114" t="s">
        <v>3214</v>
      </c>
      <c r="C1070" s="114" t="s">
        <v>3215</v>
      </c>
    </row>
    <row r="1071" spans="1:3" ht="17.25" thickBot="1">
      <c r="A1071" s="115" t="s">
        <v>3216</v>
      </c>
      <c r="B1071" s="115" t="s">
        <v>3217</v>
      </c>
    </row>
    <row r="1072" spans="1:3" ht="17.25" thickBot="1">
      <c r="A1072" s="102" t="s">
        <v>1591</v>
      </c>
      <c r="B1072" s="103" t="s">
        <v>1635</v>
      </c>
      <c r="C1072" s="103" t="s">
        <v>1593</v>
      </c>
    </row>
    <row r="1073" spans="1:3" ht="17.25" thickBot="1">
      <c r="A1073" s="4" t="s">
        <v>3218</v>
      </c>
      <c r="B1073" s="5" t="s">
        <v>1559</v>
      </c>
      <c r="C1073" s="5" t="s">
        <v>3219</v>
      </c>
    </row>
    <row r="1074" spans="1:3" ht="17.25" thickBot="1">
      <c r="A1074" s="4" t="s">
        <v>3220</v>
      </c>
      <c r="B1074" s="5" t="s">
        <v>1559</v>
      </c>
      <c r="C1074" s="5" t="s">
        <v>3221</v>
      </c>
    </row>
    <row r="1075" spans="1:3" ht="17.25" thickBot="1">
      <c r="A1075" s="4" t="s">
        <v>3222</v>
      </c>
      <c r="B1075" s="5" t="s">
        <v>1559</v>
      </c>
      <c r="C1075" s="5" t="s">
        <v>3223</v>
      </c>
    </row>
    <row r="1076" spans="1:3">
      <c r="A1076" s="92" t="s">
        <v>1556</v>
      </c>
      <c r="B1076" s="8" t="s">
        <v>3224</v>
      </c>
      <c r="C1076" s="91" t="s">
        <v>3225</v>
      </c>
    </row>
    <row r="1077" spans="1:3" ht="17.25" thickBot="1">
      <c r="A1077" s="98"/>
      <c r="B1077" s="5" t="s">
        <v>1550</v>
      </c>
      <c r="C1077" s="97"/>
    </row>
    <row r="1078" spans="1:3" ht="17.25" thickBot="1">
      <c r="A1078" s="4" t="s">
        <v>3228</v>
      </c>
      <c r="B1078" s="6" t="s">
        <v>1619</v>
      </c>
      <c r="C1078" s="5" t="s">
        <v>3229</v>
      </c>
    </row>
    <row r="1079" spans="1:3" ht="27.75" thickBot="1">
      <c r="A1079" s="4" t="s">
        <v>3230</v>
      </c>
      <c r="B1079" s="6" t="s">
        <v>1619</v>
      </c>
      <c r="C1079" s="6" t="s">
        <v>3231</v>
      </c>
    </row>
    <row r="1080" spans="1:3" ht="17.25" thickBot="1">
      <c r="A1080" s="4" t="s">
        <v>3232</v>
      </c>
      <c r="B1080" s="5" t="s">
        <v>1566</v>
      </c>
      <c r="C1080" s="5" t="s">
        <v>3233</v>
      </c>
    </row>
    <row r="1081" spans="1:3" ht="17.25" thickBot="1">
      <c r="A1081" s="4" t="s">
        <v>3234</v>
      </c>
      <c r="B1081" s="5" t="s">
        <v>1566</v>
      </c>
      <c r="C1081" s="6" t="s">
        <v>3235</v>
      </c>
    </row>
    <row r="1082" spans="1:3" ht="17.25" thickBot="1">
      <c r="A1082" s="4" t="s">
        <v>2352</v>
      </c>
      <c r="B1082" s="5" t="s">
        <v>1603</v>
      </c>
      <c r="C1082" s="5" t="s">
        <v>3236</v>
      </c>
    </row>
    <row r="1083" spans="1:3" ht="17.25" thickBot="1">
      <c r="A1083" s="4" t="s">
        <v>3237</v>
      </c>
      <c r="B1083" s="6" t="s">
        <v>1619</v>
      </c>
      <c r="C1083" s="6" t="s">
        <v>3238</v>
      </c>
    </row>
    <row r="1084" spans="1:3">
      <c r="A1084" s="92" t="s">
        <v>3239</v>
      </c>
      <c r="B1084" s="91" t="s">
        <v>1561</v>
      </c>
      <c r="C1084" s="7" t="s">
        <v>3240</v>
      </c>
    </row>
    <row r="1085" spans="1:3" ht="17.25" thickBot="1">
      <c r="A1085" s="98"/>
      <c r="B1085" s="97"/>
      <c r="C1085" s="5" t="s">
        <v>3241</v>
      </c>
    </row>
    <row r="1086" spans="1:3">
      <c r="A1086" s="92" t="s">
        <v>3242</v>
      </c>
      <c r="B1086" s="91" t="s">
        <v>1561</v>
      </c>
      <c r="C1086" s="7" t="s">
        <v>3243</v>
      </c>
    </row>
    <row r="1087" spans="1:3" ht="17.25" thickBot="1">
      <c r="A1087" s="98"/>
      <c r="B1087" s="97"/>
      <c r="C1087" s="5" t="s">
        <v>3241</v>
      </c>
    </row>
    <row r="1088" spans="1:3">
      <c r="A1088" s="92" t="s">
        <v>3244</v>
      </c>
      <c r="B1088" s="91" t="s">
        <v>1561</v>
      </c>
      <c r="C1088" s="7" t="s">
        <v>3245</v>
      </c>
    </row>
    <row r="1089" spans="1:3">
      <c r="A1089" s="171"/>
      <c r="B1089" s="170"/>
      <c r="C1089" s="8" t="s">
        <v>3246</v>
      </c>
    </row>
    <row r="1090" spans="1:3" ht="17.25" thickBot="1">
      <c r="A1090" s="98"/>
      <c r="B1090" s="97"/>
      <c r="C1090" s="5" t="s">
        <v>3247</v>
      </c>
    </row>
    <row r="1091" spans="1:3">
      <c r="B1091" s="114" t="s">
        <v>3248</v>
      </c>
      <c r="C1091" s="114" t="s">
        <v>3249</v>
      </c>
    </row>
    <row r="1092" spans="1:3" ht="17.25" thickBot="1">
      <c r="A1092" s="115" t="s">
        <v>3250</v>
      </c>
      <c r="B1092" s="115" t="s">
        <v>3251</v>
      </c>
    </row>
    <row r="1093" spans="1:3" ht="17.25" thickBot="1">
      <c r="A1093" s="102" t="s">
        <v>1591</v>
      </c>
      <c r="B1093" s="103" t="s">
        <v>1635</v>
      </c>
      <c r="C1093" s="103" t="s">
        <v>1593</v>
      </c>
    </row>
    <row r="1094" spans="1:3">
      <c r="A1094" s="92" t="s">
        <v>2111</v>
      </c>
      <c r="B1094" s="8" t="s">
        <v>1603</v>
      </c>
      <c r="C1094" s="7" t="s">
        <v>3252</v>
      </c>
    </row>
    <row r="1095" spans="1:3" ht="26.25" thickBot="1">
      <c r="A1095" s="98"/>
      <c r="B1095" s="5" t="s">
        <v>1550</v>
      </c>
      <c r="C1095" s="6" t="s">
        <v>3253</v>
      </c>
    </row>
    <row r="1096" spans="1:3" ht="17.25" thickBot="1">
      <c r="A1096" s="4" t="s">
        <v>1996</v>
      </c>
      <c r="B1096" s="5" t="s">
        <v>1559</v>
      </c>
      <c r="C1096" s="6" t="s">
        <v>3254</v>
      </c>
    </row>
    <row r="1097" spans="1:3">
      <c r="A1097" s="92" t="s">
        <v>1996</v>
      </c>
      <c r="B1097" s="8" t="s">
        <v>1603</v>
      </c>
      <c r="C1097" s="91" t="s">
        <v>3255</v>
      </c>
    </row>
    <row r="1098" spans="1:3" ht="17.25" thickBot="1">
      <c r="A1098" s="98"/>
      <c r="B1098" s="5" t="s">
        <v>1550</v>
      </c>
      <c r="C1098" s="97"/>
    </row>
    <row r="1099" spans="1:3" ht="25.5">
      <c r="A1099" s="96" t="s">
        <v>3258</v>
      </c>
      <c r="B1099" s="91" t="s">
        <v>1632</v>
      </c>
      <c r="C1099" s="91" t="s">
        <v>3261</v>
      </c>
    </row>
    <row r="1100" spans="1:3" ht="27">
      <c r="A1100" s="96" t="s">
        <v>3259</v>
      </c>
      <c r="B1100" s="170"/>
      <c r="C1100" s="170"/>
    </row>
    <row r="1101" spans="1:3" ht="27">
      <c r="A1101" s="96" t="s">
        <v>3260</v>
      </c>
      <c r="B1101" s="170"/>
      <c r="C1101" s="170"/>
    </row>
    <row r="1102" spans="1:3" ht="17.25" thickBot="1">
      <c r="A1102" s="4" t="s">
        <v>2428</v>
      </c>
      <c r="B1102" s="97"/>
      <c r="C1102" s="97"/>
    </row>
    <row r="1103" spans="1:3" ht="17.25" thickBot="1">
      <c r="A1103" s="4" t="s">
        <v>1903</v>
      </c>
      <c r="B1103" s="5" t="s">
        <v>1603</v>
      </c>
      <c r="C1103" s="5" t="s">
        <v>2012</v>
      </c>
    </row>
    <row r="1104" spans="1:3" ht="17.25" thickBot="1">
      <c r="A1104" s="4" t="s">
        <v>1912</v>
      </c>
      <c r="B1104" s="5" t="s">
        <v>1603</v>
      </c>
      <c r="C1104" s="5" t="s">
        <v>2013</v>
      </c>
    </row>
    <row r="1105" spans="1:3" ht="17.25" thickBot="1">
      <c r="A1105" s="4" t="s">
        <v>1915</v>
      </c>
      <c r="B1105" s="5" t="s">
        <v>1624</v>
      </c>
      <c r="C1105" s="5" t="s">
        <v>2014</v>
      </c>
    </row>
    <row r="1106" spans="1:3" ht="17.25" thickBot="1">
      <c r="A1106" s="4" t="s">
        <v>3262</v>
      </c>
      <c r="B1106" s="6" t="s">
        <v>1632</v>
      </c>
      <c r="C1106" s="6" t="s">
        <v>2016</v>
      </c>
    </row>
    <row r="1107" spans="1:3" ht="17.25" thickBot="1">
      <c r="A1107" s="4" t="s">
        <v>2554</v>
      </c>
      <c r="B1107" s="6" t="s">
        <v>1632</v>
      </c>
      <c r="C1107" s="6" t="s">
        <v>2018</v>
      </c>
    </row>
    <row r="1108" spans="1:3" ht="17.25" thickBot="1">
      <c r="A1108" s="4" t="s">
        <v>2019</v>
      </c>
      <c r="B1108" s="5" t="s">
        <v>1625</v>
      </c>
      <c r="C1108" s="6" t="s">
        <v>2160</v>
      </c>
    </row>
    <row r="1109" spans="1:3" ht="17.25" thickBot="1">
      <c r="A1109" s="4" t="s">
        <v>1922</v>
      </c>
      <c r="B1109" s="5" t="s">
        <v>1566</v>
      </c>
      <c r="C1109" s="5" t="s">
        <v>2161</v>
      </c>
    </row>
    <row r="1110" spans="1:3" ht="17.25" thickBot="1">
      <c r="A1110" s="99" t="s">
        <v>1591</v>
      </c>
      <c r="B1110" s="100" t="s">
        <v>1592</v>
      </c>
      <c r="C1110" s="100" t="s">
        <v>1593</v>
      </c>
    </row>
    <row r="1111" spans="1:3" ht="17.25" thickBot="1">
      <c r="A1111" s="4" t="s">
        <v>1924</v>
      </c>
      <c r="B1111" s="5" t="s">
        <v>1603</v>
      </c>
      <c r="C1111" s="5" t="s">
        <v>3263</v>
      </c>
    </row>
    <row r="1112" spans="1:3">
      <c r="A1112" s="92" t="s">
        <v>2025</v>
      </c>
      <c r="B1112" s="91" t="s">
        <v>1603</v>
      </c>
      <c r="C1112" s="8" t="s">
        <v>2026</v>
      </c>
    </row>
    <row r="1113" spans="1:3" ht="51.75" thickBot="1">
      <c r="A1113" s="98"/>
      <c r="B1113" s="97"/>
      <c r="C1113" s="6" t="s">
        <v>2027</v>
      </c>
    </row>
    <row r="1114" spans="1:3">
      <c r="B1114" s="114" t="s">
        <v>3264</v>
      </c>
      <c r="C1114" s="114" t="s">
        <v>3265</v>
      </c>
    </row>
    <row r="1115" spans="1:3" ht="17.25" thickBot="1">
      <c r="A1115" s="115" t="s">
        <v>3267</v>
      </c>
      <c r="B1115" s="115" t="s">
        <v>3268</v>
      </c>
    </row>
    <row r="1116" spans="1:3" ht="17.25" thickBot="1">
      <c r="A1116" s="102" t="s">
        <v>1591</v>
      </c>
      <c r="B1116" s="103" t="s">
        <v>1635</v>
      </c>
      <c r="C1116" s="103" t="s">
        <v>1593</v>
      </c>
    </row>
    <row r="1117" spans="1:3" ht="17.25" thickBot="1">
      <c r="A1117" s="4" t="s">
        <v>1674</v>
      </c>
      <c r="B1117" s="5" t="s">
        <v>2831</v>
      </c>
      <c r="C1117" s="5" t="s">
        <v>3269</v>
      </c>
    </row>
    <row r="1118" spans="1:3">
      <c r="A1118" s="92" t="s">
        <v>1677</v>
      </c>
      <c r="B1118" s="8" t="s">
        <v>1620</v>
      </c>
      <c r="C1118" s="91" t="s">
        <v>3270</v>
      </c>
    </row>
    <row r="1119" spans="1:3" ht="17.25" thickBot="1">
      <c r="A1119" s="98"/>
      <c r="B1119" s="5" t="s">
        <v>1550</v>
      </c>
      <c r="C1119" s="97"/>
    </row>
    <row r="1120" spans="1:3" ht="27.75" thickBot="1">
      <c r="A1120" s="4" t="s">
        <v>3273</v>
      </c>
      <c r="B1120" s="5" t="s">
        <v>1611</v>
      </c>
      <c r="C1120" s="6" t="s">
        <v>3274</v>
      </c>
    </row>
    <row r="1121" spans="1:3" ht="17.25" thickBot="1">
      <c r="A1121" s="4" t="s">
        <v>1634</v>
      </c>
      <c r="B1121" s="5" t="s">
        <v>1603</v>
      </c>
      <c r="C1121" s="6" t="s">
        <v>3275</v>
      </c>
    </row>
    <row r="1122" spans="1:3" ht="26.25" thickBot="1">
      <c r="A1122" s="4" t="s">
        <v>3276</v>
      </c>
      <c r="B1122" s="6" t="s">
        <v>1561</v>
      </c>
      <c r="C1122" s="6" t="s">
        <v>3277</v>
      </c>
    </row>
    <row r="1123" spans="1:3" ht="26.25" thickBot="1">
      <c r="A1123" s="4" t="s">
        <v>3278</v>
      </c>
      <c r="B1123" s="6" t="s">
        <v>1632</v>
      </c>
      <c r="C1123" s="6" t="s">
        <v>3279</v>
      </c>
    </row>
    <row r="1124" spans="1:3" ht="26.25" thickBot="1">
      <c r="A1124" s="4" t="s">
        <v>3283</v>
      </c>
      <c r="B1124" s="5" t="s">
        <v>1620</v>
      </c>
      <c r="C1124" s="6" t="s">
        <v>3284</v>
      </c>
    </row>
    <row r="1125" spans="1:3" ht="25.5">
      <c r="A1125" s="96" t="s">
        <v>3285</v>
      </c>
      <c r="B1125" s="91" t="s">
        <v>1620</v>
      </c>
      <c r="C1125" s="91" t="s">
        <v>3287</v>
      </c>
    </row>
    <row r="1126" spans="1:3" ht="17.25" thickBot="1">
      <c r="A1126" s="4" t="s">
        <v>3286</v>
      </c>
      <c r="B1126" s="97"/>
      <c r="C1126" s="97"/>
    </row>
    <row r="1127" spans="1:3" ht="25.5">
      <c r="A1127" s="92" t="s">
        <v>1749</v>
      </c>
      <c r="B1127" s="7" t="s">
        <v>2116</v>
      </c>
      <c r="C1127" s="91" t="s">
        <v>3288</v>
      </c>
    </row>
    <row r="1128" spans="1:3" ht="17.25" thickBot="1">
      <c r="A1128" s="98"/>
      <c r="B1128" s="5" t="s">
        <v>2607</v>
      </c>
      <c r="C1128" s="97"/>
    </row>
    <row r="1129" spans="1:3" ht="27.75" thickBot="1">
      <c r="A1129" s="4" t="s">
        <v>3289</v>
      </c>
      <c r="B1129" s="5" t="s">
        <v>1620</v>
      </c>
      <c r="C1129" s="6" t="s">
        <v>3290</v>
      </c>
    </row>
    <row r="1130" spans="1:3" ht="25.5">
      <c r="A1130" s="92" t="s">
        <v>3291</v>
      </c>
      <c r="B1130" s="8" t="s">
        <v>3292</v>
      </c>
      <c r="C1130" s="91" t="s">
        <v>3294</v>
      </c>
    </row>
    <row r="1131" spans="1:3" ht="17.25" thickBot="1">
      <c r="A1131" s="98"/>
      <c r="B1131" s="5" t="s">
        <v>3293</v>
      </c>
      <c r="C1131" s="97"/>
    </row>
    <row r="1132" spans="1:3" ht="27.75" thickBot="1">
      <c r="A1132" s="4" t="s">
        <v>3295</v>
      </c>
      <c r="B1132" s="5" t="s">
        <v>1620</v>
      </c>
      <c r="C1132" s="6" t="s">
        <v>3296</v>
      </c>
    </row>
    <row r="1133" spans="1:3" ht="26.25" thickBot="1">
      <c r="A1133" s="4" t="s">
        <v>1735</v>
      </c>
      <c r="B1133" s="5" t="s">
        <v>1620</v>
      </c>
      <c r="C1133" s="6" t="s">
        <v>3297</v>
      </c>
    </row>
    <row r="1134" spans="1:3" ht="17.25" thickBot="1">
      <c r="A1134" s="4" t="s">
        <v>3301</v>
      </c>
      <c r="B1134" s="5" t="s">
        <v>1608</v>
      </c>
      <c r="C1134" s="6" t="s">
        <v>3302</v>
      </c>
    </row>
    <row r="1135" spans="1:3" ht="90" thickBot="1">
      <c r="A1135" s="4" t="s">
        <v>3303</v>
      </c>
      <c r="B1135" s="5" t="s">
        <v>1608</v>
      </c>
      <c r="C1135" s="6" t="s">
        <v>3304</v>
      </c>
    </row>
    <row r="1136" spans="1:3" ht="25.5">
      <c r="A1136" s="92" t="s">
        <v>3308</v>
      </c>
      <c r="B1136" s="8" t="s">
        <v>3309</v>
      </c>
      <c r="C1136" s="91" t="s">
        <v>3310</v>
      </c>
    </row>
    <row r="1137" spans="1:3" ht="17.25" thickBot="1">
      <c r="A1137" s="98"/>
      <c r="B1137" s="5" t="s">
        <v>501</v>
      </c>
      <c r="C1137" s="97"/>
    </row>
    <row r="1138" spans="1:3">
      <c r="A1138" s="115" t="s">
        <v>3311</v>
      </c>
      <c r="B1138" s="115" t="s">
        <v>3312</v>
      </c>
    </row>
    <row r="1139" spans="1:3" ht="17.25" thickBot="1">
      <c r="A1139" s="126" t="s">
        <v>1874</v>
      </c>
    </row>
    <row r="1140" spans="1:3" ht="17.25" thickBot="1">
      <c r="A1140" s="102" t="s">
        <v>1591</v>
      </c>
      <c r="B1140" s="103" t="s">
        <v>1635</v>
      </c>
      <c r="C1140" s="103" t="s">
        <v>1593</v>
      </c>
    </row>
    <row r="1141" spans="1:3">
      <c r="A1141" s="92" t="s">
        <v>1677</v>
      </c>
      <c r="B1141" s="8" t="s">
        <v>1620</v>
      </c>
      <c r="C1141" s="91" t="s">
        <v>3313</v>
      </c>
    </row>
    <row r="1142" spans="1:3" ht="17.25" thickBot="1">
      <c r="A1142" s="98"/>
      <c r="B1142" s="5" t="s">
        <v>1550</v>
      </c>
      <c r="C1142" s="97"/>
    </row>
    <row r="1143" spans="1:3">
      <c r="A1143" s="92" t="s">
        <v>1674</v>
      </c>
      <c r="B1143" s="7" t="s">
        <v>1619</v>
      </c>
      <c r="C1143" s="91" t="s">
        <v>3314</v>
      </c>
    </row>
    <row r="1144" spans="1:3" ht="17.25" thickBot="1">
      <c r="A1144" s="98"/>
      <c r="B1144" s="5" t="s">
        <v>1550</v>
      </c>
      <c r="C1144" s="97"/>
    </row>
    <row r="1145" spans="1:3" ht="25.5">
      <c r="A1145" s="92" t="s">
        <v>3315</v>
      </c>
      <c r="B1145" s="8" t="s">
        <v>1745</v>
      </c>
      <c r="C1145" s="91" t="s">
        <v>3316</v>
      </c>
    </row>
    <row r="1146" spans="1:3" ht="17.25" thickBot="1">
      <c r="A1146" s="98"/>
      <c r="B1146" s="5" t="s">
        <v>1550</v>
      </c>
      <c r="C1146" s="97"/>
    </row>
    <row r="1147" spans="1:3" ht="25.5">
      <c r="A1147" s="92" t="s">
        <v>3317</v>
      </c>
      <c r="B1147" s="8" t="s">
        <v>1745</v>
      </c>
      <c r="C1147" s="91" t="s">
        <v>3318</v>
      </c>
    </row>
    <row r="1148" spans="1:3" ht="17.25" thickBot="1">
      <c r="A1148" s="98"/>
      <c r="B1148" s="5" t="s">
        <v>1550</v>
      </c>
      <c r="C1148" s="97"/>
    </row>
    <row r="1149" spans="1:3">
      <c r="A1149" s="96" t="s">
        <v>3319</v>
      </c>
      <c r="B1149" s="91" t="s">
        <v>1612</v>
      </c>
      <c r="C1149" s="7" t="s">
        <v>3321</v>
      </c>
    </row>
    <row r="1150" spans="1:3" ht="27">
      <c r="A1150" s="96" t="s">
        <v>3320</v>
      </c>
      <c r="B1150" s="170"/>
      <c r="C1150" s="8" t="s">
        <v>3322</v>
      </c>
    </row>
    <row r="1151" spans="1:3" ht="17.25" thickBot="1">
      <c r="A1151" s="113"/>
      <c r="B1151" s="97"/>
      <c r="C1151" s="6" t="s">
        <v>3323</v>
      </c>
    </row>
    <row r="1152" spans="1:3" ht="17.25" thickBot="1">
      <c r="A1152" s="4" t="s">
        <v>3324</v>
      </c>
      <c r="B1152" s="5" t="s">
        <v>0</v>
      </c>
      <c r="C1152" s="5" t="s">
        <v>3325</v>
      </c>
    </row>
    <row r="1153" spans="1:3" ht="17.25" thickBot="1">
      <c r="A1153" s="4" t="s">
        <v>3326</v>
      </c>
      <c r="B1153" s="5" t="s">
        <v>0</v>
      </c>
      <c r="C1153" s="5" t="s">
        <v>3327</v>
      </c>
    </row>
    <row r="1154" spans="1:3" ht="27.75" thickBot="1">
      <c r="A1154" s="4" t="s">
        <v>3328</v>
      </c>
      <c r="B1154" s="5" t="s">
        <v>1566</v>
      </c>
      <c r="C1154" s="6" t="s">
        <v>3329</v>
      </c>
    </row>
    <row r="1155" spans="1:3">
      <c r="B1155" s="114" t="s">
        <v>3330</v>
      </c>
      <c r="C1155" s="114" t="s">
        <v>3331</v>
      </c>
    </row>
    <row r="1156" spans="1:3" ht="17.25" thickBot="1">
      <c r="A1156" s="115" t="s">
        <v>3332</v>
      </c>
      <c r="B1156" s="115" t="s">
        <v>3333</v>
      </c>
    </row>
    <row r="1157" spans="1:3" ht="17.25" thickBot="1">
      <c r="A1157" s="102" t="s">
        <v>1591</v>
      </c>
      <c r="B1157" s="103" t="s">
        <v>1592</v>
      </c>
      <c r="C1157" s="103" t="s">
        <v>1593</v>
      </c>
    </row>
    <row r="1158" spans="1:3" ht="30">
      <c r="A1158" s="176" t="s">
        <v>3334</v>
      </c>
      <c r="B1158" s="91" t="s">
        <v>1632</v>
      </c>
      <c r="C1158" s="7" t="s">
        <v>3335</v>
      </c>
    </row>
    <row r="1159" spans="1:3" ht="17.25" thickBot="1">
      <c r="A1159" s="177"/>
      <c r="B1159" s="97"/>
      <c r="C1159" s="5" t="s">
        <v>3336</v>
      </c>
    </row>
    <row r="1160" spans="1:3" ht="17.25" thickBot="1">
      <c r="A1160" s="145" t="s">
        <v>3337</v>
      </c>
      <c r="B1160" s="5" t="s">
        <v>0</v>
      </c>
      <c r="C1160" s="5" t="s">
        <v>3338</v>
      </c>
    </row>
    <row r="1161" spans="1:3" ht="17.25" thickBot="1">
      <c r="A1161" s="145" t="s">
        <v>3339</v>
      </c>
      <c r="B1161" s="5" t="s">
        <v>1632</v>
      </c>
      <c r="C1161" s="5" t="s">
        <v>3340</v>
      </c>
    </row>
    <row r="1162" spans="1:3" ht="30">
      <c r="A1162" s="176" t="s">
        <v>3341</v>
      </c>
      <c r="B1162" s="91" t="s">
        <v>1632</v>
      </c>
      <c r="C1162" s="7" t="s">
        <v>3342</v>
      </c>
    </row>
    <row r="1163" spans="1:3" ht="26.25" thickBot="1">
      <c r="A1163" s="177"/>
      <c r="B1163" s="97"/>
      <c r="C1163" s="6" t="s">
        <v>3343</v>
      </c>
    </row>
    <row r="1164" spans="1:3" ht="17.25" thickBot="1">
      <c r="A1164" s="145" t="s">
        <v>3344</v>
      </c>
      <c r="B1164" s="5" t="s">
        <v>1620</v>
      </c>
      <c r="C1164" s="5" t="s">
        <v>3345</v>
      </c>
    </row>
    <row r="1165" spans="1:3" ht="17.25" thickBot="1">
      <c r="A1165" s="145" t="s">
        <v>3346</v>
      </c>
      <c r="B1165" s="5" t="s">
        <v>1599</v>
      </c>
      <c r="C1165" s="6" t="s">
        <v>3347</v>
      </c>
    </row>
    <row r="1166" spans="1:3" ht="30.75" thickBot="1">
      <c r="A1166" s="145" t="s">
        <v>3348</v>
      </c>
      <c r="B1166" s="5" t="s">
        <v>1632</v>
      </c>
      <c r="C1166" s="5" t="s">
        <v>3349</v>
      </c>
    </row>
    <row r="1167" spans="1:3" ht="17.25" thickBot="1">
      <c r="A1167" s="145" t="s">
        <v>3350</v>
      </c>
      <c r="B1167" s="5" t="s">
        <v>1615</v>
      </c>
      <c r="C1167" s="5" t="s">
        <v>3351</v>
      </c>
    </row>
    <row r="1168" spans="1:3" ht="30.75" thickBot="1">
      <c r="A1168" s="145" t="s">
        <v>3352</v>
      </c>
      <c r="B1168" s="5" t="s">
        <v>1632</v>
      </c>
      <c r="C1168" s="5" t="s">
        <v>3353</v>
      </c>
    </row>
    <row r="1169" spans="1:3" ht="17.25" thickBot="1">
      <c r="A1169" s="145" t="s">
        <v>3354</v>
      </c>
      <c r="B1169" s="5" t="s">
        <v>1745</v>
      </c>
      <c r="C1169" s="6" t="s">
        <v>3355</v>
      </c>
    </row>
    <row r="1170" spans="1:3" ht="17.25" thickBot="1">
      <c r="A1170" s="145" t="s">
        <v>3356</v>
      </c>
      <c r="B1170" s="5" t="s">
        <v>1745</v>
      </c>
      <c r="C1170" s="6" t="s">
        <v>3357</v>
      </c>
    </row>
    <row r="1171" spans="1:3" ht="30.75" thickBot="1">
      <c r="A1171" s="145" t="s">
        <v>3358</v>
      </c>
      <c r="B1171" s="5" t="s">
        <v>1632</v>
      </c>
      <c r="C1171" s="5" t="s">
        <v>3359</v>
      </c>
    </row>
    <row r="1172" spans="1:3" ht="17.25" thickBot="1">
      <c r="A1172" s="145" t="s">
        <v>3360</v>
      </c>
      <c r="B1172" s="5" t="s">
        <v>0</v>
      </c>
      <c r="C1172" s="6" t="s">
        <v>3361</v>
      </c>
    </row>
    <row r="1173" spans="1:3" ht="17.25" thickBot="1">
      <c r="A1173" s="145" t="s">
        <v>3362</v>
      </c>
      <c r="B1173" s="5" t="s">
        <v>0</v>
      </c>
      <c r="C1173" s="5" t="s">
        <v>3363</v>
      </c>
    </row>
    <row r="1174" spans="1:3">
      <c r="A1174" s="176" t="s">
        <v>3364</v>
      </c>
      <c r="B1174" s="91" t="s">
        <v>1619</v>
      </c>
      <c r="C1174" s="8" t="s">
        <v>3365</v>
      </c>
    </row>
    <row r="1175" spans="1:3" ht="17.25" thickBot="1">
      <c r="A1175" s="177"/>
      <c r="B1175" s="97"/>
      <c r="C1175" s="5" t="s">
        <v>3366</v>
      </c>
    </row>
    <row r="1176" spans="1:3" ht="30">
      <c r="A1176" s="176" t="s">
        <v>3367</v>
      </c>
      <c r="B1176" s="91" t="s">
        <v>1632</v>
      </c>
      <c r="C1176" s="8" t="s">
        <v>3368</v>
      </c>
    </row>
    <row r="1177" spans="1:3" ht="17.25" thickBot="1">
      <c r="A1177" s="177"/>
      <c r="B1177" s="97"/>
      <c r="C1177" s="5" t="s">
        <v>3369</v>
      </c>
    </row>
    <row r="1178" spans="1:3" ht="25.5">
      <c r="A1178" s="176" t="s">
        <v>3370</v>
      </c>
      <c r="B1178" s="91" t="s">
        <v>1611</v>
      </c>
      <c r="C1178" s="7" t="s">
        <v>3371</v>
      </c>
    </row>
    <row r="1179" spans="1:3" ht="17.25" thickBot="1">
      <c r="A1179" s="177"/>
      <c r="B1179" s="97"/>
      <c r="C1179" s="5" t="s">
        <v>3372</v>
      </c>
    </row>
    <row r="1180" spans="1:3" ht="17.25" thickBot="1">
      <c r="A1180" s="145" t="s">
        <v>3373</v>
      </c>
      <c r="B1180" s="6" t="s">
        <v>3333</v>
      </c>
      <c r="C1180" s="5" t="s">
        <v>3374</v>
      </c>
    </row>
    <row r="1181" spans="1:3" ht="30">
      <c r="A1181" s="176" t="s">
        <v>3375</v>
      </c>
      <c r="B1181" s="91" t="s">
        <v>3333</v>
      </c>
      <c r="C1181" s="7" t="s">
        <v>3376</v>
      </c>
    </row>
    <row r="1182" spans="1:3" ht="39" thickBot="1">
      <c r="A1182" s="177"/>
      <c r="B1182" s="97"/>
      <c r="C1182" s="6" t="s">
        <v>3377</v>
      </c>
    </row>
    <row r="1183" spans="1:3" ht="17.25" thickBot="1">
      <c r="A1183" s="145" t="s">
        <v>3378</v>
      </c>
      <c r="B1183" s="5" t="s">
        <v>1620</v>
      </c>
      <c r="C1183" s="5" t="s">
        <v>3379</v>
      </c>
    </row>
    <row r="1184" spans="1:3" ht="17.25" thickBot="1">
      <c r="A1184" s="145" t="s">
        <v>3380</v>
      </c>
      <c r="B1184" s="5" t="s">
        <v>1632</v>
      </c>
      <c r="C1184" s="5" t="s">
        <v>3381</v>
      </c>
    </row>
    <row r="1185" spans="1:3" ht="26.25" thickBot="1">
      <c r="A1185" s="145" t="s">
        <v>3382</v>
      </c>
      <c r="B1185" s="5" t="s">
        <v>1599</v>
      </c>
      <c r="C1185" s="6" t="s">
        <v>3383</v>
      </c>
    </row>
    <row r="1186" spans="1:3" ht="30.75" thickBot="1">
      <c r="A1186" s="145" t="s">
        <v>3384</v>
      </c>
      <c r="B1186" s="5" t="s">
        <v>1632</v>
      </c>
      <c r="C1186" s="6" t="s">
        <v>3385</v>
      </c>
    </row>
    <row r="1187" spans="1:3" ht="30.75" thickBot="1">
      <c r="A1187" s="145" t="s">
        <v>3386</v>
      </c>
      <c r="B1187" s="5" t="s">
        <v>1632</v>
      </c>
      <c r="C1187" s="6" t="s">
        <v>3387</v>
      </c>
    </row>
    <row r="1188" spans="1:3">
      <c r="A1188" s="176" t="s">
        <v>3388</v>
      </c>
      <c r="B1188" s="91" t="s">
        <v>3389</v>
      </c>
      <c r="C1188" s="8" t="s">
        <v>3390</v>
      </c>
    </row>
    <row r="1189" spans="1:3" ht="17.25" thickBot="1">
      <c r="A1189" s="177"/>
      <c r="B1189" s="97"/>
      <c r="C1189" s="5" t="s">
        <v>3391</v>
      </c>
    </row>
    <row r="1190" spans="1:3" ht="30.75" thickBot="1">
      <c r="A1190" s="145" t="s">
        <v>3392</v>
      </c>
      <c r="B1190" s="5" t="s">
        <v>1632</v>
      </c>
      <c r="C1190" s="5" t="s">
        <v>3393</v>
      </c>
    </row>
    <row r="1191" spans="1:3" ht="30.75" thickBot="1">
      <c r="A1191" s="145" t="s">
        <v>3394</v>
      </c>
      <c r="B1191" s="5" t="s">
        <v>1614</v>
      </c>
      <c r="C1191" s="6" t="s">
        <v>3395</v>
      </c>
    </row>
    <row r="1192" spans="1:3" ht="30">
      <c r="A1192" s="176" t="s">
        <v>3396</v>
      </c>
      <c r="B1192" s="91" t="s">
        <v>0</v>
      </c>
      <c r="C1192" s="7" t="s">
        <v>3397</v>
      </c>
    </row>
    <row r="1193" spans="1:3" ht="17.25" thickBot="1">
      <c r="A1193" s="177"/>
      <c r="B1193" s="97"/>
      <c r="C1193" s="5" t="s">
        <v>3398</v>
      </c>
    </row>
    <row r="1194" spans="1:3">
      <c r="A1194" s="176" t="s">
        <v>3399</v>
      </c>
      <c r="B1194" s="91" t="s">
        <v>1614</v>
      </c>
      <c r="C1194" s="7" t="s">
        <v>3400</v>
      </c>
    </row>
    <row r="1195" spans="1:3" ht="17.25" thickBot="1">
      <c r="A1195" s="177"/>
      <c r="B1195" s="97"/>
      <c r="C1195" s="5" t="s">
        <v>3401</v>
      </c>
    </row>
    <row r="1196" spans="1:3" ht="30">
      <c r="A1196" s="144" t="s">
        <v>3402</v>
      </c>
      <c r="B1196" s="91" t="s">
        <v>1619</v>
      </c>
      <c r="C1196" s="91" t="s">
        <v>3404</v>
      </c>
    </row>
    <row r="1197" spans="1:3" ht="17.25" thickBot="1">
      <c r="A1197" s="145" t="s">
        <v>3403</v>
      </c>
      <c r="B1197" s="97"/>
      <c r="C1197" s="97"/>
    </row>
    <row r="1198" spans="1:3" ht="30.75" thickBot="1">
      <c r="A1198" s="145" t="s">
        <v>3405</v>
      </c>
      <c r="B1198" s="5" t="s">
        <v>1620</v>
      </c>
      <c r="C1198" s="6" t="s">
        <v>3406</v>
      </c>
    </row>
    <row r="1199" spans="1:3" ht="30.75" thickBot="1">
      <c r="A1199" s="145" t="s">
        <v>3407</v>
      </c>
      <c r="B1199" s="5" t="s">
        <v>1614</v>
      </c>
      <c r="C1199" s="6" t="s">
        <v>3408</v>
      </c>
    </row>
    <row r="1200" spans="1:3" ht="30.75" thickBot="1">
      <c r="A1200" s="145" t="s">
        <v>3409</v>
      </c>
      <c r="B1200" s="5" t="s">
        <v>1745</v>
      </c>
      <c r="C1200" s="6" t="s">
        <v>3410</v>
      </c>
    </row>
    <row r="1201" spans="1:3" ht="30">
      <c r="A1201" s="144" t="s">
        <v>3411</v>
      </c>
      <c r="B1201" s="91" t="s">
        <v>1620</v>
      </c>
      <c r="C1201" s="91" t="s">
        <v>3412</v>
      </c>
    </row>
    <row r="1202" spans="1:3" ht="17.25" thickBot="1">
      <c r="A1202" s="145" t="s">
        <v>3403</v>
      </c>
      <c r="B1202" s="97"/>
      <c r="C1202" s="97"/>
    </row>
    <row r="1203" spans="1:3" ht="30">
      <c r="A1203" s="144" t="s">
        <v>3413</v>
      </c>
      <c r="B1203" s="91" t="s">
        <v>3414</v>
      </c>
      <c r="C1203" s="91" t="s">
        <v>3415</v>
      </c>
    </row>
    <row r="1204" spans="1:3" ht="17.25" thickBot="1">
      <c r="A1204" s="145" t="s">
        <v>3403</v>
      </c>
      <c r="B1204" s="97"/>
      <c r="C1204" s="97"/>
    </row>
    <row r="1205" spans="1:3" ht="30">
      <c r="A1205" s="144" t="s">
        <v>3416</v>
      </c>
      <c r="B1205" s="91" t="s">
        <v>3414</v>
      </c>
      <c r="C1205" s="91" t="s">
        <v>3417</v>
      </c>
    </row>
    <row r="1206" spans="1:3" ht="17.25" thickBot="1">
      <c r="A1206" s="145" t="s">
        <v>3403</v>
      </c>
      <c r="B1206" s="97"/>
      <c r="C1206" s="97"/>
    </row>
    <row r="1207" spans="1:3" ht="30.75" thickBot="1">
      <c r="A1207" s="145" t="s">
        <v>3418</v>
      </c>
      <c r="B1207" s="5" t="s">
        <v>3414</v>
      </c>
      <c r="C1207" s="5" t="s">
        <v>3419</v>
      </c>
    </row>
    <row r="1208" spans="1:3" ht="30.75" thickBot="1">
      <c r="A1208" s="145" t="s">
        <v>3420</v>
      </c>
      <c r="B1208" s="5" t="s">
        <v>1599</v>
      </c>
      <c r="C1208" s="6" t="s">
        <v>3421</v>
      </c>
    </row>
    <row r="1209" spans="1:3" ht="30.75" thickBot="1">
      <c r="A1209" s="145" t="s">
        <v>3422</v>
      </c>
      <c r="B1209" s="5" t="s">
        <v>1599</v>
      </c>
      <c r="C1209" s="6" t="s">
        <v>3423</v>
      </c>
    </row>
    <row r="1210" spans="1:3" ht="30.75" thickBot="1">
      <c r="A1210" s="145" t="s">
        <v>3424</v>
      </c>
      <c r="B1210" s="5" t="s">
        <v>1599</v>
      </c>
      <c r="C1210" s="6" t="s">
        <v>3425</v>
      </c>
    </row>
    <row r="1211" spans="1:3" ht="30.75" thickBot="1">
      <c r="A1211" s="145" t="s">
        <v>3426</v>
      </c>
      <c r="B1211" s="5" t="s">
        <v>0</v>
      </c>
      <c r="C1211" s="6" t="s">
        <v>3427</v>
      </c>
    </row>
    <row r="1212" spans="1:3" ht="30">
      <c r="A1212" s="144" t="s">
        <v>3428</v>
      </c>
      <c r="B1212" s="91" t="s">
        <v>1599</v>
      </c>
      <c r="C1212" s="91" t="s">
        <v>3429</v>
      </c>
    </row>
    <row r="1213" spans="1:3" ht="17.25" thickBot="1">
      <c r="A1213" s="145" t="s">
        <v>3403</v>
      </c>
      <c r="B1213" s="97"/>
      <c r="C1213" s="97"/>
    </row>
    <row r="1214" spans="1:3" ht="17.25" thickBot="1">
      <c r="A1214" s="145" t="s">
        <v>3430</v>
      </c>
      <c r="B1214" s="5" t="s">
        <v>1599</v>
      </c>
      <c r="C1214" s="5" t="s">
        <v>3431</v>
      </c>
    </row>
    <row r="1215" spans="1:3" ht="17.25" thickBot="1">
      <c r="A1215" s="145" t="s">
        <v>3432</v>
      </c>
      <c r="B1215" s="5" t="s">
        <v>1599</v>
      </c>
      <c r="C1215" s="6" t="s">
        <v>3433</v>
      </c>
    </row>
    <row r="1216" spans="1:3" ht="17.25" thickBot="1">
      <c r="A1216" s="145" t="s">
        <v>3434</v>
      </c>
      <c r="B1216" s="5" t="s">
        <v>1599</v>
      </c>
      <c r="C1216" s="5" t="s">
        <v>3435</v>
      </c>
    </row>
    <row r="1217" spans="1:3" ht="17.25" thickBot="1">
      <c r="A1217" s="145" t="s">
        <v>3436</v>
      </c>
      <c r="B1217" s="5" t="s">
        <v>1599</v>
      </c>
      <c r="C1217" s="6" t="s">
        <v>3437</v>
      </c>
    </row>
    <row r="1218" spans="1:3">
      <c r="A1218" s="189"/>
      <c r="B1218" s="114" t="s">
        <v>3510</v>
      </c>
      <c r="C1218" s="191"/>
    </row>
    <row r="1219" spans="1:3" ht="17.25" thickBot="1">
      <c r="A1219" s="115" t="s">
        <v>3438</v>
      </c>
      <c r="B1219" s="115" t="s">
        <v>3439</v>
      </c>
    </row>
    <row r="1220" spans="1:3" ht="17.25" thickBot="1">
      <c r="A1220" s="102" t="s">
        <v>1591</v>
      </c>
      <c r="B1220" s="103" t="s">
        <v>1592</v>
      </c>
      <c r="C1220" s="103" t="s">
        <v>1593</v>
      </c>
    </row>
    <row r="1221" spans="1:3" ht="45.75" thickBot="1">
      <c r="A1221" s="145" t="s">
        <v>3440</v>
      </c>
      <c r="B1221" s="5" t="s">
        <v>2698</v>
      </c>
      <c r="C1221" s="6" t="s">
        <v>3441</v>
      </c>
    </row>
    <row r="1222" spans="1:3" ht="45.75" thickBot="1">
      <c r="A1222" s="145" t="s">
        <v>3442</v>
      </c>
      <c r="B1222" s="5" t="s">
        <v>2698</v>
      </c>
      <c r="C1222" s="6" t="s">
        <v>3443</v>
      </c>
    </row>
    <row r="1223" spans="1:3" ht="51">
      <c r="A1223" s="144" t="s">
        <v>3444</v>
      </c>
      <c r="B1223" s="91" t="s">
        <v>3453</v>
      </c>
      <c r="C1223" s="91" t="s">
        <v>3454</v>
      </c>
    </row>
    <row r="1224" spans="1:3">
      <c r="A1224" s="144" t="s">
        <v>3445</v>
      </c>
      <c r="B1224" s="170"/>
      <c r="C1224" s="170"/>
    </row>
    <row r="1225" spans="1:3">
      <c r="A1225" s="144" t="s">
        <v>3446</v>
      </c>
      <c r="B1225" s="170"/>
      <c r="C1225" s="170"/>
    </row>
    <row r="1226" spans="1:3">
      <c r="A1226" s="144" t="s">
        <v>3447</v>
      </c>
      <c r="B1226" s="170"/>
      <c r="C1226" s="170"/>
    </row>
    <row r="1227" spans="1:3">
      <c r="A1227" s="144" t="s">
        <v>3448</v>
      </c>
      <c r="B1227" s="170"/>
      <c r="C1227" s="170"/>
    </row>
    <row r="1228" spans="1:3">
      <c r="A1228" s="144" t="s">
        <v>3449</v>
      </c>
      <c r="B1228" s="170"/>
      <c r="C1228" s="170"/>
    </row>
    <row r="1229" spans="1:3">
      <c r="A1229" s="144" t="s">
        <v>3450</v>
      </c>
      <c r="B1229" s="170"/>
      <c r="C1229" s="170"/>
    </row>
    <row r="1230" spans="1:3">
      <c r="A1230" s="144" t="s">
        <v>3451</v>
      </c>
      <c r="B1230" s="170"/>
      <c r="C1230" s="170"/>
    </row>
    <row r="1231" spans="1:3" ht="17.25" thickBot="1">
      <c r="A1231" s="145" t="s">
        <v>3452</v>
      </c>
      <c r="B1231" s="97"/>
      <c r="C1231" s="97"/>
    </row>
    <row r="1232" spans="1:3" ht="75.75" thickBot="1">
      <c r="A1232" s="145" t="s">
        <v>3455</v>
      </c>
      <c r="B1232" s="5" t="s">
        <v>2698</v>
      </c>
      <c r="C1232" s="5" t="s">
        <v>3456</v>
      </c>
    </row>
    <row r="1233" spans="1:3" ht="75.75" thickBot="1">
      <c r="A1233" s="145" t="s">
        <v>3457</v>
      </c>
      <c r="B1233" s="5" t="s">
        <v>2698</v>
      </c>
      <c r="C1233" s="5" t="s">
        <v>3458</v>
      </c>
    </row>
    <row r="1234" spans="1:3" ht="75.75" thickBot="1">
      <c r="A1234" s="145" t="s">
        <v>3459</v>
      </c>
      <c r="B1234" s="5" t="s">
        <v>2698</v>
      </c>
      <c r="C1234" s="5" t="s">
        <v>3460</v>
      </c>
    </row>
    <row r="1235" spans="1:3" ht="75.75" thickBot="1">
      <c r="A1235" s="145" t="s">
        <v>3461</v>
      </c>
      <c r="B1235" s="5" t="s">
        <v>2698</v>
      </c>
      <c r="C1235" s="5" t="s">
        <v>3462</v>
      </c>
    </row>
    <row r="1236" spans="1:3" ht="30">
      <c r="A1236" s="149" t="s">
        <v>3463</v>
      </c>
      <c r="B1236" s="91" t="s">
        <v>2698</v>
      </c>
      <c r="C1236" s="91" t="s">
        <v>3465</v>
      </c>
    </row>
    <row r="1237" spans="1:3" ht="17.25" thickBot="1">
      <c r="A1237" s="145" t="s">
        <v>3464</v>
      </c>
      <c r="B1237" s="97"/>
      <c r="C1237" s="97"/>
    </row>
    <row r="1238" spans="1:3" ht="17.25" thickBot="1">
      <c r="A1238" s="145" t="s">
        <v>3466</v>
      </c>
      <c r="B1238" s="5" t="s">
        <v>3453</v>
      </c>
      <c r="C1238" s="5" t="s">
        <v>3467</v>
      </c>
    </row>
    <row r="1239" spans="1:3" ht="30">
      <c r="A1239" s="176" t="s">
        <v>3468</v>
      </c>
      <c r="B1239" s="91" t="s">
        <v>3453</v>
      </c>
      <c r="C1239" s="7" t="s">
        <v>3469</v>
      </c>
    </row>
    <row r="1240" spans="1:3" ht="17.25" thickBot="1">
      <c r="A1240" s="177"/>
      <c r="B1240" s="97"/>
      <c r="C1240" s="5" t="s">
        <v>3470</v>
      </c>
    </row>
    <row r="1241" spans="1:3" ht="30.75" thickBot="1">
      <c r="A1241" s="145" t="s">
        <v>3471</v>
      </c>
      <c r="B1241" s="5" t="s">
        <v>2698</v>
      </c>
      <c r="C1241" s="5" t="s">
        <v>3472</v>
      </c>
    </row>
    <row r="1242" spans="1:3" ht="75">
      <c r="A1242" s="176" t="s">
        <v>3473</v>
      </c>
      <c r="B1242" s="91" t="s">
        <v>2698</v>
      </c>
      <c r="C1242" s="7" t="s">
        <v>3474</v>
      </c>
    </row>
    <row r="1243" spans="1:3" ht="17.25" thickBot="1">
      <c r="A1243" s="177"/>
      <c r="B1243" s="97"/>
      <c r="C1243" s="5" t="s">
        <v>3475</v>
      </c>
    </row>
    <row r="1244" spans="1:3" ht="17.25" thickBot="1">
      <c r="A1244" s="145" t="s">
        <v>3476</v>
      </c>
      <c r="B1244" s="5" t="s">
        <v>2698</v>
      </c>
      <c r="C1244" s="5" t="s">
        <v>3477</v>
      </c>
    </row>
    <row r="1245" spans="1:3" ht="17.25" thickBot="1">
      <c r="A1245" s="145" t="s">
        <v>3478</v>
      </c>
      <c r="B1245" s="5" t="s">
        <v>2698</v>
      </c>
      <c r="C1245" s="5" t="s">
        <v>3479</v>
      </c>
    </row>
    <row r="1246" spans="1:3">
      <c r="A1246" s="189"/>
      <c r="B1246" s="114" t="s">
        <v>3510</v>
      </c>
      <c r="C1246" s="190"/>
    </row>
    <row r="1247" spans="1:3" ht="17.25" thickBot="1">
      <c r="A1247" s="115" t="s">
        <v>3480</v>
      </c>
      <c r="B1247" s="115" t="s">
        <v>3481</v>
      </c>
    </row>
    <row r="1248" spans="1:3" ht="17.25" thickBot="1">
      <c r="A1248" s="102" t="s">
        <v>1591</v>
      </c>
      <c r="B1248" s="103" t="s">
        <v>1592</v>
      </c>
      <c r="C1248" s="103" t="s">
        <v>1593</v>
      </c>
    </row>
    <row r="1249" spans="1:3" ht="17.25" thickBot="1">
      <c r="A1249" s="145" t="s">
        <v>3482</v>
      </c>
      <c r="B1249" s="5" t="s">
        <v>3483</v>
      </c>
      <c r="C1249" s="5" t="s">
        <v>3484</v>
      </c>
    </row>
    <row r="1250" spans="1:3" ht="30.75" thickBot="1">
      <c r="A1250" s="145" t="s">
        <v>3485</v>
      </c>
      <c r="B1250" s="5" t="s">
        <v>1632</v>
      </c>
      <c r="C1250" s="5" t="s">
        <v>3486</v>
      </c>
    </row>
    <row r="1251" spans="1:3" ht="30">
      <c r="A1251" s="149" t="s">
        <v>3487</v>
      </c>
      <c r="B1251" s="91" t="s">
        <v>1566</v>
      </c>
      <c r="C1251" s="91" t="s">
        <v>3488</v>
      </c>
    </row>
    <row r="1252" spans="1:3" ht="17.25" thickBot="1">
      <c r="A1252" s="145" t="s">
        <v>2148</v>
      </c>
      <c r="B1252" s="97"/>
      <c r="C1252" s="97"/>
    </row>
    <row r="1253" spans="1:3">
      <c r="A1253" s="176" t="s">
        <v>3489</v>
      </c>
      <c r="B1253" s="91" t="s">
        <v>1632</v>
      </c>
      <c r="C1253" s="7" t="s">
        <v>3490</v>
      </c>
    </row>
    <row r="1254" spans="1:3" ht="17.25" thickBot="1">
      <c r="A1254" s="177"/>
      <c r="B1254" s="97"/>
      <c r="C1254" s="6" t="s">
        <v>3491</v>
      </c>
    </row>
    <row r="1255" spans="1:3" ht="17.25" thickBot="1">
      <c r="A1255" s="145" t="s">
        <v>3019</v>
      </c>
      <c r="B1255" s="5" t="s">
        <v>1632</v>
      </c>
      <c r="C1255" s="5" t="s">
        <v>3492</v>
      </c>
    </row>
    <row r="1256" spans="1:3" ht="17.25" thickBot="1">
      <c r="A1256" s="145" t="s">
        <v>3493</v>
      </c>
      <c r="B1256" s="5" t="s">
        <v>1632</v>
      </c>
      <c r="C1256" s="5" t="s">
        <v>3494</v>
      </c>
    </row>
    <row r="1257" spans="1:3" ht="17.25" thickBot="1">
      <c r="A1257" s="145" t="s">
        <v>3495</v>
      </c>
      <c r="B1257" s="5" t="s">
        <v>1632</v>
      </c>
      <c r="C1257" s="5" t="s">
        <v>3496</v>
      </c>
    </row>
    <row r="1258" spans="1:3" ht="17.25" thickBot="1">
      <c r="A1258" s="145" t="s">
        <v>3497</v>
      </c>
      <c r="B1258" s="5" t="s">
        <v>1632</v>
      </c>
      <c r="C1258" s="5" t="s">
        <v>3498</v>
      </c>
    </row>
    <row r="1259" spans="1:3" ht="17.25" thickBot="1">
      <c r="A1259" s="145" t="s">
        <v>3499</v>
      </c>
      <c r="B1259" s="5" t="s">
        <v>1632</v>
      </c>
      <c r="C1259" s="5" t="s">
        <v>3500</v>
      </c>
    </row>
    <row r="1260" spans="1:3" ht="30.75" thickBot="1">
      <c r="A1260" s="145" t="s">
        <v>3501</v>
      </c>
      <c r="B1260" s="5" t="s">
        <v>1632</v>
      </c>
      <c r="C1260" s="5" t="s">
        <v>3502</v>
      </c>
    </row>
    <row r="1261" spans="1:3" ht="30.75" thickBot="1">
      <c r="A1261" s="145" t="s">
        <v>3503</v>
      </c>
      <c r="B1261" s="5" t="s">
        <v>1632</v>
      </c>
      <c r="C1261" s="5" t="s">
        <v>3504</v>
      </c>
    </row>
    <row r="1262" spans="1:3" ht="30">
      <c r="A1262" s="176" t="s">
        <v>3505</v>
      </c>
      <c r="B1262" s="91" t="s">
        <v>1632</v>
      </c>
      <c r="C1262" s="7" t="s">
        <v>3506</v>
      </c>
    </row>
    <row r="1263" spans="1:3" ht="17.25" thickBot="1">
      <c r="A1263" s="177"/>
      <c r="B1263" s="97"/>
      <c r="C1263" s="5" t="s">
        <v>3507</v>
      </c>
    </row>
    <row r="1264" spans="1:3" ht="30.75" thickBot="1">
      <c r="A1264" s="145" t="s">
        <v>3508</v>
      </c>
      <c r="B1264" s="5" t="s">
        <v>1632</v>
      </c>
      <c r="C1264" s="6" t="s">
        <v>3509</v>
      </c>
    </row>
    <row r="1265" spans="1:3">
      <c r="B1265" s="114" t="s">
        <v>3510</v>
      </c>
      <c r="C1265" s="114" t="s">
        <v>3511</v>
      </c>
    </row>
    <row r="1266" spans="1:3" ht="17.25" thickBot="1">
      <c r="A1266" s="115" t="s">
        <v>3512</v>
      </c>
      <c r="B1266" s="115" t="s">
        <v>3513</v>
      </c>
    </row>
    <row r="1267" spans="1:3" ht="17.25" thickBot="1">
      <c r="A1267" s="102" t="s">
        <v>1591</v>
      </c>
      <c r="B1267" s="103" t="s">
        <v>1592</v>
      </c>
      <c r="C1267" s="103" t="s">
        <v>1593</v>
      </c>
    </row>
    <row r="1268" spans="1:3" ht="17.25" thickBot="1">
      <c r="A1268" s="145" t="s">
        <v>3514</v>
      </c>
      <c r="B1268" s="5" t="s">
        <v>3515</v>
      </c>
      <c r="C1268" s="5" t="s">
        <v>3484</v>
      </c>
    </row>
    <row r="1269" spans="1:3">
      <c r="A1269" s="176" t="s">
        <v>3489</v>
      </c>
      <c r="B1269" s="91" t="s">
        <v>1632</v>
      </c>
      <c r="C1269" s="7" t="s">
        <v>3490</v>
      </c>
    </row>
    <row r="1270" spans="1:3">
      <c r="A1270" s="178"/>
      <c r="B1270" s="170"/>
      <c r="C1270" s="7" t="s">
        <v>3516</v>
      </c>
    </row>
    <row r="1271" spans="1:3" ht="17.25" thickBot="1">
      <c r="A1271" s="177"/>
      <c r="B1271" s="97"/>
      <c r="C1271" s="5" t="s">
        <v>3517</v>
      </c>
    </row>
    <row r="1272" spans="1:3" ht="17.25" thickBot="1">
      <c r="A1272" s="145" t="s">
        <v>3019</v>
      </c>
      <c r="B1272" s="5" t="s">
        <v>1632</v>
      </c>
      <c r="C1272" s="5" t="s">
        <v>3492</v>
      </c>
    </row>
    <row r="1273" spans="1:3" ht="17.25" thickBot="1">
      <c r="A1273" s="145" t="s">
        <v>3495</v>
      </c>
      <c r="B1273" s="5" t="s">
        <v>1632</v>
      </c>
      <c r="C1273" s="5" t="s">
        <v>3496</v>
      </c>
    </row>
    <row r="1274" spans="1:3" ht="17.25" thickBot="1">
      <c r="A1274" s="145" t="s">
        <v>3497</v>
      </c>
      <c r="B1274" s="5" t="s">
        <v>1632</v>
      </c>
      <c r="C1274" s="6" t="s">
        <v>3498</v>
      </c>
    </row>
    <row r="1275" spans="1:3" ht="30">
      <c r="A1275" s="144" t="s">
        <v>3518</v>
      </c>
      <c r="B1275" s="91" t="s">
        <v>1632</v>
      </c>
      <c r="C1275" s="91" t="s">
        <v>3520</v>
      </c>
    </row>
    <row r="1276" spans="1:3" ht="17.25" thickBot="1">
      <c r="A1276" s="145" t="s">
        <v>3519</v>
      </c>
      <c r="B1276" s="97"/>
      <c r="C1276" s="97"/>
    </row>
    <row r="1277" spans="1:3">
      <c r="B1277" s="114" t="s">
        <v>3521</v>
      </c>
      <c r="C1277" s="114" t="s">
        <v>3522</v>
      </c>
    </row>
    <row r="1278" spans="1:3" ht="17.25" thickBot="1">
      <c r="A1278" s="115" t="s">
        <v>3523</v>
      </c>
      <c r="B1278" s="115" t="s">
        <v>3524</v>
      </c>
    </row>
    <row r="1279" spans="1:3" ht="17.25" thickBot="1">
      <c r="A1279" s="102" t="s">
        <v>1591</v>
      </c>
      <c r="B1279" s="103" t="s">
        <v>1635</v>
      </c>
      <c r="C1279" s="103" t="s">
        <v>1593</v>
      </c>
    </row>
    <row r="1280" spans="1:3">
      <c r="A1280" s="92" t="s">
        <v>3525</v>
      </c>
      <c r="B1280" s="7" t="s">
        <v>1561</v>
      </c>
      <c r="C1280" s="91" t="s">
        <v>3526</v>
      </c>
    </row>
    <row r="1281" spans="1:3" ht="17.25" thickBot="1">
      <c r="A1281" s="98"/>
      <c r="B1281" s="5" t="s">
        <v>1550</v>
      </c>
      <c r="C1281" s="97"/>
    </row>
    <row r="1282" spans="1:3">
      <c r="A1282" s="92" t="s">
        <v>1677</v>
      </c>
      <c r="B1282" s="8" t="s">
        <v>1620</v>
      </c>
      <c r="C1282" s="91" t="s">
        <v>3527</v>
      </c>
    </row>
    <row r="1283" spans="1:3" ht="17.25" thickBot="1">
      <c r="A1283" s="98"/>
      <c r="B1283" s="5" t="s">
        <v>1550</v>
      </c>
      <c r="C1283" s="97"/>
    </row>
    <row r="1284" spans="1:3" ht="27">
      <c r="A1284" s="96" t="s">
        <v>3528</v>
      </c>
      <c r="B1284" s="91" t="s">
        <v>1613</v>
      </c>
      <c r="C1284" s="91" t="s">
        <v>3530</v>
      </c>
    </row>
    <row r="1285" spans="1:3" ht="17.25" thickBot="1">
      <c r="A1285" s="4" t="s">
        <v>3529</v>
      </c>
      <c r="B1285" s="97"/>
      <c r="C1285" s="97"/>
    </row>
    <row r="1286" spans="1:3" ht="17.25" thickBot="1">
      <c r="A1286" s="4" t="s">
        <v>1634</v>
      </c>
      <c r="B1286" s="5" t="s">
        <v>1603</v>
      </c>
      <c r="C1286" s="5" t="s">
        <v>3531</v>
      </c>
    </row>
    <row r="1287" spans="1:3" ht="17.25" thickBot="1">
      <c r="A1287" s="4" t="s">
        <v>3532</v>
      </c>
      <c r="B1287" s="5" t="s">
        <v>1613</v>
      </c>
      <c r="C1287" s="6" t="s">
        <v>3533</v>
      </c>
    </row>
    <row r="1288" spans="1:3" ht="26.25" thickBot="1">
      <c r="A1288" s="4" t="s">
        <v>3278</v>
      </c>
      <c r="B1288" s="5" t="s">
        <v>1613</v>
      </c>
      <c r="C1288" s="6" t="s">
        <v>3534</v>
      </c>
    </row>
    <row r="1289" spans="1:3" ht="26.25" thickBot="1">
      <c r="A1289" s="4" t="s">
        <v>1699</v>
      </c>
      <c r="B1289" s="5" t="s">
        <v>1613</v>
      </c>
      <c r="C1289" s="6" t="s">
        <v>3535</v>
      </c>
    </row>
    <row r="1290" spans="1:3" ht="27.75" thickBot="1">
      <c r="A1290" s="4" t="s">
        <v>3536</v>
      </c>
      <c r="B1290" s="5" t="s">
        <v>1620</v>
      </c>
      <c r="C1290" s="6" t="s">
        <v>3537</v>
      </c>
    </row>
    <row r="1291" spans="1:3" ht="26.25" thickBot="1">
      <c r="A1291" s="4" t="s">
        <v>3283</v>
      </c>
      <c r="B1291" s="5" t="s">
        <v>1620</v>
      </c>
      <c r="C1291" s="6" t="s">
        <v>3538</v>
      </c>
    </row>
    <row r="1292" spans="1:3" ht="26.25" thickBot="1">
      <c r="A1292" s="4" t="s">
        <v>3303</v>
      </c>
      <c r="B1292" s="5" t="s">
        <v>1620</v>
      </c>
      <c r="C1292" s="6" t="s">
        <v>3539</v>
      </c>
    </row>
    <row r="1293" spans="1:3" ht="25.5">
      <c r="A1293" s="92" t="s">
        <v>1749</v>
      </c>
      <c r="B1293" s="7" t="s">
        <v>2116</v>
      </c>
      <c r="C1293" s="91" t="s">
        <v>3540</v>
      </c>
    </row>
    <row r="1294" spans="1:3" ht="17.25" thickBot="1">
      <c r="A1294" s="98"/>
      <c r="B1294" s="5" t="s">
        <v>2607</v>
      </c>
      <c r="C1294" s="97"/>
    </row>
    <row r="1295" spans="1:3" ht="26.25" thickBot="1">
      <c r="A1295" s="4" t="s">
        <v>2787</v>
      </c>
      <c r="B1295" s="5" t="s">
        <v>1611</v>
      </c>
      <c r="C1295" s="6" t="s">
        <v>3541</v>
      </c>
    </row>
    <row r="1296" spans="1:3" ht="39" thickBot="1">
      <c r="A1296" s="4" t="s">
        <v>3301</v>
      </c>
      <c r="B1296" s="5" t="s">
        <v>1608</v>
      </c>
      <c r="C1296" s="6" t="s">
        <v>3542</v>
      </c>
    </row>
    <row r="1297" spans="1:3">
      <c r="B1297" s="114" t="s">
        <v>3543</v>
      </c>
      <c r="C1297" s="114" t="s">
        <v>3544</v>
      </c>
    </row>
    <row r="1298" spans="1:3" ht="17.25" thickBot="1">
      <c r="A1298" s="115" t="s">
        <v>3545</v>
      </c>
      <c r="B1298" s="115" t="s">
        <v>3546</v>
      </c>
    </row>
    <row r="1299" spans="1:3" ht="17.25" thickBot="1">
      <c r="A1299" s="102" t="s">
        <v>1591</v>
      </c>
      <c r="B1299" s="103" t="s">
        <v>1635</v>
      </c>
      <c r="C1299" s="103" t="s">
        <v>3547</v>
      </c>
    </row>
    <row r="1300" spans="1:3">
      <c r="A1300" s="92" t="s">
        <v>1549</v>
      </c>
      <c r="B1300" s="8" t="s">
        <v>1738</v>
      </c>
      <c r="C1300" s="91" t="s">
        <v>3548</v>
      </c>
    </row>
    <row r="1301" spans="1:3" ht="17.25" thickBot="1">
      <c r="A1301" s="98"/>
      <c r="B1301" s="5" t="s">
        <v>2349</v>
      </c>
      <c r="C1301" s="97"/>
    </row>
    <row r="1302" spans="1:3" ht="17.25" thickBot="1">
      <c r="A1302" s="4" t="s">
        <v>1552</v>
      </c>
      <c r="B1302" s="5" t="s">
        <v>1559</v>
      </c>
      <c r="C1302" s="5" t="s">
        <v>3549</v>
      </c>
    </row>
    <row r="1303" spans="1:3" ht="17.25" thickBot="1">
      <c r="A1303" s="4" t="s">
        <v>1554</v>
      </c>
      <c r="B1303" s="5" t="s">
        <v>1559</v>
      </c>
      <c r="C1303" s="5" t="s">
        <v>3550</v>
      </c>
    </row>
    <row r="1304" spans="1:3">
      <c r="A1304" s="92" t="s">
        <v>1556</v>
      </c>
      <c r="B1304" s="8" t="s">
        <v>3224</v>
      </c>
      <c r="C1304" s="91" t="s">
        <v>3551</v>
      </c>
    </row>
    <row r="1305" spans="1:3" ht="17.25" thickBot="1">
      <c r="A1305" s="98"/>
      <c r="B1305" s="5" t="s">
        <v>1550</v>
      </c>
      <c r="C1305" s="97"/>
    </row>
    <row r="1306" spans="1:3" ht="17.25" thickBot="1">
      <c r="A1306" s="4" t="s">
        <v>3554</v>
      </c>
      <c r="B1306" s="5" t="s">
        <v>1620</v>
      </c>
      <c r="C1306" s="6" t="s">
        <v>3555</v>
      </c>
    </row>
    <row r="1307" spans="1:3" ht="27.75" thickBot="1">
      <c r="A1307" s="4" t="s">
        <v>3556</v>
      </c>
      <c r="B1307" s="5" t="s">
        <v>1620</v>
      </c>
      <c r="C1307" s="6" t="s">
        <v>3557</v>
      </c>
    </row>
    <row r="1308" spans="1:3" ht="17.25" thickBot="1">
      <c r="A1308" s="4" t="s">
        <v>3558</v>
      </c>
      <c r="B1308" s="5" t="s">
        <v>0</v>
      </c>
      <c r="C1308" s="6" t="s">
        <v>3559</v>
      </c>
    </row>
    <row r="1309" spans="1:3" ht="17.25" thickBot="1">
      <c r="A1309" s="4" t="s">
        <v>3560</v>
      </c>
      <c r="B1309" s="5" t="s">
        <v>1566</v>
      </c>
      <c r="C1309" s="5" t="s">
        <v>3561</v>
      </c>
    </row>
    <row r="1310" spans="1:3" ht="17.25" thickBot="1">
      <c r="A1310" s="4" t="s">
        <v>3562</v>
      </c>
      <c r="B1310" s="5" t="s">
        <v>1566</v>
      </c>
      <c r="C1310" s="6" t="s">
        <v>3563</v>
      </c>
    </row>
    <row r="1311" spans="1:3" ht="17.25" thickBot="1">
      <c r="A1311" s="4" t="s">
        <v>2327</v>
      </c>
      <c r="B1311" s="5" t="s">
        <v>1603</v>
      </c>
      <c r="C1311" s="5" t="s">
        <v>3564</v>
      </c>
    </row>
    <row r="1312" spans="1:3" ht="17.25" thickBot="1">
      <c r="A1312" s="4" t="s">
        <v>1570</v>
      </c>
      <c r="B1312" s="5" t="s">
        <v>1620</v>
      </c>
      <c r="C1312" s="6" t="s">
        <v>3565</v>
      </c>
    </row>
    <row r="1313" spans="1:3" ht="27.75" thickBot="1">
      <c r="A1313" s="4" t="s">
        <v>3566</v>
      </c>
      <c r="B1313" s="5" t="s">
        <v>0</v>
      </c>
      <c r="C1313" s="6" t="s">
        <v>3567</v>
      </c>
    </row>
    <row r="1314" spans="1:3" ht="27">
      <c r="A1314" s="96" t="s">
        <v>3568</v>
      </c>
      <c r="B1314" s="91" t="s">
        <v>1607</v>
      </c>
      <c r="C1314" s="91" t="s">
        <v>3570</v>
      </c>
    </row>
    <row r="1315" spans="1:3" ht="27.75" thickBot="1">
      <c r="A1315" s="4" t="s">
        <v>3569</v>
      </c>
      <c r="B1315" s="97"/>
      <c r="C1315" s="97"/>
    </row>
    <row r="1316" spans="1:3" ht="27">
      <c r="A1316" s="96" t="s">
        <v>3568</v>
      </c>
      <c r="B1316" s="91" t="s">
        <v>1607</v>
      </c>
      <c r="C1316" s="91" t="s">
        <v>3572</v>
      </c>
    </row>
    <row r="1317" spans="1:3" ht="27.75" thickBot="1">
      <c r="A1317" s="4" t="s">
        <v>3571</v>
      </c>
      <c r="B1317" s="97"/>
      <c r="C1317" s="97"/>
    </row>
    <row r="1318" spans="1:3" ht="27">
      <c r="A1318" s="96" t="s">
        <v>3573</v>
      </c>
      <c r="B1318" s="91" t="s">
        <v>1607</v>
      </c>
      <c r="C1318" s="91" t="s">
        <v>3575</v>
      </c>
    </row>
    <row r="1319" spans="1:3" ht="17.25" thickBot="1">
      <c r="A1319" s="4" t="s">
        <v>3574</v>
      </c>
      <c r="B1319" s="97"/>
      <c r="C1319" s="97"/>
    </row>
    <row r="1320" spans="1:3" ht="38.25">
      <c r="A1320" s="96" t="s">
        <v>3576</v>
      </c>
      <c r="B1320" s="91" t="s">
        <v>1607</v>
      </c>
      <c r="C1320" s="91" t="s">
        <v>3578</v>
      </c>
    </row>
    <row r="1321" spans="1:3" ht="27.75" thickBot="1">
      <c r="A1321" s="4" t="s">
        <v>3577</v>
      </c>
      <c r="B1321" s="97"/>
      <c r="C1321" s="97"/>
    </row>
    <row r="1322" spans="1:3" ht="27">
      <c r="A1322" s="96" t="s">
        <v>3579</v>
      </c>
      <c r="B1322" s="91" t="s">
        <v>1607</v>
      </c>
      <c r="C1322" s="91" t="s">
        <v>3581</v>
      </c>
    </row>
    <row r="1323" spans="1:3" ht="17.25" thickBot="1">
      <c r="A1323" s="4" t="s">
        <v>3580</v>
      </c>
      <c r="B1323" s="97"/>
      <c r="C1323" s="97"/>
    </row>
    <row r="1324" spans="1:3" ht="38.25">
      <c r="A1324" s="96" t="s">
        <v>3579</v>
      </c>
      <c r="B1324" s="91" t="s">
        <v>1607</v>
      </c>
      <c r="C1324" s="91" t="s">
        <v>3582</v>
      </c>
    </row>
    <row r="1325" spans="1:3" ht="17.25" thickBot="1">
      <c r="A1325" s="4" t="s">
        <v>3574</v>
      </c>
      <c r="B1325" s="97"/>
      <c r="C1325" s="97"/>
    </row>
    <row r="1326" spans="1:3" ht="27">
      <c r="A1326" s="96" t="s">
        <v>3583</v>
      </c>
      <c r="B1326" s="91" t="s">
        <v>1607</v>
      </c>
      <c r="C1326" s="91" t="s">
        <v>3584</v>
      </c>
    </row>
    <row r="1327" spans="1:3" ht="17.25" thickBot="1">
      <c r="A1327" s="4" t="s">
        <v>3580</v>
      </c>
      <c r="B1327" s="97"/>
      <c r="C1327" s="97"/>
    </row>
    <row r="1328" spans="1:3" ht="17.25" thickBot="1">
      <c r="A1328" s="4" t="s">
        <v>3585</v>
      </c>
      <c r="B1328" s="5" t="s">
        <v>1566</v>
      </c>
      <c r="C1328" s="5" t="s">
        <v>3586</v>
      </c>
    </row>
    <row r="1329" spans="1:3" ht="26.25" thickBot="1">
      <c r="A1329" s="4" t="s">
        <v>3587</v>
      </c>
      <c r="B1329" s="5" t="s">
        <v>0</v>
      </c>
      <c r="C1329" s="6" t="s">
        <v>3588</v>
      </c>
    </row>
    <row r="1330" spans="1:3">
      <c r="A1330" s="92" t="s">
        <v>3589</v>
      </c>
      <c r="B1330" s="91" t="s">
        <v>1620</v>
      </c>
      <c r="C1330" s="8" t="s">
        <v>3590</v>
      </c>
    </row>
    <row r="1331" spans="1:3" ht="17.25" thickBot="1">
      <c r="A1331" s="98"/>
      <c r="B1331" s="97"/>
      <c r="C1331" s="5" t="s">
        <v>3591</v>
      </c>
    </row>
    <row r="1332" spans="1:3" ht="26.25" thickBot="1">
      <c r="A1332" s="4" t="s">
        <v>3592</v>
      </c>
      <c r="B1332" s="5" t="s">
        <v>1566</v>
      </c>
      <c r="C1332" s="6" t="s">
        <v>3593</v>
      </c>
    </row>
    <row r="1333" spans="1:3" ht="27.75" thickBot="1">
      <c r="A1333" s="4" t="s">
        <v>3594</v>
      </c>
      <c r="B1333" s="5" t="s">
        <v>1620</v>
      </c>
      <c r="C1333" s="6" t="s">
        <v>3595</v>
      </c>
    </row>
    <row r="1334" spans="1:3" ht="27.75" thickBot="1">
      <c r="A1334" s="4" t="s">
        <v>3596</v>
      </c>
      <c r="B1334" s="5" t="s">
        <v>1611</v>
      </c>
      <c r="C1334" s="6" t="s">
        <v>3597</v>
      </c>
    </row>
    <row r="1335" spans="1:3" ht="25.5">
      <c r="A1335" s="92" t="s">
        <v>3598</v>
      </c>
      <c r="B1335" s="91" t="s">
        <v>0</v>
      </c>
      <c r="C1335" s="7" t="s">
        <v>3599</v>
      </c>
    </row>
    <row r="1336" spans="1:3" ht="17.25" thickBot="1">
      <c r="A1336" s="98"/>
      <c r="B1336" s="97"/>
      <c r="C1336" s="5" t="s">
        <v>2767</v>
      </c>
    </row>
    <row r="1337" spans="1:3" ht="25.5">
      <c r="A1337" s="92" t="s">
        <v>3600</v>
      </c>
      <c r="B1337" s="91" t="s">
        <v>0</v>
      </c>
      <c r="C1337" s="7" t="s">
        <v>3601</v>
      </c>
    </row>
    <row r="1338" spans="1:3" ht="17.25" thickBot="1">
      <c r="A1338" s="98"/>
      <c r="B1338" s="97"/>
      <c r="C1338" s="5" t="s">
        <v>3602</v>
      </c>
    </row>
    <row r="1339" spans="1:3" ht="17.25" thickBot="1">
      <c r="A1339" s="4" t="s">
        <v>3603</v>
      </c>
      <c r="B1339" s="5" t="s">
        <v>0</v>
      </c>
      <c r="C1339" s="6" t="s">
        <v>3604</v>
      </c>
    </row>
    <row r="1340" spans="1:3" ht="26.25" thickBot="1">
      <c r="A1340" s="4" t="s">
        <v>3605</v>
      </c>
      <c r="B1340" s="5" t="s">
        <v>1608</v>
      </c>
      <c r="C1340" s="6" t="s">
        <v>3606</v>
      </c>
    </row>
    <row r="1341" spans="1:3">
      <c r="A1341" s="92" t="s">
        <v>3589</v>
      </c>
      <c r="B1341" s="91" t="s">
        <v>1620</v>
      </c>
      <c r="C1341" s="8" t="s">
        <v>3590</v>
      </c>
    </row>
    <row r="1342" spans="1:3" ht="17.25" thickBot="1">
      <c r="A1342" s="98"/>
      <c r="B1342" s="97"/>
      <c r="C1342" s="5" t="s">
        <v>3591</v>
      </c>
    </row>
    <row r="1343" spans="1:3" ht="26.25" thickBot="1">
      <c r="A1343" s="4" t="s">
        <v>3592</v>
      </c>
      <c r="B1343" s="5" t="s">
        <v>1566</v>
      </c>
      <c r="C1343" s="6" t="s">
        <v>3593</v>
      </c>
    </row>
    <row r="1344" spans="1:3" ht="25.5">
      <c r="A1344" s="96" t="s">
        <v>3607</v>
      </c>
      <c r="B1344" s="91" t="s">
        <v>1620</v>
      </c>
      <c r="C1344" s="91" t="s">
        <v>3595</v>
      </c>
    </row>
    <row r="1345" spans="1:3" ht="17.25" thickBot="1">
      <c r="A1345" s="4" t="s">
        <v>3608</v>
      </c>
      <c r="B1345" s="97"/>
      <c r="C1345" s="97"/>
    </row>
    <row r="1346" spans="1:3" ht="27.75" thickBot="1">
      <c r="A1346" s="4" t="s">
        <v>3596</v>
      </c>
      <c r="B1346" s="5" t="s">
        <v>1611</v>
      </c>
      <c r="C1346" s="6" t="s">
        <v>3597</v>
      </c>
    </row>
    <row r="1347" spans="1:3">
      <c r="B1347" s="114" t="s">
        <v>3609</v>
      </c>
      <c r="C1347" s="114" t="s">
        <v>3610</v>
      </c>
    </row>
    <row r="1348" spans="1:3" ht="17.25" thickBot="1">
      <c r="A1348" s="115" t="s">
        <v>3611</v>
      </c>
      <c r="B1348" s="115" t="s">
        <v>3612</v>
      </c>
    </row>
    <row r="1349" spans="1:3" ht="17.25" thickBot="1">
      <c r="A1349" s="102" t="s">
        <v>1591</v>
      </c>
      <c r="B1349" s="103" t="s">
        <v>1592</v>
      </c>
      <c r="C1349" s="103" t="s">
        <v>1593</v>
      </c>
    </row>
    <row r="1350" spans="1:3" ht="26.25" thickBot="1">
      <c r="A1350" s="4" t="s">
        <v>3613</v>
      </c>
      <c r="B1350" s="6" t="s">
        <v>1632</v>
      </c>
      <c r="C1350" s="6" t="s">
        <v>3614</v>
      </c>
    </row>
    <row r="1351" spans="1:3" ht="26.25" thickBot="1">
      <c r="A1351" s="4" t="s">
        <v>3615</v>
      </c>
      <c r="B1351" s="6" t="s">
        <v>1632</v>
      </c>
      <c r="C1351" s="6" t="s">
        <v>3616</v>
      </c>
    </row>
    <row r="1352" spans="1:3" ht="26.25" thickBot="1">
      <c r="A1352" s="4" t="s">
        <v>3617</v>
      </c>
      <c r="B1352" s="6" t="s">
        <v>1632</v>
      </c>
      <c r="C1352" s="6" t="s">
        <v>3618</v>
      </c>
    </row>
    <row r="1353" spans="1:3" ht="17.25" thickBot="1">
      <c r="A1353" s="4" t="s">
        <v>3619</v>
      </c>
      <c r="B1353" s="6" t="s">
        <v>1632</v>
      </c>
      <c r="C1353" s="6" t="s">
        <v>3620</v>
      </c>
    </row>
    <row r="1354" spans="1:3" ht="17.25" thickBot="1">
      <c r="A1354" s="4" t="s">
        <v>3621</v>
      </c>
      <c r="B1354" s="6" t="s">
        <v>1632</v>
      </c>
      <c r="C1354" s="5" t="s">
        <v>3622</v>
      </c>
    </row>
    <row r="1355" spans="1:3">
      <c r="B1355" s="114" t="s">
        <v>3623</v>
      </c>
      <c r="C1355" s="114" t="s">
        <v>3624</v>
      </c>
    </row>
    <row r="1356" spans="1:3" ht="17.25" thickBot="1">
      <c r="A1356" s="115" t="s">
        <v>3625</v>
      </c>
      <c r="B1356" s="115" t="s">
        <v>3626</v>
      </c>
    </row>
    <row r="1357" spans="1:3" ht="17.25" thickBot="1">
      <c r="A1357" s="102" t="s">
        <v>1591</v>
      </c>
      <c r="B1357" s="103" t="s">
        <v>1635</v>
      </c>
      <c r="C1357" s="103" t="s">
        <v>1593</v>
      </c>
    </row>
    <row r="1358" spans="1:3" ht="17.25" thickBot="1">
      <c r="A1358" s="4" t="s">
        <v>2269</v>
      </c>
      <c r="B1358" s="5" t="s">
        <v>1603</v>
      </c>
      <c r="C1358" s="6" t="s">
        <v>3627</v>
      </c>
    </row>
    <row r="1359" spans="1:3" ht="17.25" thickBot="1">
      <c r="A1359" s="4" t="s">
        <v>3628</v>
      </c>
      <c r="B1359" s="5" t="s">
        <v>1603</v>
      </c>
      <c r="C1359" s="6" t="s">
        <v>3629</v>
      </c>
    </row>
    <row r="1360" spans="1:3" ht="17.25" thickBot="1">
      <c r="A1360" s="4" t="s">
        <v>3632</v>
      </c>
      <c r="B1360" s="5" t="s">
        <v>0</v>
      </c>
      <c r="C1360" s="5" t="s">
        <v>3633</v>
      </c>
    </row>
    <row r="1361" spans="1:3">
      <c r="A1361" s="92" t="s">
        <v>3634</v>
      </c>
      <c r="B1361" s="91" t="s">
        <v>1603</v>
      </c>
      <c r="C1361" s="8" t="s">
        <v>3635</v>
      </c>
    </row>
    <row r="1362" spans="1:3" ht="17.25" thickBot="1">
      <c r="A1362" s="98"/>
      <c r="B1362" s="97"/>
      <c r="C1362" s="5" t="s">
        <v>3636</v>
      </c>
    </row>
    <row r="1363" spans="1:3" ht="17.25" thickBot="1">
      <c r="A1363" s="4" t="s">
        <v>3048</v>
      </c>
      <c r="B1363" s="5" t="s">
        <v>1603</v>
      </c>
      <c r="C1363" s="5" t="s">
        <v>3637</v>
      </c>
    </row>
    <row r="1364" spans="1:3" ht="17.25" thickBot="1">
      <c r="A1364" s="4" t="s">
        <v>3638</v>
      </c>
      <c r="B1364" s="5" t="s">
        <v>1603</v>
      </c>
      <c r="C1364" s="5" t="s">
        <v>3639</v>
      </c>
    </row>
    <row r="1365" spans="1:3" ht="26.25" thickBot="1">
      <c r="A1365" s="4" t="s">
        <v>3640</v>
      </c>
      <c r="B1365" s="5" t="s">
        <v>1603</v>
      </c>
      <c r="C1365" s="6" t="s">
        <v>3641</v>
      </c>
    </row>
    <row r="1366" spans="1:3" ht="17.25" thickBot="1">
      <c r="A1366" s="4" t="s">
        <v>1912</v>
      </c>
      <c r="B1366" s="5" t="s">
        <v>1603</v>
      </c>
      <c r="C1366" s="5" t="s">
        <v>3642</v>
      </c>
    </row>
    <row r="1367" spans="1:3" ht="17.25" thickBot="1">
      <c r="A1367" s="4" t="s">
        <v>3643</v>
      </c>
      <c r="B1367" s="5" t="s">
        <v>1603</v>
      </c>
      <c r="C1367" s="5" t="s">
        <v>3644</v>
      </c>
    </row>
    <row r="1368" spans="1:3" ht="17.25" thickBot="1">
      <c r="A1368" s="4" t="s">
        <v>3645</v>
      </c>
      <c r="B1368" s="5" t="s">
        <v>1566</v>
      </c>
      <c r="C1368" s="5" t="s">
        <v>3646</v>
      </c>
    </row>
    <row r="1369" spans="1:3">
      <c r="A1369" s="92" t="s">
        <v>3647</v>
      </c>
      <c r="B1369" s="7" t="s">
        <v>2116</v>
      </c>
      <c r="C1369" s="91" t="s">
        <v>3648</v>
      </c>
    </row>
    <row r="1370" spans="1:3" ht="17.25" thickBot="1">
      <c r="A1370" s="98"/>
      <c r="B1370" s="5" t="s">
        <v>1610</v>
      </c>
      <c r="C1370" s="97"/>
    </row>
    <row r="1371" spans="1:3" ht="17.25" thickBot="1">
      <c r="A1371" s="4" t="s">
        <v>3649</v>
      </c>
      <c r="B1371" s="5" t="s">
        <v>1610</v>
      </c>
      <c r="C1371" s="5" t="s">
        <v>3650</v>
      </c>
    </row>
    <row r="1372" spans="1:3" ht="17.25" thickBot="1">
      <c r="A1372" s="4" t="s">
        <v>2299</v>
      </c>
      <c r="B1372" s="5" t="s">
        <v>3651</v>
      </c>
      <c r="C1372" s="6" t="s">
        <v>3652</v>
      </c>
    </row>
    <row r="1373" spans="1:3" ht="17.25" thickBot="1">
      <c r="A1373" s="4" t="s">
        <v>3653</v>
      </c>
      <c r="B1373" s="5" t="s">
        <v>1621</v>
      </c>
      <c r="C1373" s="6" t="s">
        <v>3654</v>
      </c>
    </row>
    <row r="1374" spans="1:3">
      <c r="A1374" s="92" t="s">
        <v>2981</v>
      </c>
      <c r="B1374" s="7" t="s">
        <v>2116</v>
      </c>
      <c r="C1374" s="91" t="s">
        <v>3656</v>
      </c>
    </row>
    <row r="1375" spans="1:3">
      <c r="A1375" s="171"/>
      <c r="B1375" s="8" t="s">
        <v>626</v>
      </c>
      <c r="C1375" s="170"/>
    </row>
    <row r="1376" spans="1:3" ht="17.25" thickBot="1">
      <c r="A1376" s="98"/>
      <c r="B1376" s="5" t="s">
        <v>3655</v>
      </c>
      <c r="C1376" s="97"/>
    </row>
    <row r="1377" spans="1:3" ht="17.25" thickBot="1">
      <c r="A1377" s="4" t="s">
        <v>2296</v>
      </c>
      <c r="B1377" s="5" t="s">
        <v>3657</v>
      </c>
      <c r="C1377" s="6" t="s">
        <v>3658</v>
      </c>
    </row>
    <row r="1378" spans="1:3" ht="17.25" thickBot="1">
      <c r="A1378" s="4" t="s">
        <v>3659</v>
      </c>
      <c r="B1378" s="5" t="s">
        <v>3660</v>
      </c>
      <c r="C1378" s="6" t="s">
        <v>3661</v>
      </c>
    </row>
    <row r="1379" spans="1:3" ht="26.25" thickBot="1">
      <c r="A1379" s="4" t="s">
        <v>3662</v>
      </c>
      <c r="B1379" s="5" t="s">
        <v>3663</v>
      </c>
      <c r="C1379" s="6" t="s">
        <v>3664</v>
      </c>
    </row>
    <row r="1380" spans="1:3" ht="17.25" thickBot="1">
      <c r="A1380" s="4" t="s">
        <v>3665</v>
      </c>
      <c r="B1380" s="5" t="s">
        <v>1630</v>
      </c>
      <c r="C1380" s="6" t="s">
        <v>3666</v>
      </c>
    </row>
    <row r="1381" spans="1:3">
      <c r="B1381" s="114" t="s">
        <v>3667</v>
      </c>
      <c r="C1381" s="114" t="s">
        <v>3668</v>
      </c>
    </row>
    <row r="1382" spans="1:3" ht="17.25" thickBot="1">
      <c r="A1382" s="115" t="s">
        <v>3669</v>
      </c>
      <c r="B1382" s="115" t="s">
        <v>3670</v>
      </c>
    </row>
    <row r="1383" spans="1:3" ht="17.25" thickBot="1">
      <c r="A1383" s="102" t="s">
        <v>1591</v>
      </c>
      <c r="B1383" s="103" t="s">
        <v>1635</v>
      </c>
      <c r="C1383" s="103" t="s">
        <v>1593</v>
      </c>
    </row>
    <row r="1384" spans="1:3">
      <c r="A1384" s="92" t="s">
        <v>1677</v>
      </c>
      <c r="B1384" s="8" t="s">
        <v>1620</v>
      </c>
      <c r="C1384" s="91" t="s">
        <v>3671</v>
      </c>
    </row>
    <row r="1385" spans="1:3" ht="17.25" thickBot="1">
      <c r="A1385" s="98"/>
      <c r="B1385" s="5" t="s">
        <v>1550</v>
      </c>
      <c r="C1385" s="97"/>
    </row>
    <row r="1386" spans="1:3">
      <c r="A1386" s="92" t="s">
        <v>1674</v>
      </c>
      <c r="B1386" s="7" t="s">
        <v>1619</v>
      </c>
      <c r="C1386" s="91" t="s">
        <v>3672</v>
      </c>
    </row>
    <row r="1387" spans="1:3" ht="17.25" thickBot="1">
      <c r="A1387" s="98"/>
      <c r="B1387" s="5" t="s">
        <v>1550</v>
      </c>
      <c r="C1387" s="97"/>
    </row>
    <row r="1388" spans="1:3">
      <c r="A1388" s="92" t="s">
        <v>3673</v>
      </c>
      <c r="B1388" s="8" t="s">
        <v>3674</v>
      </c>
      <c r="C1388" s="91" t="s">
        <v>3675</v>
      </c>
    </row>
    <row r="1389" spans="1:3" ht="17.25" thickBot="1">
      <c r="A1389" s="98"/>
      <c r="B1389" s="5" t="s">
        <v>2523</v>
      </c>
      <c r="C1389" s="97"/>
    </row>
    <row r="1390" spans="1:3" ht="27">
      <c r="A1390" s="134" t="s">
        <v>3678</v>
      </c>
      <c r="B1390" s="91" t="s">
        <v>3679</v>
      </c>
      <c r="C1390" s="7" t="s">
        <v>3680</v>
      </c>
    </row>
    <row r="1391" spans="1:3">
      <c r="A1391" s="96" t="s">
        <v>2920</v>
      </c>
      <c r="B1391" s="170"/>
      <c r="C1391" s="8" t="s">
        <v>3681</v>
      </c>
    </row>
    <row r="1392" spans="1:3" ht="26.25" thickBot="1">
      <c r="A1392" s="113"/>
      <c r="B1392" s="97"/>
      <c r="C1392" s="6" t="s">
        <v>3682</v>
      </c>
    </row>
    <row r="1393" spans="1:3" ht="25.5">
      <c r="A1393" s="92" t="s">
        <v>3683</v>
      </c>
      <c r="B1393" s="91" t="s">
        <v>1614</v>
      </c>
      <c r="C1393" s="7" t="s">
        <v>3684</v>
      </c>
    </row>
    <row r="1394" spans="1:3">
      <c r="A1394" s="171"/>
      <c r="B1394" s="170"/>
      <c r="C1394" s="8" t="s">
        <v>3685</v>
      </c>
    </row>
    <row r="1395" spans="1:3" ht="26.25" thickBot="1">
      <c r="A1395" s="98"/>
      <c r="B1395" s="97"/>
      <c r="C1395" s="6" t="s">
        <v>3686</v>
      </c>
    </row>
    <row r="1396" spans="1:3" ht="39" thickBot="1">
      <c r="A1396" s="4" t="s">
        <v>3687</v>
      </c>
      <c r="B1396" s="5" t="s">
        <v>1614</v>
      </c>
      <c r="C1396" s="6" t="s">
        <v>3688</v>
      </c>
    </row>
    <row r="1397" spans="1:3" ht="17.25" thickBot="1">
      <c r="A1397" s="4" t="s">
        <v>3689</v>
      </c>
      <c r="B1397" s="5" t="s">
        <v>1614</v>
      </c>
      <c r="C1397" s="5" t="s">
        <v>3690</v>
      </c>
    </row>
    <row r="1398" spans="1:3" ht="25.5">
      <c r="A1398" s="92" t="s">
        <v>2787</v>
      </c>
      <c r="B1398" s="91" t="s">
        <v>1611</v>
      </c>
      <c r="C1398" s="7" t="s">
        <v>3691</v>
      </c>
    </row>
    <row r="1399" spans="1:3" ht="17.25" thickBot="1">
      <c r="A1399" s="98"/>
      <c r="B1399" s="97"/>
      <c r="C1399" s="5" t="s">
        <v>3372</v>
      </c>
    </row>
    <row r="1400" spans="1:3" ht="17.25" thickBot="1">
      <c r="A1400" s="4" t="s">
        <v>3692</v>
      </c>
      <c r="B1400" s="5" t="s">
        <v>1566</v>
      </c>
      <c r="C1400" s="5" t="s">
        <v>3693</v>
      </c>
    </row>
    <row r="1401" spans="1:3" ht="26.25" thickBot="1">
      <c r="A1401" s="4" t="s">
        <v>3694</v>
      </c>
      <c r="B1401" s="5" t="s">
        <v>1566</v>
      </c>
      <c r="C1401" s="6" t="s">
        <v>3695</v>
      </c>
    </row>
    <row r="1402" spans="1:3" ht="26.25" thickBot="1">
      <c r="A1402" s="4" t="s">
        <v>3696</v>
      </c>
      <c r="B1402" s="5" t="s">
        <v>1566</v>
      </c>
      <c r="C1402" s="6" t="s">
        <v>3697</v>
      </c>
    </row>
    <row r="1403" spans="1:3" ht="17.25" thickBot="1">
      <c r="A1403" s="4" t="s">
        <v>3698</v>
      </c>
      <c r="B1403" s="5" t="s">
        <v>0</v>
      </c>
      <c r="C1403" s="6" t="s">
        <v>3699</v>
      </c>
    </row>
    <row r="1404" spans="1:3" ht="17.25" thickBot="1">
      <c r="A1404" s="4" t="s">
        <v>1740</v>
      </c>
      <c r="B1404" s="5" t="s">
        <v>0</v>
      </c>
      <c r="C1404" s="6" t="s">
        <v>3700</v>
      </c>
    </row>
    <row r="1405" spans="1:3" ht="17.25" thickBot="1">
      <c r="A1405" s="4" t="s">
        <v>3701</v>
      </c>
      <c r="B1405" s="5" t="s">
        <v>1566</v>
      </c>
      <c r="C1405" s="5" t="s">
        <v>3702</v>
      </c>
    </row>
    <row r="1406" spans="1:3" ht="39" thickBot="1">
      <c r="A1406" s="4" t="s">
        <v>3703</v>
      </c>
      <c r="B1406" s="5" t="s">
        <v>1566</v>
      </c>
      <c r="C1406" s="6" t="s">
        <v>3704</v>
      </c>
    </row>
    <row r="1407" spans="1:3" ht="25.5">
      <c r="A1407" s="92" t="s">
        <v>3710</v>
      </c>
      <c r="B1407" s="91" t="s">
        <v>1599</v>
      </c>
      <c r="C1407" s="7" t="s">
        <v>3711</v>
      </c>
    </row>
    <row r="1408" spans="1:3" ht="26.25" thickBot="1">
      <c r="A1408" s="98"/>
      <c r="B1408" s="97"/>
      <c r="C1408" s="6" t="s">
        <v>3712</v>
      </c>
    </row>
    <row r="1409" spans="1:3">
      <c r="A1409" s="92" t="s">
        <v>3713</v>
      </c>
      <c r="B1409" s="91" t="s">
        <v>0</v>
      </c>
      <c r="C1409" s="7" t="s">
        <v>3714</v>
      </c>
    </row>
    <row r="1410" spans="1:3" ht="17.25" thickBot="1">
      <c r="A1410" s="98"/>
      <c r="B1410" s="97"/>
      <c r="C1410" s="5" t="s">
        <v>3715</v>
      </c>
    </row>
    <row r="1411" spans="1:3" ht="17.25" thickBot="1">
      <c r="A1411" s="4" t="s">
        <v>3716</v>
      </c>
      <c r="B1411" s="5" t="s">
        <v>3717</v>
      </c>
      <c r="C1411" s="6" t="s">
        <v>3718</v>
      </c>
    </row>
    <row r="1412" spans="1:3" ht="51">
      <c r="A1412" s="92" t="s">
        <v>3719</v>
      </c>
      <c r="B1412" s="91" t="s">
        <v>1614</v>
      </c>
      <c r="C1412" s="7" t="s">
        <v>3720</v>
      </c>
    </row>
    <row r="1413" spans="1:3" ht="17.25" thickBot="1">
      <c r="A1413" s="98"/>
      <c r="B1413" s="97"/>
      <c r="C1413" s="5" t="s">
        <v>3721</v>
      </c>
    </row>
    <row r="1414" spans="1:3">
      <c r="A1414" s="91"/>
      <c r="B1414" s="91"/>
      <c r="C1414" s="7" t="s">
        <v>3722</v>
      </c>
    </row>
    <row r="1415" spans="1:3" ht="38.25">
      <c r="A1415" s="170"/>
      <c r="B1415" s="170"/>
      <c r="C1415" s="7" t="s">
        <v>3723</v>
      </c>
    </row>
    <row r="1416" spans="1:3">
      <c r="A1416" s="170"/>
      <c r="B1416" s="170"/>
      <c r="C1416" s="8" t="s">
        <v>3724</v>
      </c>
    </row>
    <row r="1417" spans="1:3" ht="17.25" thickBot="1">
      <c r="A1417" s="97"/>
      <c r="B1417" s="97"/>
      <c r="C1417" s="5" t="s">
        <v>3725</v>
      </c>
    </row>
    <row r="1418" spans="1:3" ht="51">
      <c r="A1418" s="92" t="s">
        <v>3726</v>
      </c>
      <c r="B1418" s="91" t="s">
        <v>1614</v>
      </c>
      <c r="C1418" s="7" t="s">
        <v>3727</v>
      </c>
    </row>
    <row r="1419" spans="1:3">
      <c r="A1419" s="171"/>
      <c r="B1419" s="170"/>
      <c r="C1419" s="7" t="s">
        <v>3728</v>
      </c>
    </row>
    <row r="1420" spans="1:3" ht="17.25" thickBot="1">
      <c r="A1420" s="98"/>
      <c r="B1420" s="97"/>
      <c r="C1420" s="5" t="s">
        <v>3729</v>
      </c>
    </row>
    <row r="1421" spans="1:3" ht="25.5">
      <c r="A1421" s="92" t="s">
        <v>3733</v>
      </c>
      <c r="B1421" s="91" t="s">
        <v>1614</v>
      </c>
      <c r="C1421" s="7" t="s">
        <v>3734</v>
      </c>
    </row>
    <row r="1422" spans="1:3" ht="17.25" thickBot="1">
      <c r="A1422" s="98"/>
      <c r="B1422" s="97"/>
      <c r="C1422" s="5" t="s">
        <v>3735</v>
      </c>
    </row>
    <row r="1423" spans="1:3" ht="27.75" thickBot="1">
      <c r="A1423" s="4" t="s">
        <v>3736</v>
      </c>
      <c r="B1423" s="5" t="s">
        <v>1614</v>
      </c>
      <c r="C1423" s="6" t="s">
        <v>3737</v>
      </c>
    </row>
    <row r="1424" spans="1:3" ht="39" thickBot="1">
      <c r="A1424" s="4" t="s">
        <v>3738</v>
      </c>
      <c r="B1424" s="5" t="s">
        <v>1614</v>
      </c>
      <c r="C1424" s="6" t="s">
        <v>3739</v>
      </c>
    </row>
    <row r="1425" spans="1:3" ht="26.25" thickBot="1">
      <c r="A1425" s="4" t="s">
        <v>3740</v>
      </c>
      <c r="B1425" s="5" t="s">
        <v>1614</v>
      </c>
      <c r="C1425" s="6" t="s">
        <v>3741</v>
      </c>
    </row>
    <row r="1426" spans="1:3" ht="17.25" thickBot="1">
      <c r="A1426" s="4" t="s">
        <v>3742</v>
      </c>
      <c r="B1426" s="5" t="s">
        <v>1614</v>
      </c>
      <c r="C1426" s="6" t="s">
        <v>3743</v>
      </c>
    </row>
    <row r="1427" spans="1:3" ht="52.5" thickBot="1">
      <c r="A1427" s="4" t="s">
        <v>3744</v>
      </c>
      <c r="B1427" s="5" t="s">
        <v>1614</v>
      </c>
      <c r="C1427" s="6" t="s">
        <v>3745</v>
      </c>
    </row>
    <row r="1428" spans="1:3" ht="17.25" thickBot="1">
      <c r="A1428" s="4" t="s">
        <v>3746</v>
      </c>
      <c r="B1428" s="5" t="s">
        <v>1614</v>
      </c>
      <c r="C1428" s="6" t="s">
        <v>3747</v>
      </c>
    </row>
    <row r="1429" spans="1:3" ht="25.5">
      <c r="A1429" s="92" t="s">
        <v>3748</v>
      </c>
      <c r="B1429" s="91" t="s">
        <v>1614</v>
      </c>
      <c r="C1429" s="7" t="s">
        <v>3749</v>
      </c>
    </row>
    <row r="1430" spans="1:3" ht="17.25" thickBot="1">
      <c r="A1430" s="98"/>
      <c r="B1430" s="97"/>
      <c r="C1430" s="150" t="s">
        <v>3750</v>
      </c>
    </row>
    <row r="1431" spans="1:3" ht="17.25" thickBot="1">
      <c r="A1431" s="4" t="s">
        <v>3751</v>
      </c>
      <c r="B1431" s="5" t="s">
        <v>1614</v>
      </c>
      <c r="C1431" s="6" t="s">
        <v>3752</v>
      </c>
    </row>
    <row r="1432" spans="1:3" ht="17.25" thickBot="1">
      <c r="A1432" s="4" t="s">
        <v>3753</v>
      </c>
      <c r="B1432" s="5" t="s">
        <v>1614</v>
      </c>
      <c r="C1432" s="6" t="s">
        <v>3754</v>
      </c>
    </row>
    <row r="1433" spans="1:3">
      <c r="A1433" s="92" t="s">
        <v>3755</v>
      </c>
      <c r="B1433" s="91" t="s">
        <v>1614</v>
      </c>
      <c r="C1433" s="8" t="s">
        <v>3756</v>
      </c>
    </row>
    <row r="1434" spans="1:3" ht="17.25" thickBot="1">
      <c r="A1434" s="98"/>
      <c r="B1434" s="97"/>
      <c r="C1434" s="5" t="s">
        <v>3757</v>
      </c>
    </row>
    <row r="1435" spans="1:3" ht="17.25" thickBot="1">
      <c r="A1435" s="4" t="s">
        <v>3758</v>
      </c>
      <c r="B1435" s="5" t="s">
        <v>1614</v>
      </c>
      <c r="C1435" s="6" t="s">
        <v>3759</v>
      </c>
    </row>
    <row r="1436" spans="1:3" ht="17.25" thickBot="1">
      <c r="A1436" s="4" t="s">
        <v>3760</v>
      </c>
      <c r="B1436" s="5" t="s">
        <v>1614</v>
      </c>
      <c r="C1436" s="5" t="s">
        <v>3761</v>
      </c>
    </row>
    <row r="1437" spans="1:3" ht="51">
      <c r="A1437" s="92" t="s">
        <v>3762</v>
      </c>
      <c r="B1437" s="91" t="s">
        <v>1614</v>
      </c>
      <c r="C1437" s="7" t="s">
        <v>3763</v>
      </c>
    </row>
    <row r="1438" spans="1:3" ht="17.25" thickBot="1">
      <c r="A1438" s="98"/>
      <c r="B1438" s="97"/>
      <c r="C1438" s="5" t="s">
        <v>3764</v>
      </c>
    </row>
    <row r="1439" spans="1:3" ht="26.25" thickBot="1">
      <c r="A1439" s="4" t="s">
        <v>1735</v>
      </c>
      <c r="B1439" s="5" t="s">
        <v>1620</v>
      </c>
      <c r="C1439" s="6" t="s">
        <v>3765</v>
      </c>
    </row>
    <row r="1440" spans="1:3">
      <c r="A1440" s="92" t="s">
        <v>3766</v>
      </c>
      <c r="B1440" s="91" t="s">
        <v>1620</v>
      </c>
      <c r="C1440" s="7" t="s">
        <v>3767</v>
      </c>
    </row>
    <row r="1441" spans="1:3" ht="26.25">
      <c r="A1441" s="171"/>
      <c r="B1441" s="170"/>
      <c r="C1441" s="7" t="s">
        <v>3768</v>
      </c>
    </row>
    <row r="1442" spans="1:3" ht="17.25" thickBot="1">
      <c r="A1442" s="98"/>
      <c r="B1442" s="97"/>
      <c r="C1442" s="150" t="s">
        <v>3769</v>
      </c>
    </row>
    <row r="1443" spans="1:3" ht="39" thickBot="1">
      <c r="A1443" s="4" t="s">
        <v>3770</v>
      </c>
      <c r="B1443" s="5" t="s">
        <v>1599</v>
      </c>
      <c r="C1443" s="6" t="s">
        <v>3771</v>
      </c>
    </row>
    <row r="1444" spans="1:3" ht="26.25" thickBot="1">
      <c r="A1444" s="4" t="s">
        <v>3772</v>
      </c>
      <c r="B1444" s="5" t="s">
        <v>1566</v>
      </c>
      <c r="C1444" s="6" t="s">
        <v>3773</v>
      </c>
    </row>
    <row r="1445" spans="1:3" ht="26.25" thickBot="1">
      <c r="A1445" s="4" t="s">
        <v>3774</v>
      </c>
      <c r="B1445" s="5" t="s">
        <v>1566</v>
      </c>
      <c r="C1445" s="6" t="s">
        <v>3775</v>
      </c>
    </row>
    <row r="1446" spans="1:3" ht="26.25" thickBot="1">
      <c r="A1446" s="4" t="s">
        <v>3776</v>
      </c>
      <c r="B1446" s="5" t="s">
        <v>1566</v>
      </c>
      <c r="C1446" s="6" t="s">
        <v>3777</v>
      </c>
    </row>
    <row r="1447" spans="1:3" ht="26.25" thickBot="1">
      <c r="A1447" s="4" t="s">
        <v>3778</v>
      </c>
      <c r="B1447" s="5" t="s">
        <v>1566</v>
      </c>
      <c r="C1447" s="6" t="s">
        <v>3779</v>
      </c>
    </row>
    <row r="1448" spans="1:3" ht="26.25" thickBot="1">
      <c r="A1448" s="4" t="s">
        <v>3780</v>
      </c>
      <c r="B1448" s="5" t="s">
        <v>1566</v>
      </c>
      <c r="C1448" s="6" t="s">
        <v>3781</v>
      </c>
    </row>
    <row r="1449" spans="1:3" ht="27.75" thickBot="1">
      <c r="A1449" s="4" t="s">
        <v>3782</v>
      </c>
      <c r="B1449" s="5" t="s">
        <v>1566</v>
      </c>
      <c r="C1449" s="6" t="s">
        <v>3783</v>
      </c>
    </row>
    <row r="1450" spans="1:3" ht="38.25">
      <c r="A1450" s="92" t="s">
        <v>3784</v>
      </c>
      <c r="B1450" s="7" t="s">
        <v>2116</v>
      </c>
      <c r="C1450" s="91" t="s">
        <v>3786</v>
      </c>
    </row>
    <row r="1451" spans="1:3" ht="17.25" thickBot="1">
      <c r="A1451" s="98"/>
      <c r="B1451" s="5" t="s">
        <v>3785</v>
      </c>
      <c r="C1451" s="97"/>
    </row>
    <row r="1452" spans="1:3" ht="63.75">
      <c r="A1452" s="92" t="s">
        <v>3787</v>
      </c>
      <c r="B1452" s="7" t="s">
        <v>2116</v>
      </c>
      <c r="C1452" s="91" t="s">
        <v>3788</v>
      </c>
    </row>
    <row r="1453" spans="1:3" ht="17.25" thickBot="1">
      <c r="A1453" s="98"/>
      <c r="B1453" s="5" t="s">
        <v>3785</v>
      </c>
      <c r="C1453" s="97"/>
    </row>
    <row r="1454" spans="1:3" ht="38.25">
      <c r="A1454" s="92" t="s">
        <v>3789</v>
      </c>
      <c r="B1454" s="7" t="s">
        <v>2116</v>
      </c>
      <c r="C1454" s="91" t="s">
        <v>3790</v>
      </c>
    </row>
    <row r="1455" spans="1:3" ht="17.25" thickBot="1">
      <c r="A1455" s="98"/>
      <c r="B1455" s="5" t="s">
        <v>3785</v>
      </c>
      <c r="C1455" s="97"/>
    </row>
    <row r="1456" spans="1:3" ht="17.25" thickBot="1">
      <c r="A1456" s="4" t="s">
        <v>3791</v>
      </c>
      <c r="B1456" s="5" t="s">
        <v>3792</v>
      </c>
      <c r="C1456" s="5" t="s">
        <v>3793</v>
      </c>
    </row>
    <row r="1457" spans="1:3" ht="26.25" thickBot="1">
      <c r="A1457" s="4" t="s">
        <v>3794</v>
      </c>
      <c r="B1457" s="5" t="s">
        <v>3792</v>
      </c>
      <c r="C1457" s="6" t="s">
        <v>3795</v>
      </c>
    </row>
    <row r="1458" spans="1:3">
      <c r="A1458" s="92" t="s">
        <v>3796</v>
      </c>
      <c r="B1458" s="91" t="s">
        <v>3792</v>
      </c>
      <c r="C1458" s="7" t="s">
        <v>3797</v>
      </c>
    </row>
    <row r="1459" spans="1:3" ht="17.25" thickBot="1">
      <c r="A1459" s="98"/>
      <c r="B1459" s="97"/>
      <c r="C1459" s="5" t="s">
        <v>3798</v>
      </c>
    </row>
    <row r="1460" spans="1:3" ht="25.5">
      <c r="A1460" s="92" t="s">
        <v>3799</v>
      </c>
      <c r="B1460" s="91" t="s">
        <v>3792</v>
      </c>
      <c r="C1460" s="7" t="s">
        <v>3800</v>
      </c>
    </row>
    <row r="1461" spans="1:3" ht="17.25" thickBot="1">
      <c r="A1461" s="98"/>
      <c r="B1461" s="97"/>
      <c r="C1461" s="5" t="s">
        <v>3801</v>
      </c>
    </row>
    <row r="1462" spans="1:3" ht="64.5" thickBot="1">
      <c r="A1462" s="4" t="s">
        <v>3802</v>
      </c>
      <c r="B1462" s="5" t="s">
        <v>3792</v>
      </c>
      <c r="C1462" s="6" t="s">
        <v>3803</v>
      </c>
    </row>
    <row r="1463" spans="1:3">
      <c r="A1463" s="117" t="s">
        <v>3804</v>
      </c>
    </row>
    <row r="1464" spans="1:3" ht="17.25" thickBot="1">
      <c r="A1464" s="115" t="s">
        <v>3805</v>
      </c>
      <c r="B1464" s="115" t="s">
        <v>3806</v>
      </c>
    </row>
    <row r="1465" spans="1:3" ht="17.25" thickBot="1">
      <c r="A1465" s="102" t="s">
        <v>1591</v>
      </c>
      <c r="B1465" s="103" t="s">
        <v>1635</v>
      </c>
      <c r="C1465" s="103" t="s">
        <v>1593</v>
      </c>
    </row>
    <row r="1466" spans="1:3">
      <c r="A1466" s="92" t="s">
        <v>1677</v>
      </c>
      <c r="B1466" s="8" t="s">
        <v>1620</v>
      </c>
      <c r="C1466" s="91" t="s">
        <v>3313</v>
      </c>
    </row>
    <row r="1467" spans="1:3" ht="17.25" thickBot="1">
      <c r="A1467" s="98"/>
      <c r="B1467" s="5" t="s">
        <v>1550</v>
      </c>
      <c r="C1467" s="97"/>
    </row>
    <row r="1468" spans="1:3">
      <c r="A1468" s="92" t="s">
        <v>1674</v>
      </c>
      <c r="B1468" s="7" t="s">
        <v>1619</v>
      </c>
      <c r="C1468" s="91" t="s">
        <v>3314</v>
      </c>
    </row>
    <row r="1469" spans="1:3" ht="17.25" thickBot="1">
      <c r="A1469" s="98"/>
      <c r="B1469" s="5" t="s">
        <v>1550</v>
      </c>
      <c r="C1469" s="97"/>
    </row>
    <row r="1470" spans="1:3">
      <c r="A1470" s="92" t="s">
        <v>3807</v>
      </c>
      <c r="B1470" s="8" t="s">
        <v>1745</v>
      </c>
      <c r="C1470" s="91" t="s">
        <v>3808</v>
      </c>
    </row>
    <row r="1471" spans="1:3" ht="17.25" thickBot="1">
      <c r="A1471" s="98"/>
      <c r="B1471" s="5" t="s">
        <v>1550</v>
      </c>
      <c r="C1471" s="97"/>
    </row>
    <row r="1472" spans="1:3">
      <c r="A1472" s="92" t="s">
        <v>3809</v>
      </c>
      <c r="B1472" s="8" t="s">
        <v>1745</v>
      </c>
      <c r="C1472" s="91" t="s">
        <v>3810</v>
      </c>
    </row>
    <row r="1473" spans="1:3" ht="17.25" thickBot="1">
      <c r="A1473" s="98"/>
      <c r="B1473" s="5" t="s">
        <v>1550</v>
      </c>
      <c r="C1473" s="97"/>
    </row>
    <row r="1474" spans="1:3" ht="27">
      <c r="A1474" s="96" t="s">
        <v>3811</v>
      </c>
      <c r="B1474" s="91" t="s">
        <v>3813</v>
      </c>
      <c r="C1474" s="91" t="s">
        <v>3814</v>
      </c>
    </row>
    <row r="1475" spans="1:3" ht="27.75" thickBot="1">
      <c r="A1475" s="4" t="s">
        <v>3812</v>
      </c>
      <c r="B1475" s="97"/>
      <c r="C1475" s="97"/>
    </row>
    <row r="1476" spans="1:3">
      <c r="A1476" s="117" t="s">
        <v>3815</v>
      </c>
    </row>
    <row r="1477" spans="1:3" ht="17.25" thickBot="1">
      <c r="A1477" s="115" t="s">
        <v>3816</v>
      </c>
      <c r="B1477" s="115" t="s">
        <v>3817</v>
      </c>
    </row>
    <row r="1478" spans="1:3" ht="17.25" thickBot="1">
      <c r="A1478" s="102" t="s">
        <v>1591</v>
      </c>
      <c r="B1478" s="103" t="s">
        <v>1592</v>
      </c>
      <c r="C1478" s="103" t="s">
        <v>1593</v>
      </c>
    </row>
    <row r="1479" spans="1:3" ht="17.25" thickBot="1">
      <c r="A1479" s="4" t="s">
        <v>3818</v>
      </c>
      <c r="B1479" s="5" t="s">
        <v>0</v>
      </c>
      <c r="C1479" s="6" t="s">
        <v>3819</v>
      </c>
    </row>
    <row r="1480" spans="1:3" ht="17.25" thickBot="1">
      <c r="A1480" s="4" t="s">
        <v>3820</v>
      </c>
      <c r="B1480" s="5" t="s">
        <v>0</v>
      </c>
      <c r="C1480" s="5" t="s">
        <v>3821</v>
      </c>
    </row>
    <row r="1481" spans="1:3">
      <c r="A1481" s="92" t="s">
        <v>3822</v>
      </c>
      <c r="B1481" s="91" t="s">
        <v>0</v>
      </c>
      <c r="C1481" s="8" t="s">
        <v>3823</v>
      </c>
    </row>
    <row r="1482" spans="1:3" ht="64.5" thickBot="1">
      <c r="A1482" s="98"/>
      <c r="B1482" s="97"/>
      <c r="C1482" s="6" t="s">
        <v>3824</v>
      </c>
    </row>
    <row r="1483" spans="1:3" ht="27">
      <c r="A1483" s="92" t="s">
        <v>3825</v>
      </c>
      <c r="B1483" s="91" t="s">
        <v>0</v>
      </c>
      <c r="C1483" s="7" t="s">
        <v>3826</v>
      </c>
    </row>
    <row r="1484" spans="1:3">
      <c r="A1484" s="171"/>
      <c r="B1484" s="170"/>
      <c r="C1484" s="8" t="s">
        <v>3827</v>
      </c>
    </row>
    <row r="1485" spans="1:3" ht="51">
      <c r="A1485" s="171"/>
      <c r="B1485" s="170"/>
      <c r="C1485" s="7" t="s">
        <v>3828</v>
      </c>
    </row>
    <row r="1486" spans="1:3" ht="51.75" thickBot="1">
      <c r="A1486" s="98"/>
      <c r="B1486" s="97"/>
      <c r="C1486" s="6" t="s">
        <v>3829</v>
      </c>
    </row>
    <row r="1487" spans="1:3" ht="26.25" thickBot="1">
      <c r="A1487" s="145" t="s">
        <v>3830</v>
      </c>
      <c r="B1487" s="174" t="s">
        <v>3831</v>
      </c>
      <c r="C1487" s="6" t="s">
        <v>4902</v>
      </c>
    </row>
    <row r="1488" spans="1:3" ht="17.25" thickBot="1">
      <c r="A1488" s="145" t="s">
        <v>3833</v>
      </c>
      <c r="B1488" s="174" t="s">
        <v>0</v>
      </c>
      <c r="C1488" s="6" t="s">
        <v>4903</v>
      </c>
    </row>
    <row r="1489" spans="1:3" ht="17.25" thickBot="1">
      <c r="A1489" s="145" t="s">
        <v>3834</v>
      </c>
      <c r="B1489" s="174" t="s">
        <v>1606</v>
      </c>
      <c r="C1489" s="6" t="s">
        <v>4904</v>
      </c>
    </row>
    <row r="1490" spans="1:3">
      <c r="A1490" s="144" t="s">
        <v>3835</v>
      </c>
      <c r="B1490" s="179" t="s">
        <v>1605</v>
      </c>
      <c r="C1490" s="91" t="s">
        <v>4905</v>
      </c>
    </row>
    <row r="1491" spans="1:3" ht="17.25" thickBot="1">
      <c r="A1491" s="145" t="s">
        <v>3836</v>
      </c>
      <c r="B1491" s="181"/>
      <c r="C1491" s="97"/>
    </row>
    <row r="1492" spans="1:3" ht="17.25" thickBot="1">
      <c r="A1492" s="145" t="s">
        <v>3090</v>
      </c>
      <c r="B1492" s="174" t="s">
        <v>3837</v>
      </c>
      <c r="C1492" s="5" t="s">
        <v>3838</v>
      </c>
    </row>
    <row r="1493" spans="1:3" ht="17.25" thickBot="1">
      <c r="A1493" s="145" t="s">
        <v>3093</v>
      </c>
      <c r="B1493" s="111" t="s">
        <v>3839</v>
      </c>
      <c r="C1493" s="5" t="s">
        <v>4906</v>
      </c>
    </row>
    <row r="1494" spans="1:3" ht="17.25" thickBot="1">
      <c r="A1494" s="176" t="s">
        <v>3841</v>
      </c>
      <c r="B1494" s="179" t="s">
        <v>0</v>
      </c>
      <c r="C1494" s="8" t="s">
        <v>4907</v>
      </c>
    </row>
    <row r="1495" spans="1:3" ht="30">
      <c r="A1495" s="144" t="s">
        <v>3842</v>
      </c>
      <c r="B1495" s="179" t="s">
        <v>0</v>
      </c>
      <c r="C1495" s="7" t="s">
        <v>4908</v>
      </c>
    </row>
    <row r="1496" spans="1:3">
      <c r="A1496" s="144" t="s">
        <v>3843</v>
      </c>
      <c r="B1496" s="185"/>
      <c r="C1496" s="8" t="s">
        <v>4909</v>
      </c>
    </row>
    <row r="1497" spans="1:3" ht="39" thickBot="1">
      <c r="A1497" s="145" t="s">
        <v>3844</v>
      </c>
      <c r="B1497" s="181"/>
      <c r="C1497" s="6" t="s">
        <v>4910</v>
      </c>
    </row>
    <row r="1498" spans="1:3" ht="17.25" thickBot="1">
      <c r="A1498" s="145" t="s">
        <v>3084</v>
      </c>
      <c r="B1498" s="111" t="s">
        <v>0</v>
      </c>
      <c r="C1498" s="6" t="s">
        <v>4911</v>
      </c>
    </row>
    <row r="1499" spans="1:3" ht="26.25" thickBot="1">
      <c r="A1499" s="145" t="s">
        <v>3845</v>
      </c>
      <c r="B1499" s="174" t="s">
        <v>0</v>
      </c>
      <c r="C1499" s="6" t="s">
        <v>4912</v>
      </c>
    </row>
    <row r="1500" spans="1:3" ht="38.25">
      <c r="A1500" s="144" t="s">
        <v>3846</v>
      </c>
      <c r="B1500" s="91" t="s">
        <v>0</v>
      </c>
      <c r="C1500" s="7" t="s">
        <v>3849</v>
      </c>
    </row>
    <row r="1501" spans="1:3" ht="25.5">
      <c r="A1501" s="144" t="s">
        <v>3847</v>
      </c>
      <c r="B1501" s="170"/>
      <c r="C1501" s="7" t="s">
        <v>3850</v>
      </c>
    </row>
    <row r="1502" spans="1:3" ht="51">
      <c r="A1502" s="144" t="s">
        <v>3848</v>
      </c>
      <c r="B1502" s="170"/>
      <c r="C1502" s="7" t="s">
        <v>3851</v>
      </c>
    </row>
    <row r="1503" spans="1:3" ht="26.25" thickBot="1">
      <c r="A1503" s="113"/>
      <c r="B1503" s="97"/>
      <c r="C1503" s="6" t="s">
        <v>3852</v>
      </c>
    </row>
    <row r="1504" spans="1:3" ht="17.25" thickBot="1">
      <c r="A1504" s="4" t="s">
        <v>3854</v>
      </c>
      <c r="B1504" s="5" t="s">
        <v>0</v>
      </c>
      <c r="C1504" s="5" t="s">
        <v>3855</v>
      </c>
    </row>
    <row r="1505" spans="1:3" ht="17.25" thickBot="1">
      <c r="A1505" s="4" t="s">
        <v>3856</v>
      </c>
      <c r="B1505" s="5" t="s">
        <v>0</v>
      </c>
      <c r="C1505" s="5" t="s">
        <v>3857</v>
      </c>
    </row>
    <row r="1506" spans="1:3" ht="17.25" thickBot="1">
      <c r="A1506" s="4" t="s">
        <v>3858</v>
      </c>
      <c r="B1506" s="5" t="s">
        <v>0</v>
      </c>
      <c r="C1506" s="5" t="s">
        <v>3859</v>
      </c>
    </row>
    <row r="1507" spans="1:3" ht="17.25" thickBot="1">
      <c r="A1507" s="4" t="s">
        <v>3860</v>
      </c>
      <c r="B1507" s="5" t="s">
        <v>0</v>
      </c>
      <c r="C1507" s="5" t="s">
        <v>3861</v>
      </c>
    </row>
    <row r="1508" spans="1:3" ht="17.25" thickBot="1">
      <c r="A1508" s="4" t="s">
        <v>3862</v>
      </c>
      <c r="B1508" s="5" t="s">
        <v>0</v>
      </c>
      <c r="C1508" s="5" t="s">
        <v>3863</v>
      </c>
    </row>
    <row r="1509" spans="1:3" ht="17.25" thickBot="1">
      <c r="A1509" s="4" t="s">
        <v>3864</v>
      </c>
      <c r="B1509" s="5" t="s">
        <v>0</v>
      </c>
      <c r="C1509" s="5" t="s">
        <v>3865</v>
      </c>
    </row>
    <row r="1510" spans="1:3" ht="39" thickBot="1">
      <c r="A1510" s="4" t="s">
        <v>3866</v>
      </c>
      <c r="B1510" s="5" t="s">
        <v>1566</v>
      </c>
      <c r="C1510" s="6" t="s">
        <v>3867</v>
      </c>
    </row>
    <row r="1511" spans="1:3" ht="17.25" thickBot="1">
      <c r="A1511" s="4" t="s">
        <v>3868</v>
      </c>
      <c r="B1511" s="5" t="s">
        <v>1566</v>
      </c>
      <c r="C1511" s="5" t="s">
        <v>3869</v>
      </c>
    </row>
    <row r="1512" spans="1:3" ht="17.25" thickBot="1">
      <c r="A1512" s="4" t="s">
        <v>3870</v>
      </c>
      <c r="B1512" s="5" t="s">
        <v>1616</v>
      </c>
      <c r="C1512" s="6" t="s">
        <v>3871</v>
      </c>
    </row>
    <row r="1513" spans="1:3" ht="17.25" thickBot="1">
      <c r="A1513" s="4" t="s">
        <v>3872</v>
      </c>
      <c r="B1513" s="5" t="s">
        <v>0</v>
      </c>
      <c r="C1513" s="6" t="s">
        <v>3873</v>
      </c>
    </row>
    <row r="1514" spans="1:3" ht="17.25" thickBot="1">
      <c r="A1514" s="4" t="s">
        <v>3874</v>
      </c>
      <c r="B1514" s="5" t="s">
        <v>1603</v>
      </c>
      <c r="C1514" s="5" t="s">
        <v>3875</v>
      </c>
    </row>
    <row r="1515" spans="1:3" ht="54">
      <c r="A1515" s="134" t="s">
        <v>3876</v>
      </c>
      <c r="B1515" s="91" t="s">
        <v>1603</v>
      </c>
      <c r="C1515" s="8" t="s">
        <v>3878</v>
      </c>
    </row>
    <row r="1516" spans="1:3">
      <c r="A1516" s="96" t="s">
        <v>3877</v>
      </c>
      <c r="B1516" s="170"/>
      <c r="C1516" s="8" t="s">
        <v>3879</v>
      </c>
    </row>
    <row r="1517" spans="1:3">
      <c r="A1517" s="112"/>
      <c r="B1517" s="170"/>
      <c r="C1517" s="8" t="s">
        <v>3880</v>
      </c>
    </row>
    <row r="1518" spans="1:3">
      <c r="A1518" s="112"/>
      <c r="B1518" s="170"/>
      <c r="C1518" s="8" t="s">
        <v>3881</v>
      </c>
    </row>
    <row r="1519" spans="1:3" ht="26.25" thickBot="1">
      <c r="A1519" s="113"/>
      <c r="B1519" s="97"/>
      <c r="C1519" s="6" t="s">
        <v>3882</v>
      </c>
    </row>
    <row r="1520" spans="1:3" ht="26.25" thickBot="1">
      <c r="A1520" s="4" t="s">
        <v>3883</v>
      </c>
      <c r="B1520" s="5" t="s">
        <v>1566</v>
      </c>
      <c r="C1520" s="6" t="s">
        <v>3884</v>
      </c>
    </row>
    <row r="1521" spans="1:3" ht="26.25" thickBot="1">
      <c r="A1521" s="4" t="s">
        <v>3885</v>
      </c>
      <c r="B1521" s="5" t="s">
        <v>1566</v>
      </c>
      <c r="C1521" s="6" t="s">
        <v>3886</v>
      </c>
    </row>
    <row r="1522" spans="1:3" ht="26.25" thickBot="1">
      <c r="A1522" s="4" t="s">
        <v>3887</v>
      </c>
      <c r="B1522" s="5" t="s">
        <v>1566</v>
      </c>
      <c r="C1522" s="6" t="s">
        <v>3884</v>
      </c>
    </row>
    <row r="1523" spans="1:3" ht="26.25" thickBot="1">
      <c r="A1523" s="4" t="s">
        <v>3888</v>
      </c>
      <c r="B1523" s="5" t="s">
        <v>1566</v>
      </c>
      <c r="C1523" s="6" t="s">
        <v>3889</v>
      </c>
    </row>
    <row r="1524" spans="1:3" ht="26.25" thickBot="1">
      <c r="A1524" s="4" t="s">
        <v>3890</v>
      </c>
      <c r="B1524" s="5" t="s">
        <v>1566</v>
      </c>
      <c r="C1524" s="6" t="s">
        <v>3884</v>
      </c>
    </row>
    <row r="1525" spans="1:3" ht="26.25" thickBot="1">
      <c r="A1525" s="4" t="s">
        <v>3891</v>
      </c>
      <c r="B1525" s="5" t="s">
        <v>1566</v>
      </c>
      <c r="C1525" s="6" t="s">
        <v>3892</v>
      </c>
    </row>
    <row r="1526" spans="1:3" ht="17.25" thickBot="1">
      <c r="A1526" s="4" t="s">
        <v>3893</v>
      </c>
      <c r="B1526" s="5" t="s">
        <v>0</v>
      </c>
      <c r="C1526" s="5" t="s">
        <v>3894</v>
      </c>
    </row>
    <row r="1527" spans="1:3" ht="26.25" thickBot="1">
      <c r="A1527" s="4" t="s">
        <v>3895</v>
      </c>
      <c r="B1527" s="5" t="s">
        <v>1566</v>
      </c>
      <c r="C1527" s="6" t="s">
        <v>3884</v>
      </c>
    </row>
    <row r="1528" spans="1:3" ht="26.25" thickBot="1">
      <c r="A1528" s="4" t="s">
        <v>3896</v>
      </c>
      <c r="B1528" s="5" t="s">
        <v>1566</v>
      </c>
      <c r="C1528" s="6" t="s">
        <v>3897</v>
      </c>
    </row>
    <row r="1529" spans="1:3" ht="17.25" thickBot="1">
      <c r="A1529" s="4" t="s">
        <v>3898</v>
      </c>
      <c r="B1529" s="5" t="s">
        <v>0</v>
      </c>
      <c r="C1529" s="5" t="s">
        <v>3899</v>
      </c>
    </row>
    <row r="1530" spans="1:3" ht="26.25" thickBot="1">
      <c r="A1530" s="4" t="s">
        <v>3900</v>
      </c>
      <c r="B1530" s="5" t="s">
        <v>1566</v>
      </c>
      <c r="C1530" s="6" t="s">
        <v>3884</v>
      </c>
    </row>
    <row r="1531" spans="1:3" ht="26.25" thickBot="1">
      <c r="A1531" s="4" t="s">
        <v>3901</v>
      </c>
      <c r="B1531" s="5" t="s">
        <v>1566</v>
      </c>
      <c r="C1531" s="6" t="s">
        <v>3902</v>
      </c>
    </row>
    <row r="1532" spans="1:3">
      <c r="A1532" s="176" t="s">
        <v>3903</v>
      </c>
      <c r="B1532" s="91" t="s">
        <v>0</v>
      </c>
      <c r="C1532" s="8" t="s">
        <v>3904</v>
      </c>
    </row>
    <row r="1533" spans="1:3" ht="26.25" thickBot="1">
      <c r="A1533" s="177"/>
      <c r="B1533" s="97"/>
      <c r="C1533" s="6" t="s">
        <v>3905</v>
      </c>
    </row>
    <row r="1534" spans="1:3" ht="17.25" thickBot="1">
      <c r="A1534" s="4" t="s">
        <v>3906</v>
      </c>
      <c r="B1534" s="5" t="s">
        <v>1616</v>
      </c>
      <c r="C1534" s="6" t="s">
        <v>3907</v>
      </c>
    </row>
    <row r="1535" spans="1:3" ht="17.25" thickBot="1">
      <c r="A1535" s="4" t="s">
        <v>3908</v>
      </c>
      <c r="B1535" s="5" t="s">
        <v>0</v>
      </c>
      <c r="C1535" s="6" t="s">
        <v>3909</v>
      </c>
    </row>
    <row r="1536" spans="1:3" ht="26.25" thickBot="1">
      <c r="A1536" s="4" t="s">
        <v>3910</v>
      </c>
      <c r="B1536" s="5" t="s">
        <v>0</v>
      </c>
      <c r="C1536" s="6" t="s">
        <v>3911</v>
      </c>
    </row>
    <row r="1537" spans="1:3" ht="17.25" thickBot="1">
      <c r="A1537" s="4" t="s">
        <v>3912</v>
      </c>
      <c r="B1537" s="5" t="s">
        <v>0</v>
      </c>
      <c r="C1537" s="5" t="s">
        <v>3913</v>
      </c>
    </row>
    <row r="1538" spans="1:3" ht="39" thickBot="1">
      <c r="A1538" s="4" t="s">
        <v>3914</v>
      </c>
      <c r="B1538" s="5" t="s">
        <v>1566</v>
      </c>
      <c r="C1538" s="6" t="s">
        <v>3915</v>
      </c>
    </row>
    <row r="1539" spans="1:3" ht="17.25" thickBot="1">
      <c r="A1539" s="4" t="s">
        <v>3916</v>
      </c>
      <c r="B1539" s="5" t="s">
        <v>0</v>
      </c>
      <c r="C1539" s="6" t="s">
        <v>3917</v>
      </c>
    </row>
    <row r="1540" spans="1:3" ht="26.25" thickBot="1">
      <c r="A1540" s="4" t="s">
        <v>3918</v>
      </c>
      <c r="B1540" s="5" t="s">
        <v>0</v>
      </c>
      <c r="C1540" s="6" t="s">
        <v>3919</v>
      </c>
    </row>
    <row r="1541" spans="1:3" ht="27">
      <c r="A1541" s="92" t="s">
        <v>3920</v>
      </c>
      <c r="B1541" s="91" t="s">
        <v>1603</v>
      </c>
      <c r="C1541" s="7" t="s">
        <v>3921</v>
      </c>
    </row>
    <row r="1542" spans="1:3" ht="17.25" thickBot="1">
      <c r="A1542" s="98"/>
      <c r="B1542" s="97"/>
      <c r="C1542" s="5" t="s">
        <v>3922</v>
      </c>
    </row>
    <row r="1543" spans="1:3" ht="39" thickBot="1">
      <c r="A1543" s="4" t="s">
        <v>2327</v>
      </c>
      <c r="B1543" s="5" t="s">
        <v>1603</v>
      </c>
      <c r="C1543" s="6" t="s">
        <v>3923</v>
      </c>
    </row>
    <row r="1544" spans="1:3" ht="17.25" thickBot="1">
      <c r="A1544" s="4" t="s">
        <v>3924</v>
      </c>
      <c r="B1544" s="5" t="s">
        <v>0</v>
      </c>
      <c r="C1544" s="5" t="s">
        <v>3925</v>
      </c>
    </row>
    <row r="1545" spans="1:3">
      <c r="A1545" s="117" t="s">
        <v>3926</v>
      </c>
    </row>
    <row r="1546" spans="1:3" ht="17.25" thickBot="1">
      <c r="A1546" s="115" t="s">
        <v>3927</v>
      </c>
      <c r="B1546" s="115" t="s">
        <v>3928</v>
      </c>
    </row>
    <row r="1547" spans="1:3" ht="17.25" thickBot="1">
      <c r="A1547" s="102" t="s">
        <v>1591</v>
      </c>
      <c r="B1547" s="103" t="s">
        <v>1592</v>
      </c>
      <c r="C1547" s="103" t="s">
        <v>1593</v>
      </c>
    </row>
    <row r="1548" spans="1:3" ht="17.25" thickBot="1">
      <c r="A1548" s="4" t="s">
        <v>3929</v>
      </c>
      <c r="B1548" s="5" t="s">
        <v>5041</v>
      </c>
      <c r="C1548" s="5" t="s">
        <v>3930</v>
      </c>
    </row>
    <row r="1549" spans="1:3" ht="17.25" thickBot="1">
      <c r="A1549" s="4" t="s">
        <v>3931</v>
      </c>
      <c r="B1549" s="5" t="s">
        <v>5041</v>
      </c>
      <c r="C1549" s="6" t="s">
        <v>3932</v>
      </c>
    </row>
    <row r="1550" spans="1:3" ht="17.25" thickBot="1">
      <c r="A1550" s="4" t="s">
        <v>3933</v>
      </c>
      <c r="B1550" s="5" t="s">
        <v>5041</v>
      </c>
      <c r="C1550" s="6" t="s">
        <v>3934</v>
      </c>
    </row>
    <row r="1551" spans="1:3" ht="27.75" thickBot="1">
      <c r="A1551" s="96" t="s">
        <v>3935</v>
      </c>
      <c r="B1551" s="5" t="s">
        <v>5041</v>
      </c>
      <c r="C1551" s="91" t="s">
        <v>3937</v>
      </c>
    </row>
    <row r="1552" spans="1:3" ht="27.75" thickBot="1">
      <c r="A1552" s="4" t="s">
        <v>3936</v>
      </c>
      <c r="B1552" s="5"/>
      <c r="C1552" s="97"/>
    </row>
    <row r="1553" spans="1:3" ht="27.75" thickBot="1">
      <c r="A1553" s="4" t="s">
        <v>3938</v>
      </c>
      <c r="B1553" s="5" t="s">
        <v>5041</v>
      </c>
      <c r="C1553" s="6" t="s">
        <v>3939</v>
      </c>
    </row>
    <row r="1554" spans="1:3" ht="27.75" thickBot="1">
      <c r="A1554" s="4" t="s">
        <v>3940</v>
      </c>
      <c r="B1554" s="5" t="s">
        <v>5041</v>
      </c>
      <c r="C1554" s="6" t="s">
        <v>3941</v>
      </c>
    </row>
    <row r="1555" spans="1:3" ht="27.75" thickBot="1">
      <c r="A1555" s="4" t="s">
        <v>3942</v>
      </c>
      <c r="B1555" s="5" t="s">
        <v>5041</v>
      </c>
      <c r="C1555" s="6" t="s">
        <v>3943</v>
      </c>
    </row>
    <row r="1556" spans="1:3" ht="17.25" thickBot="1">
      <c r="A1556" s="4" t="s">
        <v>1534</v>
      </c>
      <c r="B1556" s="5" t="s">
        <v>5041</v>
      </c>
      <c r="C1556" s="5" t="s">
        <v>3944</v>
      </c>
    </row>
    <row r="1557" spans="1:3" ht="17.25" thickBot="1">
      <c r="A1557" s="4" t="s">
        <v>3945</v>
      </c>
      <c r="B1557" s="5" t="s">
        <v>5041</v>
      </c>
      <c r="C1557" s="6" t="s">
        <v>3946</v>
      </c>
    </row>
    <row r="1558" spans="1:3" ht="26.25" thickBot="1">
      <c r="A1558" s="4" t="s">
        <v>3947</v>
      </c>
      <c r="B1558" s="5" t="s">
        <v>1540</v>
      </c>
      <c r="C1558" s="6" t="s">
        <v>3948</v>
      </c>
    </row>
    <row r="1559" spans="1:3" ht="27.75" thickBot="1">
      <c r="A1559" s="4" t="s">
        <v>3949</v>
      </c>
      <c r="B1559" s="5" t="s">
        <v>3950</v>
      </c>
      <c r="C1559" s="6" t="s">
        <v>3951</v>
      </c>
    </row>
    <row r="1560" spans="1:3" ht="27.75" thickBot="1">
      <c r="A1560" s="4" t="s">
        <v>3952</v>
      </c>
      <c r="B1560" s="5" t="s">
        <v>1603</v>
      </c>
      <c r="C1560" s="6" t="s">
        <v>3953</v>
      </c>
    </row>
    <row r="1561" spans="1:3" ht="17.25" thickBot="1">
      <c r="A1561" s="4" t="s">
        <v>3954</v>
      </c>
      <c r="B1561" s="5" t="s">
        <v>1626</v>
      </c>
      <c r="C1561" s="5" t="s">
        <v>3955</v>
      </c>
    </row>
    <row r="1562" spans="1:3" ht="27" thickBot="1">
      <c r="A1562" s="4" t="s">
        <v>3956</v>
      </c>
      <c r="B1562" s="5" t="s">
        <v>1566</v>
      </c>
      <c r="C1562" s="6" t="s">
        <v>3957</v>
      </c>
    </row>
    <row r="1563" spans="1:3" ht="51">
      <c r="A1563" s="96" t="s">
        <v>3958</v>
      </c>
      <c r="B1563" s="91" t="s">
        <v>1566</v>
      </c>
      <c r="C1563" s="7" t="s">
        <v>3960</v>
      </c>
    </row>
    <row r="1564" spans="1:3" ht="26.25" thickBot="1">
      <c r="A1564" s="4" t="s">
        <v>3959</v>
      </c>
      <c r="B1564" s="97"/>
      <c r="C1564" s="6" t="s">
        <v>3961</v>
      </c>
    </row>
    <row r="1565" spans="1:3" ht="17.25" thickBot="1">
      <c r="A1565" s="4" t="s">
        <v>3962</v>
      </c>
      <c r="B1565" s="5" t="s">
        <v>1566</v>
      </c>
      <c r="C1565" s="5" t="s">
        <v>3963</v>
      </c>
    </row>
    <row r="1566" spans="1:3" ht="27">
      <c r="A1566" s="96" t="s">
        <v>3964</v>
      </c>
      <c r="B1566" s="91" t="s">
        <v>1566</v>
      </c>
      <c r="C1566" s="91" t="s">
        <v>3965</v>
      </c>
    </row>
    <row r="1567" spans="1:3" ht="17.25" thickBot="1">
      <c r="A1567" s="4" t="s">
        <v>2920</v>
      </c>
      <c r="B1567" s="97"/>
      <c r="C1567" s="97"/>
    </row>
    <row r="1568" spans="1:3" ht="27.75" thickBot="1">
      <c r="A1568" s="4" t="s">
        <v>3966</v>
      </c>
      <c r="B1568" s="5" t="s">
        <v>1566</v>
      </c>
      <c r="C1568" s="5" t="s">
        <v>3967</v>
      </c>
    </row>
    <row r="1569" spans="1:3" ht="51">
      <c r="A1569" s="134" t="s">
        <v>3968</v>
      </c>
      <c r="B1569" s="91" t="s">
        <v>1566</v>
      </c>
      <c r="C1569" s="7" t="s">
        <v>3970</v>
      </c>
    </row>
    <row r="1570" spans="1:3" ht="26.25" thickBot="1">
      <c r="A1570" s="4" t="s">
        <v>3969</v>
      </c>
      <c r="B1570" s="97"/>
      <c r="C1570" s="6" t="s">
        <v>3971</v>
      </c>
    </row>
    <row r="1571" spans="1:3" ht="27.75" thickBot="1">
      <c r="A1571" s="4" t="s">
        <v>3972</v>
      </c>
      <c r="B1571" s="5" t="s">
        <v>1566</v>
      </c>
      <c r="C1571" s="5" t="s">
        <v>3963</v>
      </c>
    </row>
    <row r="1572" spans="1:3" ht="38.25">
      <c r="A1572" s="96" t="s">
        <v>3973</v>
      </c>
      <c r="B1572" s="91" t="s">
        <v>1566</v>
      </c>
      <c r="C1572" s="7" t="s">
        <v>3974</v>
      </c>
    </row>
    <row r="1573" spans="1:3" ht="26.25" thickBot="1">
      <c r="A1573" s="4" t="s">
        <v>3969</v>
      </c>
      <c r="B1573" s="97"/>
      <c r="C1573" s="6" t="s">
        <v>3971</v>
      </c>
    </row>
    <row r="1574" spans="1:3" ht="27.75" thickBot="1">
      <c r="A1574" s="4" t="s">
        <v>3975</v>
      </c>
      <c r="B1574" s="5" t="s">
        <v>1566</v>
      </c>
      <c r="C1574" s="5" t="s">
        <v>3963</v>
      </c>
    </row>
    <row r="1575" spans="1:3" ht="54.75" thickBot="1">
      <c r="A1575" s="135" t="s">
        <v>3976</v>
      </c>
      <c r="B1575" s="5" t="s">
        <v>1566</v>
      </c>
      <c r="C1575" s="6" t="s">
        <v>3977</v>
      </c>
    </row>
    <row r="1576" spans="1:3" ht="41.25" thickBot="1">
      <c r="A1576" s="4" t="s">
        <v>3978</v>
      </c>
      <c r="B1576" s="5" t="s">
        <v>1566</v>
      </c>
      <c r="C1576" s="5" t="s">
        <v>3963</v>
      </c>
    </row>
    <row r="1577" spans="1:3" ht="17.25" thickBot="1">
      <c r="A1577" s="4" t="s">
        <v>3979</v>
      </c>
      <c r="B1577" s="5" t="s">
        <v>0</v>
      </c>
      <c r="C1577" s="6" t="s">
        <v>3980</v>
      </c>
    </row>
    <row r="1578" spans="1:3" ht="17.25" thickBot="1">
      <c r="A1578" s="4" t="s">
        <v>3981</v>
      </c>
      <c r="B1578" s="5" t="s">
        <v>0</v>
      </c>
      <c r="C1578" s="6" t="s">
        <v>3980</v>
      </c>
    </row>
    <row r="1579" spans="1:3" ht="27">
      <c r="A1579" s="92" t="s">
        <v>3982</v>
      </c>
      <c r="B1579" s="91" t="s">
        <v>0</v>
      </c>
      <c r="C1579" s="7" t="s">
        <v>3983</v>
      </c>
    </row>
    <row r="1580" spans="1:3" ht="17.25" thickBot="1">
      <c r="A1580" s="98"/>
      <c r="B1580" s="97"/>
      <c r="C1580" s="5" t="s">
        <v>3984</v>
      </c>
    </row>
    <row r="1581" spans="1:3">
      <c r="A1581" s="117" t="s">
        <v>3985</v>
      </c>
    </row>
    <row r="1582" spans="1:3" ht="17.25" thickBot="1">
      <c r="A1582" s="115" t="s">
        <v>3986</v>
      </c>
      <c r="B1582" s="115" t="s">
        <v>3987</v>
      </c>
    </row>
    <row r="1583" spans="1:3" ht="17.25" thickBot="1">
      <c r="A1583" s="102" t="s">
        <v>1591</v>
      </c>
      <c r="B1583" s="103" t="s">
        <v>1592</v>
      </c>
      <c r="C1583" s="103" t="s">
        <v>1593</v>
      </c>
    </row>
    <row r="1584" spans="1:3">
      <c r="A1584" s="92" t="s">
        <v>2892</v>
      </c>
      <c r="B1584" s="8" t="s">
        <v>1566</v>
      </c>
      <c r="C1584" s="91" t="s">
        <v>3988</v>
      </c>
    </row>
    <row r="1585" spans="1:3" ht="17.25" thickBot="1">
      <c r="A1585" s="98"/>
      <c r="B1585" s="5" t="s">
        <v>1550</v>
      </c>
      <c r="C1585" s="97"/>
    </row>
    <row r="1586" spans="1:3">
      <c r="A1586" s="92" t="s">
        <v>3989</v>
      </c>
      <c r="B1586" s="8" t="s">
        <v>2660</v>
      </c>
      <c r="C1586" s="91" t="s">
        <v>3990</v>
      </c>
    </row>
    <row r="1587" spans="1:3" ht="17.25" thickBot="1">
      <c r="A1587" s="98"/>
      <c r="B1587" s="5" t="s">
        <v>2884</v>
      </c>
      <c r="C1587" s="97"/>
    </row>
    <row r="1588" spans="1:3">
      <c r="A1588" s="92" t="s">
        <v>3991</v>
      </c>
      <c r="B1588" s="8" t="s">
        <v>1603</v>
      </c>
      <c r="C1588" s="91" t="s">
        <v>3992</v>
      </c>
    </row>
    <row r="1589" spans="1:3" ht="17.25" thickBot="1">
      <c r="A1589" s="98"/>
      <c r="B1589" s="5" t="s">
        <v>1550</v>
      </c>
      <c r="C1589" s="97"/>
    </row>
    <row r="1590" spans="1:3">
      <c r="A1590" s="92" t="s">
        <v>3993</v>
      </c>
      <c r="B1590" s="8" t="s">
        <v>1603</v>
      </c>
      <c r="C1590" s="91" t="s">
        <v>3994</v>
      </c>
    </row>
    <row r="1591" spans="1:3" ht="17.25" thickBot="1">
      <c r="A1591" s="98"/>
      <c r="B1591" s="5" t="s">
        <v>1550</v>
      </c>
      <c r="C1591" s="97"/>
    </row>
    <row r="1592" spans="1:3">
      <c r="A1592" s="92" t="s">
        <v>1636</v>
      </c>
      <c r="B1592" s="8" t="s">
        <v>1566</v>
      </c>
      <c r="C1592" s="91" t="s">
        <v>3995</v>
      </c>
    </row>
    <row r="1593" spans="1:3" ht="17.25" thickBot="1">
      <c r="A1593" s="98"/>
      <c r="B1593" s="5" t="s">
        <v>1550</v>
      </c>
      <c r="C1593" s="97"/>
    </row>
    <row r="1594" spans="1:3">
      <c r="A1594" s="92" t="s">
        <v>1637</v>
      </c>
      <c r="B1594" s="8" t="s">
        <v>1566</v>
      </c>
      <c r="C1594" s="91" t="s">
        <v>3996</v>
      </c>
    </row>
    <row r="1595" spans="1:3" ht="17.25" thickBot="1">
      <c r="A1595" s="98"/>
      <c r="B1595" s="5" t="s">
        <v>1550</v>
      </c>
      <c r="C1595" s="97"/>
    </row>
    <row r="1596" spans="1:3">
      <c r="A1596" s="92" t="s">
        <v>1638</v>
      </c>
      <c r="B1596" s="8" t="s">
        <v>1603</v>
      </c>
      <c r="C1596" s="91" t="s">
        <v>3997</v>
      </c>
    </row>
    <row r="1597" spans="1:3" ht="17.25" thickBot="1">
      <c r="A1597" s="98"/>
      <c r="B1597" s="5" t="s">
        <v>1550</v>
      </c>
      <c r="C1597" s="97"/>
    </row>
    <row r="1598" spans="1:3">
      <c r="A1598" s="92" t="s">
        <v>1639</v>
      </c>
      <c r="B1598" s="8" t="s">
        <v>1603</v>
      </c>
      <c r="C1598" s="91" t="s">
        <v>3998</v>
      </c>
    </row>
    <row r="1599" spans="1:3" ht="17.25" thickBot="1">
      <c r="A1599" s="98"/>
      <c r="B1599" s="5" t="s">
        <v>1550</v>
      </c>
      <c r="C1599" s="97"/>
    </row>
    <row r="1600" spans="1:3" ht="17.25" thickBot="1">
      <c r="A1600" s="4" t="s">
        <v>2192</v>
      </c>
      <c r="B1600" s="5" t="s">
        <v>1603</v>
      </c>
      <c r="C1600" s="5" t="s">
        <v>2012</v>
      </c>
    </row>
    <row r="1601" spans="1:3" ht="17.25" thickBot="1">
      <c r="A1601" s="4" t="s">
        <v>2194</v>
      </c>
      <c r="B1601" s="5" t="s">
        <v>1603</v>
      </c>
      <c r="C1601" s="5" t="s">
        <v>2013</v>
      </c>
    </row>
    <row r="1602" spans="1:3" ht="17.25" thickBot="1">
      <c r="A1602" s="4" t="s">
        <v>2196</v>
      </c>
      <c r="B1602" s="5" t="s">
        <v>1624</v>
      </c>
      <c r="C1602" s="5" t="s">
        <v>2014</v>
      </c>
    </row>
    <row r="1603" spans="1:3" ht="17.25" thickBot="1">
      <c r="A1603" s="4" t="s">
        <v>4000</v>
      </c>
      <c r="B1603" s="6" t="s">
        <v>1632</v>
      </c>
      <c r="C1603" s="6" t="s">
        <v>2016</v>
      </c>
    </row>
    <row r="1604" spans="1:3" ht="17.25" thickBot="1">
      <c r="A1604" s="4" t="s">
        <v>4001</v>
      </c>
      <c r="B1604" s="6" t="s">
        <v>1632</v>
      </c>
      <c r="C1604" s="6" t="s">
        <v>2018</v>
      </c>
    </row>
    <row r="1605" spans="1:3" ht="17.25" thickBot="1">
      <c r="A1605" s="4" t="s">
        <v>2198</v>
      </c>
      <c r="B1605" s="5" t="s">
        <v>1625</v>
      </c>
      <c r="C1605" s="6" t="s">
        <v>2160</v>
      </c>
    </row>
    <row r="1606" spans="1:3" ht="17.25" thickBot="1">
      <c r="A1606" s="4" t="s">
        <v>4002</v>
      </c>
      <c r="B1606" s="6" t="s">
        <v>1632</v>
      </c>
      <c r="C1606" s="5" t="s">
        <v>2158</v>
      </c>
    </row>
    <row r="1607" spans="1:3" ht="17.25" thickBot="1">
      <c r="A1607" s="4" t="s">
        <v>2199</v>
      </c>
      <c r="B1607" s="5" t="s">
        <v>1566</v>
      </c>
      <c r="C1607" s="5" t="s">
        <v>2161</v>
      </c>
    </row>
    <row r="1608" spans="1:3" ht="17.25" thickBot="1">
      <c r="A1608" s="4" t="s">
        <v>4003</v>
      </c>
      <c r="B1608" s="6" t="s">
        <v>1632</v>
      </c>
      <c r="C1608" s="5" t="s">
        <v>4004</v>
      </c>
    </row>
    <row r="1609" spans="1:3" ht="17.25" thickBot="1">
      <c r="A1609" s="4" t="s">
        <v>4005</v>
      </c>
      <c r="B1609" s="5" t="s">
        <v>1603</v>
      </c>
      <c r="C1609" s="5" t="s">
        <v>2162</v>
      </c>
    </row>
    <row r="1610" spans="1:3">
      <c r="A1610" s="92" t="s">
        <v>2025</v>
      </c>
      <c r="B1610" s="91" t="s">
        <v>1603</v>
      </c>
      <c r="C1610" s="8" t="s">
        <v>2026</v>
      </c>
    </row>
    <row r="1611" spans="1:3" ht="51.75" thickBot="1">
      <c r="A1611" s="98"/>
      <c r="B1611" s="97"/>
      <c r="C1611" s="6" t="s">
        <v>2027</v>
      </c>
    </row>
    <row r="1612" spans="1:3">
      <c r="A1612" s="117" t="s">
        <v>4006</v>
      </c>
    </row>
    <row r="1613" spans="1:3" ht="17.25" thickBot="1">
      <c r="A1613" s="115" t="s">
        <v>4023</v>
      </c>
      <c r="B1613" s="115" t="s">
        <v>4024</v>
      </c>
    </row>
    <row r="1614" spans="1:3" ht="17.25" thickBot="1">
      <c r="A1614" s="102" t="s">
        <v>3203</v>
      </c>
      <c r="B1614" s="103" t="s">
        <v>1592</v>
      </c>
      <c r="C1614" s="103" t="s">
        <v>1593</v>
      </c>
    </row>
    <row r="1615" spans="1:3" ht="30.75" thickBot="1">
      <c r="A1615" s="145" t="s">
        <v>4026</v>
      </c>
      <c r="B1615" s="5" t="s">
        <v>4027</v>
      </c>
      <c r="C1615" s="6" t="s">
        <v>4028</v>
      </c>
    </row>
    <row r="1616" spans="1:3" ht="51.75" thickBot="1">
      <c r="A1616" s="145" t="s">
        <v>4030</v>
      </c>
      <c r="B1616" s="5" t="s">
        <v>2698</v>
      </c>
      <c r="C1616" s="6" t="s">
        <v>4031</v>
      </c>
    </row>
    <row r="1617" spans="1:3" ht="17.25" thickBot="1">
      <c r="A1617" s="145" t="s">
        <v>4032</v>
      </c>
      <c r="B1617" s="5" t="s">
        <v>2698</v>
      </c>
      <c r="C1617" s="6" t="s">
        <v>4033</v>
      </c>
    </row>
    <row r="1618" spans="1:3" ht="17.25" thickBot="1">
      <c r="A1618" s="145" t="s">
        <v>4034</v>
      </c>
      <c r="B1618" s="5" t="s">
        <v>2698</v>
      </c>
      <c r="C1618" s="5" t="s">
        <v>4035</v>
      </c>
    </row>
    <row r="1619" spans="1:3" ht="30">
      <c r="A1619" s="176" t="s">
        <v>4036</v>
      </c>
      <c r="B1619" s="91" t="s">
        <v>2698</v>
      </c>
      <c r="C1619" s="7" t="s">
        <v>4037</v>
      </c>
    </row>
    <row r="1620" spans="1:3" ht="17.25" thickBot="1">
      <c r="A1620" s="177"/>
      <c r="B1620" s="97"/>
      <c r="C1620" s="5" t="s">
        <v>4038</v>
      </c>
    </row>
    <row r="1621" spans="1:3" ht="30">
      <c r="A1621" s="176" t="s">
        <v>4039</v>
      </c>
      <c r="B1621" s="91" t="s">
        <v>2698</v>
      </c>
      <c r="C1621" s="7" t="s">
        <v>4040</v>
      </c>
    </row>
    <row r="1622" spans="1:3" ht="17.25" thickBot="1">
      <c r="A1622" s="177"/>
      <c r="B1622" s="97"/>
      <c r="C1622" s="5" t="s">
        <v>4041</v>
      </c>
    </row>
    <row r="1623" spans="1:3" ht="25.5">
      <c r="A1623" s="144" t="s">
        <v>4042</v>
      </c>
      <c r="B1623" s="91" t="s">
        <v>2698</v>
      </c>
      <c r="C1623" s="91" t="s">
        <v>4044</v>
      </c>
    </row>
    <row r="1624" spans="1:3" ht="17.25" thickBot="1">
      <c r="A1624" s="145" t="s">
        <v>4043</v>
      </c>
      <c r="B1624" s="97"/>
      <c r="C1624" s="97"/>
    </row>
    <row r="1625" spans="1:3" ht="39" thickBot="1">
      <c r="A1625" s="145" t="s">
        <v>4045</v>
      </c>
      <c r="B1625" s="5" t="s">
        <v>2698</v>
      </c>
      <c r="C1625" s="6" t="s">
        <v>4046</v>
      </c>
    </row>
    <row r="1626" spans="1:3" ht="17.25" thickBot="1">
      <c r="A1626" s="145" t="s">
        <v>4047</v>
      </c>
      <c r="B1626" s="5" t="s">
        <v>2698</v>
      </c>
      <c r="C1626" s="6" t="s">
        <v>4048</v>
      </c>
    </row>
    <row r="1627" spans="1:3" ht="30">
      <c r="A1627" s="176" t="s">
        <v>4049</v>
      </c>
      <c r="B1627" s="91" t="s">
        <v>2698</v>
      </c>
      <c r="C1627" s="8" t="s">
        <v>4050</v>
      </c>
    </row>
    <row r="1628" spans="1:3">
      <c r="A1628" s="178"/>
      <c r="B1628" s="170"/>
      <c r="C1628" s="8" t="s">
        <v>4051</v>
      </c>
    </row>
    <row r="1629" spans="1:3" ht="17.25" thickBot="1">
      <c r="A1629" s="177"/>
      <c r="B1629" s="97"/>
      <c r="C1629" s="5" t="s">
        <v>4052</v>
      </c>
    </row>
    <row r="1630" spans="1:3" ht="17.25" thickBot="1">
      <c r="A1630" s="145" t="s">
        <v>4053</v>
      </c>
      <c r="B1630" s="5" t="s">
        <v>1566</v>
      </c>
      <c r="C1630" s="6" t="s">
        <v>4054</v>
      </c>
    </row>
    <row r="1631" spans="1:3" ht="17.25" thickBot="1">
      <c r="A1631" s="145" t="s">
        <v>4055</v>
      </c>
      <c r="B1631" s="5" t="s">
        <v>1557</v>
      </c>
      <c r="C1631" s="5" t="s">
        <v>4056</v>
      </c>
    </row>
    <row r="1632" spans="1:3" ht="17.25" thickBot="1">
      <c r="A1632" s="145" t="s">
        <v>4057</v>
      </c>
      <c r="B1632" s="5" t="s">
        <v>1566</v>
      </c>
      <c r="C1632" s="5" t="s">
        <v>4058</v>
      </c>
    </row>
    <row r="1633" spans="1:4" ht="17.25" thickBot="1">
      <c r="A1633" s="145" t="s">
        <v>4059</v>
      </c>
      <c r="B1633" s="5" t="s">
        <v>1566</v>
      </c>
      <c r="C1633" s="5" t="s">
        <v>4060</v>
      </c>
    </row>
    <row r="1634" spans="1:4" ht="17.25" thickBot="1">
      <c r="A1634" s="145" t="s">
        <v>4061</v>
      </c>
      <c r="B1634" s="5" t="s">
        <v>1603</v>
      </c>
      <c r="C1634" s="6" t="s">
        <v>4062</v>
      </c>
    </row>
    <row r="1635" spans="1:4" ht="17.25" thickBot="1">
      <c r="A1635" s="145" t="s">
        <v>4063</v>
      </c>
      <c r="B1635" s="5" t="s">
        <v>2130</v>
      </c>
      <c r="C1635" s="5" t="s">
        <v>4064</v>
      </c>
    </row>
    <row r="1636" spans="1:4" ht="30.75" thickBot="1">
      <c r="A1636" s="145" t="s">
        <v>4065</v>
      </c>
      <c r="B1636" s="5" t="s">
        <v>2130</v>
      </c>
      <c r="C1636" s="5" t="s">
        <v>4066</v>
      </c>
    </row>
    <row r="1637" spans="1:4">
      <c r="A1637" s="117" t="s">
        <v>4067</v>
      </c>
    </row>
    <row r="1638" spans="1:4" ht="17.25" thickBot="1">
      <c r="A1638" s="115" t="s">
        <v>4068</v>
      </c>
      <c r="B1638" s="115" t="s">
        <v>4069</v>
      </c>
    </row>
    <row r="1639" spans="1:4" ht="17.25" thickBot="1">
      <c r="A1639" s="102" t="s">
        <v>3203</v>
      </c>
      <c r="B1639" s="103" t="s">
        <v>1592</v>
      </c>
      <c r="C1639" s="110" t="s">
        <v>1593</v>
      </c>
      <c r="D1639" s="2"/>
    </row>
    <row r="1640" spans="1:4" ht="30.75" thickBot="1">
      <c r="A1640" s="162" t="s">
        <v>4071</v>
      </c>
      <c r="B1640" s="5" t="s">
        <v>4027</v>
      </c>
      <c r="C1640" s="151" t="s">
        <v>4072</v>
      </c>
      <c r="D1640" s="6" t="s">
        <v>4913</v>
      </c>
    </row>
    <row r="1641" spans="1:4" ht="26.25" thickBot="1">
      <c r="A1641" s="4" t="s">
        <v>4073</v>
      </c>
      <c r="B1641" s="5" t="s">
        <v>2698</v>
      </c>
      <c r="C1641" s="5" t="s">
        <v>4074</v>
      </c>
    </row>
    <row r="1642" spans="1:4" ht="25.5">
      <c r="A1642" s="92" t="s">
        <v>4075</v>
      </c>
      <c r="B1642" s="91" t="s">
        <v>2698</v>
      </c>
      <c r="C1642" s="7" t="s">
        <v>4076</v>
      </c>
    </row>
    <row r="1643" spans="1:4" ht="25.5">
      <c r="A1643" s="171"/>
      <c r="B1643" s="170"/>
      <c r="C1643" s="7" t="s">
        <v>4077</v>
      </c>
    </row>
    <row r="1644" spans="1:4">
      <c r="A1644" s="171"/>
      <c r="B1644" s="170"/>
      <c r="C1644" s="8" t="s">
        <v>4078</v>
      </c>
    </row>
    <row r="1645" spans="1:4" ht="25.5">
      <c r="A1645" s="171"/>
      <c r="B1645" s="170"/>
      <c r="C1645" s="7" t="s">
        <v>4079</v>
      </c>
    </row>
    <row r="1646" spans="1:4" ht="26.25" thickBot="1">
      <c r="A1646" s="98"/>
      <c r="B1646" s="97"/>
      <c r="C1646" s="6" t="s">
        <v>4080</v>
      </c>
    </row>
    <row r="1647" spans="1:4" ht="17.25" thickBot="1">
      <c r="A1647" s="4" t="s">
        <v>4081</v>
      </c>
      <c r="B1647" s="5" t="s">
        <v>2698</v>
      </c>
      <c r="C1647" s="6" t="s">
        <v>4082</v>
      </c>
    </row>
    <row r="1648" spans="1:4" ht="26.25" thickBot="1">
      <c r="A1648" s="1" t="s">
        <v>4083</v>
      </c>
      <c r="B1648" s="2" t="s">
        <v>2698</v>
      </c>
      <c r="C1648" s="3" t="s">
        <v>4084</v>
      </c>
    </row>
    <row r="1649" spans="1:3" ht="39" thickBot="1">
      <c r="A1649" s="4" t="s">
        <v>4085</v>
      </c>
      <c r="B1649" s="5" t="s">
        <v>2698</v>
      </c>
      <c r="C1649" s="6" t="s">
        <v>4086</v>
      </c>
    </row>
    <row r="1650" spans="1:3" ht="27.75" thickBot="1">
      <c r="A1650" s="4" t="s">
        <v>4087</v>
      </c>
      <c r="B1650" s="5" t="s">
        <v>2698</v>
      </c>
      <c r="C1650" s="6" t="s">
        <v>4088</v>
      </c>
    </row>
    <row r="1651" spans="1:3" ht="17.25" thickBot="1">
      <c r="A1651" s="4" t="s">
        <v>4089</v>
      </c>
      <c r="B1651" s="5" t="s">
        <v>2698</v>
      </c>
      <c r="C1651" s="6" t="s">
        <v>4090</v>
      </c>
    </row>
    <row r="1652" spans="1:3" ht="17.25" thickBot="1">
      <c r="A1652" s="4" t="s">
        <v>4091</v>
      </c>
      <c r="B1652" s="5" t="s">
        <v>2698</v>
      </c>
      <c r="C1652" s="6" t="s">
        <v>4092</v>
      </c>
    </row>
    <row r="1653" spans="1:3" ht="51">
      <c r="A1653" s="92" t="s">
        <v>4093</v>
      </c>
      <c r="B1653" s="91" t="s">
        <v>2698</v>
      </c>
      <c r="C1653" s="7" t="s">
        <v>4094</v>
      </c>
    </row>
    <row r="1654" spans="1:3" ht="17.25" thickBot="1">
      <c r="A1654" s="98"/>
      <c r="B1654" s="97"/>
      <c r="C1654" s="5" t="s">
        <v>4095</v>
      </c>
    </row>
    <row r="1655" spans="1:3" ht="26.25" thickBot="1">
      <c r="A1655" s="4" t="s">
        <v>4096</v>
      </c>
      <c r="B1655" s="5" t="s">
        <v>2698</v>
      </c>
      <c r="C1655" s="6" t="s">
        <v>4097</v>
      </c>
    </row>
    <row r="1656" spans="1:3" ht="17.25" thickBot="1">
      <c r="A1656" s="4" t="s">
        <v>4098</v>
      </c>
      <c r="B1656" s="5" t="s">
        <v>2698</v>
      </c>
      <c r="C1656" s="5" t="s">
        <v>4099</v>
      </c>
    </row>
    <row r="1657" spans="1:3" ht="27.75" thickBot="1">
      <c r="A1657" s="4" t="s">
        <v>4100</v>
      </c>
      <c r="B1657" s="5" t="s">
        <v>2698</v>
      </c>
      <c r="C1657" s="6" t="s">
        <v>4101</v>
      </c>
    </row>
    <row r="1658" spans="1:3" ht="17.25" thickBot="1">
      <c r="A1658" s="4" t="s">
        <v>4102</v>
      </c>
      <c r="B1658" s="5" t="s">
        <v>2698</v>
      </c>
      <c r="C1658" s="6" t="s">
        <v>4103</v>
      </c>
    </row>
    <row r="1659" spans="1:3" ht="17.25" thickBot="1">
      <c r="A1659" s="4" t="s">
        <v>4104</v>
      </c>
      <c r="B1659" s="5" t="s">
        <v>2698</v>
      </c>
      <c r="C1659" s="5" t="s">
        <v>4105</v>
      </c>
    </row>
    <row r="1660" spans="1:3">
      <c r="A1660" s="96" t="s">
        <v>4106</v>
      </c>
      <c r="B1660" s="91" t="s">
        <v>2698</v>
      </c>
      <c r="C1660" s="7" t="s">
        <v>4108</v>
      </c>
    </row>
    <row r="1661" spans="1:3" ht="25.5">
      <c r="A1661" s="96" t="s">
        <v>4107</v>
      </c>
      <c r="B1661" s="170"/>
      <c r="C1661" s="7" t="s">
        <v>4109</v>
      </c>
    </row>
    <row r="1662" spans="1:3" ht="17.25" thickBot="1">
      <c r="A1662" s="4" t="s">
        <v>3529</v>
      </c>
      <c r="B1662" s="97"/>
      <c r="C1662" s="136"/>
    </row>
    <row r="1663" spans="1:3" ht="17.25" thickBot="1">
      <c r="A1663" s="4" t="s">
        <v>4110</v>
      </c>
      <c r="B1663" s="5" t="s">
        <v>2698</v>
      </c>
      <c r="C1663" s="5" t="s">
        <v>4111</v>
      </c>
    </row>
    <row r="1664" spans="1:3">
      <c r="A1664" s="176" t="s">
        <v>4112</v>
      </c>
      <c r="B1664" s="8" t="s">
        <v>4113</v>
      </c>
      <c r="C1664" s="91" t="s">
        <v>4115</v>
      </c>
    </row>
    <row r="1665" spans="1:3" ht="17.25" thickBot="1">
      <c r="A1665" s="177"/>
      <c r="B1665" s="6" t="s">
        <v>4114</v>
      </c>
      <c r="C1665" s="97"/>
    </row>
    <row r="1666" spans="1:3" ht="17.25" thickBot="1">
      <c r="A1666" s="145" t="s">
        <v>4116</v>
      </c>
      <c r="B1666" s="5" t="s">
        <v>1557</v>
      </c>
      <c r="C1666" s="6" t="s">
        <v>4117</v>
      </c>
    </row>
    <row r="1667" spans="1:3" ht="90.75" thickBot="1">
      <c r="A1667" s="162" t="s">
        <v>4119</v>
      </c>
      <c r="B1667" s="5" t="s">
        <v>4120</v>
      </c>
      <c r="C1667" s="6" t="s">
        <v>4121</v>
      </c>
    </row>
    <row r="1668" spans="1:3" ht="60.75" thickBot="1">
      <c r="A1668" s="145" t="s">
        <v>4122</v>
      </c>
      <c r="B1668" s="5" t="s">
        <v>4123</v>
      </c>
      <c r="C1668" s="6" t="s">
        <v>4124</v>
      </c>
    </row>
    <row r="1669" spans="1:3" ht="45.75" thickBot="1">
      <c r="A1669" s="145" t="s">
        <v>4125</v>
      </c>
      <c r="B1669" s="5" t="s">
        <v>4123</v>
      </c>
      <c r="C1669" s="6" t="s">
        <v>4126</v>
      </c>
    </row>
    <row r="1670" spans="1:3">
      <c r="A1670" s="117" t="s">
        <v>4127</v>
      </c>
    </row>
    <row r="1671" spans="1:3" ht="17.25" thickBot="1">
      <c r="A1671" s="115" t="s">
        <v>4128</v>
      </c>
      <c r="B1671" s="115" t="s">
        <v>4129</v>
      </c>
    </row>
    <row r="1672" spans="1:3" ht="17.25" thickBot="1">
      <c r="A1672" s="102" t="s">
        <v>1591</v>
      </c>
      <c r="B1672" s="103" t="s">
        <v>1635</v>
      </c>
      <c r="C1672" s="103" t="s">
        <v>1593</v>
      </c>
    </row>
    <row r="1673" spans="1:3" ht="26.25" thickBot="1">
      <c r="A1673" s="4" t="s">
        <v>2138</v>
      </c>
      <c r="B1673" s="6" t="s">
        <v>1632</v>
      </c>
      <c r="C1673" s="6" t="s">
        <v>2896</v>
      </c>
    </row>
    <row r="1674" spans="1:3" ht="39" thickBot="1">
      <c r="A1674" s="4" t="s">
        <v>2140</v>
      </c>
      <c r="B1674" s="6" t="s">
        <v>1632</v>
      </c>
      <c r="C1674" s="6" t="s">
        <v>4130</v>
      </c>
    </row>
    <row r="1675" spans="1:3">
      <c r="A1675" s="92" t="s">
        <v>2111</v>
      </c>
      <c r="B1675" s="8" t="s">
        <v>1738</v>
      </c>
      <c r="C1675" s="91" t="s">
        <v>4131</v>
      </c>
    </row>
    <row r="1676" spans="1:3" ht="17.25" thickBot="1">
      <c r="A1676" s="98"/>
      <c r="B1676" s="5" t="s">
        <v>2349</v>
      </c>
      <c r="C1676" s="97"/>
    </row>
    <row r="1677" spans="1:3">
      <c r="A1677" s="92" t="s">
        <v>2002</v>
      </c>
      <c r="B1677" s="7" t="s">
        <v>2116</v>
      </c>
      <c r="C1677" s="91" t="s">
        <v>4132</v>
      </c>
    </row>
    <row r="1678" spans="1:3">
      <c r="A1678" s="171"/>
      <c r="B1678" s="8" t="s">
        <v>1738</v>
      </c>
      <c r="C1678" s="170"/>
    </row>
    <row r="1679" spans="1:3" ht="17.25" thickBot="1">
      <c r="A1679" s="98"/>
      <c r="B1679" s="5" t="s">
        <v>2349</v>
      </c>
      <c r="C1679" s="97"/>
    </row>
    <row r="1680" spans="1:3">
      <c r="A1680" s="92" t="s">
        <v>2115</v>
      </c>
      <c r="B1680" s="8" t="s">
        <v>1603</v>
      </c>
      <c r="C1680" s="91" t="s">
        <v>2117</v>
      </c>
    </row>
    <row r="1681" spans="1:3">
      <c r="A1681" s="171"/>
      <c r="B1681" s="8" t="s">
        <v>1854</v>
      </c>
      <c r="C1681" s="170"/>
    </row>
    <row r="1682" spans="1:3" ht="17.25" thickBot="1">
      <c r="A1682" s="98"/>
      <c r="B1682" s="5" t="s">
        <v>2349</v>
      </c>
      <c r="C1682" s="97"/>
    </row>
    <row r="1683" spans="1:3">
      <c r="A1683" s="92" t="s">
        <v>2118</v>
      </c>
      <c r="B1683" s="8" t="s">
        <v>3210</v>
      </c>
      <c r="C1683" s="91" t="s">
        <v>2885</v>
      </c>
    </row>
    <row r="1684" spans="1:3" ht="17.25" thickBot="1">
      <c r="A1684" s="98"/>
      <c r="B1684" s="5" t="s">
        <v>2523</v>
      </c>
      <c r="C1684" s="97"/>
    </row>
    <row r="1685" spans="1:3" ht="17.25" thickBot="1">
      <c r="A1685" s="4" t="s">
        <v>2886</v>
      </c>
      <c r="B1685" s="5" t="s">
        <v>2887</v>
      </c>
      <c r="C1685" s="5" t="s">
        <v>2888</v>
      </c>
    </row>
    <row r="1686" spans="1:3" ht="17.25" thickBot="1">
      <c r="A1686" s="4" t="s">
        <v>1903</v>
      </c>
      <c r="B1686" s="5" t="s">
        <v>1603</v>
      </c>
      <c r="C1686" s="5" t="s">
        <v>2012</v>
      </c>
    </row>
    <row r="1687" spans="1:3" ht="17.25" thickBot="1">
      <c r="A1687" s="4" t="s">
        <v>1912</v>
      </c>
      <c r="B1687" s="5" t="s">
        <v>1603</v>
      </c>
      <c r="C1687" s="5" t="s">
        <v>2013</v>
      </c>
    </row>
    <row r="1688" spans="1:3" ht="17.25" thickBot="1">
      <c r="A1688" s="4" t="s">
        <v>1915</v>
      </c>
      <c r="B1688" s="5" t="s">
        <v>1624</v>
      </c>
      <c r="C1688" s="5" t="s">
        <v>1916</v>
      </c>
    </row>
    <row r="1689" spans="1:3" ht="17.25" thickBot="1">
      <c r="A1689" s="4" t="s">
        <v>1922</v>
      </c>
      <c r="B1689" s="5" t="s">
        <v>1566</v>
      </c>
      <c r="C1689" s="5" t="s">
        <v>2161</v>
      </c>
    </row>
    <row r="1690" spans="1:3" ht="17.25" thickBot="1">
      <c r="A1690" s="4" t="s">
        <v>1924</v>
      </c>
      <c r="B1690" s="5" t="s">
        <v>1603</v>
      </c>
      <c r="C1690" s="5" t="s">
        <v>3263</v>
      </c>
    </row>
    <row r="1691" spans="1:3" ht="27">
      <c r="A1691" s="92" t="s">
        <v>4134</v>
      </c>
      <c r="B1691" s="91" t="s">
        <v>1632</v>
      </c>
      <c r="C1691" s="7" t="s">
        <v>4135</v>
      </c>
    </row>
    <row r="1692" spans="1:3" ht="17.25" thickBot="1">
      <c r="A1692" s="98"/>
      <c r="B1692" s="97"/>
      <c r="C1692" s="6" t="s">
        <v>4136</v>
      </c>
    </row>
    <row r="1693" spans="1:3" ht="40.5" thickBot="1">
      <c r="A1693" s="4" t="s">
        <v>4137</v>
      </c>
      <c r="B1693" s="6" t="s">
        <v>1632</v>
      </c>
      <c r="C1693" s="6" t="s">
        <v>4138</v>
      </c>
    </row>
    <row r="1694" spans="1:3" ht="27">
      <c r="A1694" s="92" t="s">
        <v>2909</v>
      </c>
      <c r="B1694" s="8" t="s">
        <v>1603</v>
      </c>
      <c r="C1694" s="91" t="s">
        <v>4139</v>
      </c>
    </row>
    <row r="1695" spans="1:3">
      <c r="A1695" s="171"/>
      <c r="B1695" s="7" t="s">
        <v>2116</v>
      </c>
      <c r="C1695" s="170"/>
    </row>
    <row r="1696" spans="1:3" ht="17.25" thickBot="1">
      <c r="A1696" s="98"/>
      <c r="B1696" s="5" t="s">
        <v>1603</v>
      </c>
      <c r="C1696" s="97"/>
    </row>
    <row r="1697" spans="1:3" ht="17.25" thickBot="1">
      <c r="A1697" s="4" t="s">
        <v>2552</v>
      </c>
      <c r="B1697" s="6" t="s">
        <v>1632</v>
      </c>
      <c r="C1697" s="6" t="s">
        <v>2016</v>
      </c>
    </row>
    <row r="1698" spans="1:3" ht="17.25" thickBot="1">
      <c r="A1698" s="4" t="s">
        <v>2021</v>
      </c>
      <c r="B1698" s="6" t="s">
        <v>1632</v>
      </c>
      <c r="C1698" s="5" t="s">
        <v>2022</v>
      </c>
    </row>
    <row r="1699" spans="1:3" ht="17.25" thickBot="1">
      <c r="A1699" s="4" t="s">
        <v>2028</v>
      </c>
      <c r="B1699" s="6" t="s">
        <v>1632</v>
      </c>
      <c r="C1699" s="5" t="s">
        <v>4004</v>
      </c>
    </row>
    <row r="1700" spans="1:3" ht="17.25" thickBot="1">
      <c r="A1700" s="4" t="s">
        <v>2023</v>
      </c>
      <c r="B1700" s="6" t="s">
        <v>1632</v>
      </c>
      <c r="C1700" s="5" t="s">
        <v>2158</v>
      </c>
    </row>
    <row r="1701" spans="1:3" ht="17.25" thickBot="1">
      <c r="A1701" s="4" t="s">
        <v>2554</v>
      </c>
      <c r="B1701" s="6" t="s">
        <v>1632</v>
      </c>
      <c r="C1701" s="6" t="s">
        <v>2018</v>
      </c>
    </row>
    <row r="1702" spans="1:3" ht="17.25" thickBot="1">
      <c r="A1702" s="4" t="s">
        <v>2019</v>
      </c>
      <c r="B1702" s="5" t="s">
        <v>1625</v>
      </c>
      <c r="C1702" s="6" t="s">
        <v>2160</v>
      </c>
    </row>
    <row r="1703" spans="1:3" ht="17.25" thickBot="1">
      <c r="A1703" s="4" t="s">
        <v>1775</v>
      </c>
      <c r="B1703" s="6" t="s">
        <v>1632</v>
      </c>
      <c r="C1703" s="5" t="s">
        <v>4140</v>
      </c>
    </row>
    <row r="1704" spans="1:3" ht="17.25" thickBot="1">
      <c r="A1704" s="4" t="s">
        <v>2143</v>
      </c>
      <c r="B1704" s="6" t="s">
        <v>1632</v>
      </c>
      <c r="C1704" s="5" t="s">
        <v>4141</v>
      </c>
    </row>
    <row r="1705" spans="1:3">
      <c r="A1705" s="92" t="s">
        <v>2025</v>
      </c>
      <c r="B1705" s="91" t="s">
        <v>1603</v>
      </c>
      <c r="C1705" s="8" t="s">
        <v>2026</v>
      </c>
    </row>
    <row r="1706" spans="1:3" ht="51.75" thickBot="1">
      <c r="A1706" s="98"/>
      <c r="B1706" s="97"/>
      <c r="C1706" s="6" t="s">
        <v>2027</v>
      </c>
    </row>
    <row r="1707" spans="1:3">
      <c r="A1707" s="117" t="s">
        <v>4142</v>
      </c>
    </row>
    <row r="1708" spans="1:3" ht="17.25" thickBot="1">
      <c r="A1708" s="115" t="s">
        <v>4162</v>
      </c>
      <c r="B1708" s="115" t="s">
        <v>4163</v>
      </c>
    </row>
    <row r="1709" spans="1:3" ht="17.25" thickBot="1">
      <c r="A1709" s="102" t="s">
        <v>1591</v>
      </c>
      <c r="B1709" s="103" t="s">
        <v>1635</v>
      </c>
      <c r="C1709" s="103" t="s">
        <v>1593</v>
      </c>
    </row>
    <row r="1710" spans="1:3">
      <c r="A1710" s="92" t="s">
        <v>4164</v>
      </c>
      <c r="B1710" s="8" t="s">
        <v>1603</v>
      </c>
      <c r="C1710" s="91" t="s">
        <v>4165</v>
      </c>
    </row>
    <row r="1711" spans="1:3" ht="17.25" thickBot="1">
      <c r="A1711" s="98"/>
      <c r="B1711" s="5" t="s">
        <v>1550</v>
      </c>
      <c r="C1711" s="97"/>
    </row>
    <row r="1712" spans="1:3">
      <c r="A1712" s="92" t="s">
        <v>2269</v>
      </c>
      <c r="B1712" s="8" t="s">
        <v>1603</v>
      </c>
      <c r="C1712" s="91" t="s">
        <v>4166</v>
      </c>
    </row>
    <row r="1713" spans="1:3" ht="17.25" thickBot="1">
      <c r="A1713" s="98"/>
      <c r="B1713" s="5" t="s">
        <v>1550</v>
      </c>
      <c r="C1713" s="97"/>
    </row>
    <row r="1714" spans="1:3">
      <c r="A1714" s="92" t="s">
        <v>4167</v>
      </c>
      <c r="B1714" s="8" t="s">
        <v>1603</v>
      </c>
      <c r="C1714" s="91" t="s">
        <v>4168</v>
      </c>
    </row>
    <row r="1715" spans="1:3" ht="17.25" thickBot="1">
      <c r="A1715" s="98"/>
      <c r="B1715" s="5" t="s">
        <v>1550</v>
      </c>
      <c r="C1715" s="97"/>
    </row>
    <row r="1716" spans="1:3">
      <c r="A1716" s="92" t="s">
        <v>4169</v>
      </c>
      <c r="B1716" s="8" t="s">
        <v>1603</v>
      </c>
      <c r="C1716" s="91" t="s">
        <v>4170</v>
      </c>
    </row>
    <row r="1717" spans="1:3" ht="17.25" thickBot="1">
      <c r="A1717" s="98"/>
      <c r="B1717" s="5" t="s">
        <v>1550</v>
      </c>
      <c r="C1717" s="97"/>
    </row>
    <row r="1718" spans="1:3">
      <c r="A1718" s="92" t="s">
        <v>4171</v>
      </c>
      <c r="B1718" s="8" t="s">
        <v>1603</v>
      </c>
      <c r="C1718" s="91" t="s">
        <v>4172</v>
      </c>
    </row>
    <row r="1719" spans="1:3" ht="17.25" thickBot="1">
      <c r="A1719" s="98"/>
      <c r="B1719" s="5" t="s">
        <v>1550</v>
      </c>
      <c r="C1719" s="97"/>
    </row>
    <row r="1720" spans="1:3">
      <c r="A1720" s="92" t="s">
        <v>4173</v>
      </c>
      <c r="B1720" s="8" t="s">
        <v>1603</v>
      </c>
      <c r="C1720" s="8" t="s">
        <v>4174</v>
      </c>
    </row>
    <row r="1721" spans="1:3" ht="17.25" thickBot="1">
      <c r="A1721" s="98"/>
      <c r="B1721" s="5" t="s">
        <v>1550</v>
      </c>
      <c r="C1721" s="5" t="s">
        <v>4175</v>
      </c>
    </row>
    <row r="1722" spans="1:3">
      <c r="A1722" s="92" t="s">
        <v>4176</v>
      </c>
      <c r="B1722" s="8" t="s">
        <v>1603</v>
      </c>
      <c r="C1722" s="91" t="s">
        <v>4177</v>
      </c>
    </row>
    <row r="1723" spans="1:3" ht="17.25" thickBot="1">
      <c r="A1723" s="98"/>
      <c r="B1723" s="5" t="s">
        <v>1550</v>
      </c>
      <c r="C1723" s="97"/>
    </row>
    <row r="1724" spans="1:3">
      <c r="A1724" s="92" t="s">
        <v>4178</v>
      </c>
      <c r="B1724" s="8" t="s">
        <v>1566</v>
      </c>
      <c r="C1724" s="8" t="s">
        <v>4179</v>
      </c>
    </row>
    <row r="1725" spans="1:3" ht="17.25" thickBot="1">
      <c r="A1725" s="98"/>
      <c r="B1725" s="5" t="s">
        <v>1550</v>
      </c>
      <c r="C1725" s="5" t="s">
        <v>4180</v>
      </c>
    </row>
    <row r="1726" spans="1:3" ht="26.25" thickBot="1">
      <c r="A1726" s="4" t="s">
        <v>4182</v>
      </c>
      <c r="B1726" s="5" t="s">
        <v>1621</v>
      </c>
      <c r="C1726" s="6" t="s">
        <v>4183</v>
      </c>
    </row>
    <row r="1727" spans="1:3" ht="39" thickBot="1">
      <c r="A1727" s="145" t="s">
        <v>4184</v>
      </c>
      <c r="B1727" s="5" t="s">
        <v>1566</v>
      </c>
      <c r="C1727" s="6" t="s">
        <v>4185</v>
      </c>
    </row>
    <row r="1728" spans="1:3" ht="17.25" thickBot="1">
      <c r="A1728" s="4" t="s">
        <v>3021</v>
      </c>
      <c r="B1728" s="5" t="s">
        <v>2982</v>
      </c>
      <c r="C1728" s="6" t="s">
        <v>4186</v>
      </c>
    </row>
    <row r="1729" spans="1:3" ht="17.25" thickBot="1">
      <c r="A1729" s="4" t="s">
        <v>4187</v>
      </c>
      <c r="B1729" s="5" t="s">
        <v>2982</v>
      </c>
      <c r="C1729" s="6" t="s">
        <v>4188</v>
      </c>
    </row>
    <row r="1730" spans="1:3" ht="17.25" thickBot="1">
      <c r="A1730" s="99" t="s">
        <v>1591</v>
      </c>
      <c r="B1730" s="100" t="s">
        <v>1592</v>
      </c>
      <c r="C1730" s="100" t="s">
        <v>1593</v>
      </c>
    </row>
    <row r="1731" spans="1:3" ht="26.25" thickBot="1">
      <c r="A1731" s="4" t="s">
        <v>4189</v>
      </c>
      <c r="B1731" s="5" t="s">
        <v>1610</v>
      </c>
      <c r="C1731" s="6" t="s">
        <v>4190</v>
      </c>
    </row>
    <row r="1732" spans="1:3" ht="17.25" thickBot="1">
      <c r="A1732" s="4" t="s">
        <v>4191</v>
      </c>
      <c r="B1732" s="5" t="s">
        <v>1618</v>
      </c>
      <c r="C1732" s="5" t="s">
        <v>4192</v>
      </c>
    </row>
    <row r="1733" spans="1:3" ht="26.25" thickBot="1">
      <c r="A1733" s="4" t="s">
        <v>4193</v>
      </c>
      <c r="B1733" s="5" t="s">
        <v>2317</v>
      </c>
      <c r="C1733" s="6" t="s">
        <v>4194</v>
      </c>
    </row>
    <row r="1734" spans="1:3" ht="17.25" thickBot="1">
      <c r="A1734" s="4" t="s">
        <v>4195</v>
      </c>
      <c r="B1734" s="5" t="s">
        <v>1566</v>
      </c>
      <c r="C1734" s="5" t="s">
        <v>4196</v>
      </c>
    </row>
    <row r="1735" spans="1:3" ht="17.25" thickBot="1">
      <c r="A1735" s="4" t="s">
        <v>4197</v>
      </c>
      <c r="B1735" s="5" t="s">
        <v>1603</v>
      </c>
      <c r="C1735" s="5" t="s">
        <v>4198</v>
      </c>
    </row>
    <row r="1736" spans="1:3" ht="26.25" thickBot="1">
      <c r="A1736" s="4" t="s">
        <v>4199</v>
      </c>
      <c r="B1736" s="5" t="s">
        <v>1630</v>
      </c>
      <c r="C1736" s="6" t="s">
        <v>4200</v>
      </c>
    </row>
    <row r="1737" spans="1:3" ht="17.25" thickBot="1">
      <c r="A1737" s="4" t="s">
        <v>4201</v>
      </c>
      <c r="B1737" s="5" t="s">
        <v>1623</v>
      </c>
      <c r="C1737" s="5" t="s">
        <v>4202</v>
      </c>
    </row>
    <row r="1738" spans="1:3">
      <c r="A1738" s="117" t="s">
        <v>4203</v>
      </c>
    </row>
    <row r="1739" spans="1:3" ht="17.25" thickBot="1">
      <c r="A1739" s="115" t="s">
        <v>4214</v>
      </c>
      <c r="B1739" s="115" t="s">
        <v>4215</v>
      </c>
    </row>
    <row r="1740" spans="1:3" ht="17.25" thickBot="1">
      <c r="A1740" s="102" t="s">
        <v>1591</v>
      </c>
      <c r="B1740" s="103" t="s">
        <v>1635</v>
      </c>
      <c r="C1740" s="103" t="s">
        <v>1593</v>
      </c>
    </row>
    <row r="1741" spans="1:3">
      <c r="A1741" s="92" t="s">
        <v>1636</v>
      </c>
      <c r="B1741" s="8" t="s">
        <v>1566</v>
      </c>
      <c r="C1741" s="91" t="s">
        <v>3995</v>
      </c>
    </row>
    <row r="1742" spans="1:3" ht="17.25" thickBot="1">
      <c r="A1742" s="98"/>
      <c r="B1742" s="5" t="s">
        <v>1550</v>
      </c>
      <c r="C1742" s="97"/>
    </row>
    <row r="1743" spans="1:3">
      <c r="A1743" s="92" t="s">
        <v>1637</v>
      </c>
      <c r="B1743" s="8" t="s">
        <v>1566</v>
      </c>
      <c r="C1743" s="91" t="s">
        <v>3996</v>
      </c>
    </row>
    <row r="1744" spans="1:3" ht="17.25" thickBot="1">
      <c r="A1744" s="98"/>
      <c r="B1744" s="5" t="s">
        <v>1550</v>
      </c>
      <c r="C1744" s="97"/>
    </row>
    <row r="1745" spans="1:3">
      <c r="A1745" s="92" t="s">
        <v>1638</v>
      </c>
      <c r="B1745" s="8" t="s">
        <v>1603</v>
      </c>
      <c r="C1745" s="91" t="s">
        <v>3997</v>
      </c>
    </row>
    <row r="1746" spans="1:3" ht="17.25" thickBot="1">
      <c r="A1746" s="98"/>
      <c r="B1746" s="5" t="s">
        <v>1550</v>
      </c>
      <c r="C1746" s="97"/>
    </row>
    <row r="1747" spans="1:3">
      <c r="A1747" s="92" t="s">
        <v>1639</v>
      </c>
      <c r="B1747" s="8" t="s">
        <v>1603</v>
      </c>
      <c r="C1747" s="91" t="s">
        <v>4216</v>
      </c>
    </row>
    <row r="1748" spans="1:3" ht="17.25" thickBot="1">
      <c r="A1748" s="98"/>
      <c r="B1748" s="5" t="s">
        <v>1550</v>
      </c>
      <c r="C1748" s="97"/>
    </row>
    <row r="1749" spans="1:3" ht="17.25" thickBot="1">
      <c r="A1749" s="4" t="s">
        <v>2892</v>
      </c>
      <c r="B1749" s="5" t="s">
        <v>1559</v>
      </c>
      <c r="C1749" s="5" t="s">
        <v>4217</v>
      </c>
    </row>
    <row r="1750" spans="1:3" ht="17.25" thickBot="1">
      <c r="A1750" s="4" t="s">
        <v>4218</v>
      </c>
      <c r="B1750" s="5" t="s">
        <v>1559</v>
      </c>
      <c r="C1750" s="5" t="s">
        <v>4219</v>
      </c>
    </row>
    <row r="1751" spans="1:3" ht="17.25" thickBot="1">
      <c r="A1751" s="4" t="s">
        <v>4218</v>
      </c>
      <c r="B1751" s="5" t="s">
        <v>4220</v>
      </c>
      <c r="C1751" s="5" t="s">
        <v>4221</v>
      </c>
    </row>
    <row r="1752" spans="1:3" ht="25.5">
      <c r="A1752" s="92" t="s">
        <v>3181</v>
      </c>
      <c r="B1752" s="8" t="s">
        <v>0</v>
      </c>
      <c r="C1752" s="91" t="s">
        <v>4222</v>
      </c>
    </row>
    <row r="1753" spans="1:3">
      <c r="A1753" s="171"/>
      <c r="B1753" s="8" t="s">
        <v>1854</v>
      </c>
      <c r="C1753" s="170"/>
    </row>
    <row r="1754" spans="1:3" ht="17.25" thickBot="1">
      <c r="A1754" s="98"/>
      <c r="B1754" s="5" t="s">
        <v>1550</v>
      </c>
      <c r="C1754" s="97"/>
    </row>
    <row r="1755" spans="1:3">
      <c r="A1755" s="92" t="s">
        <v>4223</v>
      </c>
      <c r="B1755" s="91" t="s">
        <v>1559</v>
      </c>
      <c r="C1755" s="8" t="s">
        <v>4224</v>
      </c>
    </row>
    <row r="1756" spans="1:3" ht="17.25" thickBot="1">
      <c r="A1756" s="98"/>
      <c r="B1756" s="97"/>
      <c r="C1756" s="6" t="s">
        <v>4225</v>
      </c>
    </row>
    <row r="1757" spans="1:3" ht="17.25" thickBot="1">
      <c r="A1757" s="4" t="s">
        <v>1903</v>
      </c>
      <c r="B1757" s="5" t="s">
        <v>1603</v>
      </c>
      <c r="C1757" s="5" t="s">
        <v>2012</v>
      </c>
    </row>
    <row r="1758" spans="1:3" ht="17.25" thickBot="1">
      <c r="A1758" s="4" t="s">
        <v>1912</v>
      </c>
      <c r="B1758" s="5" t="s">
        <v>1603</v>
      </c>
      <c r="C1758" s="5" t="s">
        <v>2013</v>
      </c>
    </row>
    <row r="1759" spans="1:3" ht="17.25" thickBot="1">
      <c r="A1759" s="4" t="s">
        <v>1915</v>
      </c>
      <c r="B1759" s="5" t="s">
        <v>1624</v>
      </c>
      <c r="C1759" s="5" t="s">
        <v>2014</v>
      </c>
    </row>
    <row r="1760" spans="1:3" ht="17.25" thickBot="1">
      <c r="A1760" s="4" t="s">
        <v>2028</v>
      </c>
      <c r="B1760" s="6" t="s">
        <v>1632</v>
      </c>
      <c r="C1760" s="5" t="s">
        <v>4232</v>
      </c>
    </row>
    <row r="1761" spans="1:3" ht="17.25" thickBot="1">
      <c r="A1761" s="4" t="s">
        <v>1922</v>
      </c>
      <c r="B1761" s="5" t="s">
        <v>1566</v>
      </c>
      <c r="C1761" s="5" t="s">
        <v>2161</v>
      </c>
    </row>
    <row r="1762" spans="1:3" ht="17.25" thickBot="1">
      <c r="A1762" s="4" t="s">
        <v>1924</v>
      </c>
      <c r="B1762" s="5" t="s">
        <v>1603</v>
      </c>
      <c r="C1762" s="6" t="s">
        <v>4233</v>
      </c>
    </row>
    <row r="1763" spans="1:3" ht="17.25" thickBot="1">
      <c r="A1763" s="4" t="s">
        <v>2023</v>
      </c>
      <c r="B1763" s="6" t="s">
        <v>1632</v>
      </c>
      <c r="C1763" s="5" t="s">
        <v>4234</v>
      </c>
    </row>
    <row r="1764" spans="1:3">
      <c r="A1764" s="92" t="s">
        <v>2025</v>
      </c>
      <c r="B1764" s="91" t="s">
        <v>1603</v>
      </c>
      <c r="C1764" s="8" t="s">
        <v>2026</v>
      </c>
    </row>
    <row r="1765" spans="1:3" ht="51.75" thickBot="1">
      <c r="A1765" s="98"/>
      <c r="B1765" s="97"/>
      <c r="C1765" s="6" t="s">
        <v>2027</v>
      </c>
    </row>
    <row r="1766" spans="1:3" ht="17.25" thickBot="1">
      <c r="A1766" s="4" t="s">
        <v>2021</v>
      </c>
      <c r="B1766" s="6" t="s">
        <v>1632</v>
      </c>
      <c r="C1766" s="6" t="s">
        <v>4235</v>
      </c>
    </row>
    <row r="1767" spans="1:3">
      <c r="A1767" s="117" t="s">
        <v>4236</v>
      </c>
    </row>
    <row r="1768" spans="1:3" ht="17.25" thickBot="1">
      <c r="A1768" s="115" t="s">
        <v>4252</v>
      </c>
      <c r="B1768" s="115" t="s">
        <v>4253</v>
      </c>
    </row>
    <row r="1769" spans="1:3" ht="17.25" thickBot="1">
      <c r="A1769" s="102" t="s">
        <v>1591</v>
      </c>
      <c r="B1769" s="103" t="s">
        <v>1592</v>
      </c>
      <c r="C1769" s="103" t="s">
        <v>1593</v>
      </c>
    </row>
    <row r="1770" spans="1:3" ht="17.25" thickBot="1">
      <c r="A1770" s="4" t="s">
        <v>4255</v>
      </c>
      <c r="B1770" s="5" t="s">
        <v>1603</v>
      </c>
      <c r="C1770" s="6" t="s">
        <v>4256</v>
      </c>
    </row>
    <row r="1771" spans="1:3" ht="17.25" thickBot="1">
      <c r="A1771" s="4" t="s">
        <v>4257</v>
      </c>
      <c r="B1771" s="5" t="s">
        <v>1603</v>
      </c>
      <c r="C1771" s="6" t="s">
        <v>4258</v>
      </c>
    </row>
    <row r="1772" spans="1:3" ht="17.25" thickBot="1">
      <c r="A1772" s="4" t="s">
        <v>4259</v>
      </c>
      <c r="B1772" s="5" t="s">
        <v>1600</v>
      </c>
      <c r="C1772" s="6" t="s">
        <v>4260</v>
      </c>
    </row>
    <row r="1773" spans="1:3">
      <c r="A1773" s="92" t="s">
        <v>4261</v>
      </c>
      <c r="B1773" s="91" t="s">
        <v>1566</v>
      </c>
      <c r="C1773" s="7" t="s">
        <v>4262</v>
      </c>
    </row>
    <row r="1774" spans="1:3">
      <c r="A1774" s="171"/>
      <c r="B1774" s="170"/>
      <c r="C1774" s="8" t="s">
        <v>4263</v>
      </c>
    </row>
    <row r="1775" spans="1:3">
      <c r="A1775" s="171"/>
      <c r="B1775" s="170"/>
      <c r="C1775" s="7" t="s">
        <v>4264</v>
      </c>
    </row>
    <row r="1776" spans="1:3" ht="17.25" thickBot="1">
      <c r="A1776" s="98"/>
      <c r="B1776" s="97"/>
      <c r="C1776" s="5" t="s">
        <v>4265</v>
      </c>
    </row>
    <row r="1777" spans="1:3" ht="26.25" thickBot="1">
      <c r="A1777" s="4" t="s">
        <v>4266</v>
      </c>
      <c r="B1777" s="5" t="s">
        <v>1616</v>
      </c>
      <c r="C1777" s="6" t="s">
        <v>4267</v>
      </c>
    </row>
    <row r="1778" spans="1:3" ht="26.25" thickBot="1">
      <c r="A1778" s="4" t="s">
        <v>4268</v>
      </c>
      <c r="B1778" s="5" t="s">
        <v>1616</v>
      </c>
      <c r="C1778" s="6" t="s">
        <v>4269</v>
      </c>
    </row>
    <row r="1779" spans="1:3" ht="17.25" thickBot="1">
      <c r="A1779" s="4" t="s">
        <v>4270</v>
      </c>
      <c r="B1779" s="5" t="s">
        <v>1557</v>
      </c>
      <c r="C1779" s="6" t="s">
        <v>4271</v>
      </c>
    </row>
    <row r="1780" spans="1:3" ht="26.25" thickBot="1">
      <c r="A1780" s="4" t="s">
        <v>4272</v>
      </c>
      <c r="B1780" s="5" t="s">
        <v>1557</v>
      </c>
      <c r="C1780" s="6" t="s">
        <v>4273</v>
      </c>
    </row>
    <row r="1781" spans="1:3" ht="39" thickBot="1">
      <c r="A1781" s="145" t="s">
        <v>4274</v>
      </c>
      <c r="B1781" s="5" t="s">
        <v>0</v>
      </c>
      <c r="C1781" s="6" t="s">
        <v>4275</v>
      </c>
    </row>
    <row r="1782" spans="1:3" ht="17.25" thickBot="1">
      <c r="A1782" s="4" t="s">
        <v>2755</v>
      </c>
      <c r="B1782" s="5" t="s">
        <v>1561</v>
      </c>
      <c r="C1782" s="5" t="s">
        <v>4276</v>
      </c>
    </row>
    <row r="1783" spans="1:3" ht="26.25" thickBot="1">
      <c r="A1783" s="4" t="s">
        <v>4277</v>
      </c>
      <c r="B1783" s="5" t="s">
        <v>1561</v>
      </c>
      <c r="C1783" s="6" t="s">
        <v>4278</v>
      </c>
    </row>
    <row r="1784" spans="1:3" ht="17.25" thickBot="1">
      <c r="A1784" s="4" t="s">
        <v>1792</v>
      </c>
      <c r="B1784" s="5" t="s">
        <v>1566</v>
      </c>
      <c r="C1784" s="5" t="s">
        <v>4279</v>
      </c>
    </row>
    <row r="1785" spans="1:3" ht="17.25" thickBot="1">
      <c r="A1785" s="145" t="s">
        <v>4280</v>
      </c>
      <c r="B1785" s="5" t="s">
        <v>1566</v>
      </c>
      <c r="C1785" s="6" t="s">
        <v>4281</v>
      </c>
    </row>
    <row r="1786" spans="1:3" ht="26.25" thickBot="1">
      <c r="A1786" s="145" t="s">
        <v>4282</v>
      </c>
      <c r="B1786" s="5" t="s">
        <v>1566</v>
      </c>
      <c r="C1786" s="6" t="s">
        <v>4283</v>
      </c>
    </row>
    <row r="1787" spans="1:3" ht="26.25" thickBot="1">
      <c r="A1787" s="145" t="s">
        <v>4284</v>
      </c>
      <c r="B1787" s="5" t="s">
        <v>1566</v>
      </c>
      <c r="C1787" s="6" t="s">
        <v>4285</v>
      </c>
    </row>
    <row r="1788" spans="1:3" ht="39" thickBot="1">
      <c r="A1788" s="145" t="s">
        <v>4286</v>
      </c>
      <c r="B1788" s="5" t="s">
        <v>1566</v>
      </c>
      <c r="C1788" s="6" t="s">
        <v>4287</v>
      </c>
    </row>
    <row r="1789" spans="1:3" ht="17.25" thickBot="1">
      <c r="A1789" s="4" t="s">
        <v>1740</v>
      </c>
      <c r="B1789" s="5" t="s">
        <v>0</v>
      </c>
      <c r="C1789" s="5" t="s">
        <v>4288</v>
      </c>
    </row>
    <row r="1790" spans="1:3" ht="17.25" thickBot="1">
      <c r="A1790" s="4" t="s">
        <v>4289</v>
      </c>
      <c r="B1790" s="5" t="s">
        <v>1603</v>
      </c>
      <c r="C1790" s="5" t="s">
        <v>4290</v>
      </c>
    </row>
    <row r="1791" spans="1:3" ht="17.25" thickBot="1">
      <c r="A1791" s="4" t="s">
        <v>4291</v>
      </c>
      <c r="B1791" s="5" t="s">
        <v>1566</v>
      </c>
      <c r="C1791" s="6" t="s">
        <v>4292</v>
      </c>
    </row>
    <row r="1792" spans="1:3" ht="26.25" thickBot="1">
      <c r="A1792" s="4" t="s">
        <v>4293</v>
      </c>
      <c r="B1792" s="5" t="s">
        <v>0</v>
      </c>
      <c r="C1792" s="6" t="s">
        <v>4294</v>
      </c>
    </row>
    <row r="1793" spans="1:3" ht="27">
      <c r="A1793" s="92" t="s">
        <v>4295</v>
      </c>
      <c r="B1793" s="91" t="s">
        <v>1566</v>
      </c>
      <c r="C1793" s="8" t="s">
        <v>4296</v>
      </c>
    </row>
    <row r="1794" spans="1:3">
      <c r="A1794" s="171"/>
      <c r="B1794" s="170"/>
      <c r="C1794" s="8" t="s">
        <v>4297</v>
      </c>
    </row>
    <row r="1795" spans="1:3">
      <c r="A1795" s="171"/>
      <c r="B1795" s="170"/>
      <c r="C1795" s="8" t="s">
        <v>4298</v>
      </c>
    </row>
    <row r="1796" spans="1:3" ht="17.25" thickBot="1">
      <c r="A1796" s="98"/>
      <c r="B1796" s="97"/>
      <c r="C1796" s="5" t="s">
        <v>4299</v>
      </c>
    </row>
    <row r="1797" spans="1:3" ht="41.25" thickBot="1">
      <c r="A1797" s="4" t="s">
        <v>4300</v>
      </c>
      <c r="B1797" s="5" t="s">
        <v>1566</v>
      </c>
      <c r="C1797" s="6" t="s">
        <v>4301</v>
      </c>
    </row>
    <row r="1798" spans="1:3" ht="54.75" thickBot="1">
      <c r="A1798" s="4" t="s">
        <v>4302</v>
      </c>
      <c r="B1798" s="5" t="s">
        <v>1566</v>
      </c>
      <c r="C1798" s="6" t="s">
        <v>4303</v>
      </c>
    </row>
    <row r="1799" spans="1:3" ht="17.25" thickBot="1">
      <c r="A1799" s="4" t="s">
        <v>4304</v>
      </c>
      <c r="B1799" s="5" t="s">
        <v>0</v>
      </c>
      <c r="C1799" s="6" t="s">
        <v>4305</v>
      </c>
    </row>
    <row r="1800" spans="1:3" ht="17.25" thickBot="1">
      <c r="A1800" s="4" t="s">
        <v>4306</v>
      </c>
      <c r="B1800" s="6" t="s">
        <v>1619</v>
      </c>
      <c r="C1800" s="5" t="s">
        <v>4307</v>
      </c>
    </row>
    <row r="1801" spans="1:3" ht="27.75" thickBot="1">
      <c r="A1801" s="4" t="s">
        <v>4308</v>
      </c>
      <c r="B1801" s="6" t="s">
        <v>1619</v>
      </c>
      <c r="C1801" s="6" t="s">
        <v>4309</v>
      </c>
    </row>
    <row r="1802" spans="1:3" ht="26.25" thickBot="1">
      <c r="A1802" s="4" t="s">
        <v>4310</v>
      </c>
      <c r="B1802" s="5" t="s">
        <v>1603</v>
      </c>
      <c r="C1802" s="6" t="s">
        <v>4311</v>
      </c>
    </row>
    <row r="1803" spans="1:3" ht="27.75" thickBot="1">
      <c r="A1803" s="4" t="s">
        <v>4312</v>
      </c>
      <c r="B1803" s="5" t="s">
        <v>1603</v>
      </c>
      <c r="C1803" s="6" t="s">
        <v>4313</v>
      </c>
    </row>
    <row r="1804" spans="1:3">
      <c r="A1804" s="92" t="s">
        <v>4314</v>
      </c>
      <c r="B1804" s="91" t="s">
        <v>1620</v>
      </c>
      <c r="C1804" s="8" t="s">
        <v>4315</v>
      </c>
    </row>
    <row r="1805" spans="1:3" ht="17.25" thickBot="1">
      <c r="A1805" s="98"/>
      <c r="B1805" s="97"/>
      <c r="C1805" s="5" t="s">
        <v>4316</v>
      </c>
    </row>
    <row r="1806" spans="1:3" ht="27.75" thickBot="1">
      <c r="A1806" s="4" t="s">
        <v>4317</v>
      </c>
      <c r="B1806" s="5" t="s">
        <v>1620</v>
      </c>
      <c r="C1806" s="6" t="s">
        <v>4318</v>
      </c>
    </row>
    <row r="1807" spans="1:3" ht="17.25" thickBot="1">
      <c r="A1807" s="4" t="s">
        <v>4319</v>
      </c>
      <c r="B1807" s="5" t="s">
        <v>0</v>
      </c>
      <c r="C1807" s="5" t="s">
        <v>4320</v>
      </c>
    </row>
    <row r="1808" spans="1:3" ht="27.75" thickBot="1">
      <c r="A1808" s="4" t="s">
        <v>4321</v>
      </c>
      <c r="B1808" s="5" t="s">
        <v>1603</v>
      </c>
      <c r="C1808" s="6" t="s">
        <v>4322</v>
      </c>
    </row>
    <row r="1809" spans="1:3" ht="41.25" thickBot="1">
      <c r="A1809" s="4" t="s">
        <v>4323</v>
      </c>
      <c r="B1809" s="5" t="s">
        <v>1603</v>
      </c>
      <c r="C1809" s="6" t="s">
        <v>4324</v>
      </c>
    </row>
    <row r="1810" spans="1:3" ht="41.25" thickBot="1">
      <c r="A1810" s="4" t="s">
        <v>4325</v>
      </c>
      <c r="B1810" s="5" t="s">
        <v>1603</v>
      </c>
      <c r="C1810" s="6" t="s">
        <v>4326</v>
      </c>
    </row>
    <row r="1811" spans="1:3" ht="26.25" thickBot="1">
      <c r="A1811" s="4" t="s">
        <v>1756</v>
      </c>
      <c r="B1811" s="5" t="s">
        <v>1599</v>
      </c>
      <c r="C1811" s="6" t="s">
        <v>4327</v>
      </c>
    </row>
    <row r="1812" spans="1:3" ht="26.25" thickBot="1">
      <c r="A1812" s="4" t="s">
        <v>4328</v>
      </c>
      <c r="B1812" s="5" t="s">
        <v>1599</v>
      </c>
      <c r="C1812" s="6" t="s">
        <v>4329</v>
      </c>
    </row>
    <row r="1813" spans="1:3" ht="17.25" thickBot="1">
      <c r="A1813" s="4" t="s">
        <v>4330</v>
      </c>
      <c r="B1813" s="5" t="s">
        <v>1603</v>
      </c>
      <c r="C1813" s="6" t="s">
        <v>4331</v>
      </c>
    </row>
    <row r="1814" spans="1:3" ht="17.25" thickBot="1">
      <c r="A1814" s="4" t="s">
        <v>4332</v>
      </c>
      <c r="B1814" s="5" t="s">
        <v>1603</v>
      </c>
      <c r="C1814" s="6" t="s">
        <v>4333</v>
      </c>
    </row>
    <row r="1815" spans="1:3" ht="27.75" thickBot="1">
      <c r="A1815" s="4" t="s">
        <v>4334</v>
      </c>
      <c r="B1815" s="5" t="s">
        <v>1603</v>
      </c>
      <c r="C1815" s="6" t="s">
        <v>4335</v>
      </c>
    </row>
    <row r="1816" spans="1:3" ht="17.25" thickBot="1">
      <c r="A1816" s="4" t="s">
        <v>4336</v>
      </c>
      <c r="B1816" s="5" t="s">
        <v>1603</v>
      </c>
      <c r="C1816" s="5" t="s">
        <v>4337</v>
      </c>
    </row>
    <row r="1817" spans="1:3" ht="17.25" thickBot="1">
      <c r="A1817" s="4" t="s">
        <v>4338</v>
      </c>
      <c r="B1817" s="5" t="s">
        <v>1603</v>
      </c>
      <c r="C1817" s="6" t="s">
        <v>4339</v>
      </c>
    </row>
    <row r="1818" spans="1:3" ht="17.25" thickBot="1">
      <c r="A1818" s="4" t="s">
        <v>4340</v>
      </c>
      <c r="B1818" s="5" t="s">
        <v>1603</v>
      </c>
      <c r="C1818" s="6" t="s">
        <v>4341</v>
      </c>
    </row>
    <row r="1819" spans="1:3" ht="26.25" thickBot="1">
      <c r="A1819" s="4" t="s">
        <v>4342</v>
      </c>
      <c r="B1819" s="5" t="s">
        <v>1603</v>
      </c>
      <c r="C1819" s="6" t="s">
        <v>4343</v>
      </c>
    </row>
    <row r="1820" spans="1:3" ht="17.25" thickBot="1">
      <c r="A1820" s="4" t="s">
        <v>4344</v>
      </c>
      <c r="B1820" s="5" t="s">
        <v>1603</v>
      </c>
      <c r="C1820" s="5" t="s">
        <v>4345</v>
      </c>
    </row>
    <row r="1821" spans="1:3" ht="27.75" thickBot="1">
      <c r="A1821" s="4" t="s">
        <v>4346</v>
      </c>
      <c r="B1821" s="5" t="s">
        <v>1603</v>
      </c>
      <c r="C1821" s="6" t="s">
        <v>4347</v>
      </c>
    </row>
    <row r="1822" spans="1:3" ht="26.25" thickBot="1">
      <c r="A1822" s="4" t="s">
        <v>2327</v>
      </c>
      <c r="B1822" s="5" t="s">
        <v>1603</v>
      </c>
      <c r="C1822" s="6" t="s">
        <v>4348</v>
      </c>
    </row>
    <row r="1823" spans="1:3" ht="17.25" thickBot="1">
      <c r="A1823" s="4" t="s">
        <v>4349</v>
      </c>
      <c r="B1823" s="5" t="s">
        <v>1603</v>
      </c>
      <c r="C1823" s="6" t="s">
        <v>4350</v>
      </c>
    </row>
    <row r="1824" spans="1:3">
      <c r="A1824" s="92" t="s">
        <v>4351</v>
      </c>
      <c r="B1824" s="91" t="s">
        <v>1603</v>
      </c>
      <c r="C1824" s="7" t="s">
        <v>4352</v>
      </c>
    </row>
    <row r="1825" spans="1:3" ht="17.25" thickBot="1">
      <c r="A1825" s="98"/>
      <c r="B1825" s="97"/>
      <c r="C1825" s="5" t="s">
        <v>4353</v>
      </c>
    </row>
    <row r="1826" spans="1:3" ht="27.75" thickBot="1">
      <c r="A1826" s="4" t="s">
        <v>4354</v>
      </c>
      <c r="B1826" s="5" t="s">
        <v>1603</v>
      </c>
      <c r="C1826" s="6" t="s">
        <v>4355</v>
      </c>
    </row>
    <row r="1827" spans="1:3" ht="17.25" thickBot="1">
      <c r="A1827" s="4" t="s">
        <v>4356</v>
      </c>
      <c r="B1827" s="5" t="s">
        <v>1603</v>
      </c>
      <c r="C1827" s="5" t="s">
        <v>4357</v>
      </c>
    </row>
    <row r="1828" spans="1:3" ht="27.75" thickBot="1">
      <c r="A1828" s="4" t="s">
        <v>4358</v>
      </c>
      <c r="B1828" s="5" t="s">
        <v>1603</v>
      </c>
      <c r="C1828" s="6" t="s">
        <v>4359</v>
      </c>
    </row>
    <row r="1829" spans="1:3" ht="17.25" thickBot="1">
      <c r="A1829" s="4" t="s">
        <v>4360</v>
      </c>
      <c r="B1829" s="5" t="s">
        <v>1603</v>
      </c>
      <c r="C1829" s="6" t="s">
        <v>4361</v>
      </c>
    </row>
    <row r="1830" spans="1:3" ht="17.25" thickBot="1">
      <c r="A1830" s="4" t="s">
        <v>4362</v>
      </c>
      <c r="B1830" s="5" t="s">
        <v>1603</v>
      </c>
      <c r="C1830" s="5" t="s">
        <v>4363</v>
      </c>
    </row>
    <row r="1831" spans="1:3" ht="17.25" thickBot="1">
      <c r="A1831" s="4" t="s">
        <v>4364</v>
      </c>
      <c r="B1831" s="5" t="s">
        <v>1603</v>
      </c>
      <c r="C1831" s="6" t="s">
        <v>4365</v>
      </c>
    </row>
    <row r="1832" spans="1:3">
      <c r="A1832" s="92" t="s">
        <v>4366</v>
      </c>
      <c r="B1832" s="91" t="s">
        <v>1603</v>
      </c>
      <c r="C1832" s="7" t="s">
        <v>4367</v>
      </c>
    </row>
    <row r="1833" spans="1:3" ht="26.25" thickBot="1">
      <c r="A1833" s="98"/>
      <c r="B1833" s="97"/>
      <c r="C1833" s="6" t="s">
        <v>4368</v>
      </c>
    </row>
    <row r="1834" spans="1:3" ht="17.25" thickBot="1">
      <c r="A1834" s="4" t="s">
        <v>4369</v>
      </c>
      <c r="B1834" s="5" t="s">
        <v>1603</v>
      </c>
      <c r="C1834" s="6" t="s">
        <v>4370</v>
      </c>
    </row>
    <row r="1835" spans="1:3" ht="17.25" thickBot="1">
      <c r="A1835" s="4" t="s">
        <v>4371</v>
      </c>
      <c r="B1835" s="5" t="s">
        <v>1603</v>
      </c>
      <c r="C1835" s="6" t="s">
        <v>4372</v>
      </c>
    </row>
    <row r="1836" spans="1:3" ht="17.25" thickBot="1">
      <c r="A1836" s="4" t="s">
        <v>4373</v>
      </c>
      <c r="B1836" s="5" t="s">
        <v>1603</v>
      </c>
      <c r="C1836" s="6" t="s">
        <v>4374</v>
      </c>
    </row>
    <row r="1837" spans="1:3" ht="27.75" thickBot="1">
      <c r="A1837" s="4" t="s">
        <v>4375</v>
      </c>
      <c r="B1837" s="5" t="s">
        <v>1603</v>
      </c>
      <c r="C1837" s="6" t="s">
        <v>4376</v>
      </c>
    </row>
    <row r="1838" spans="1:3" ht="17.25" thickBot="1">
      <c r="A1838" s="4" t="s">
        <v>4377</v>
      </c>
      <c r="B1838" s="5" t="s">
        <v>1603</v>
      </c>
      <c r="C1838" s="6" t="s">
        <v>4378</v>
      </c>
    </row>
    <row r="1839" spans="1:3" ht="17.25" thickBot="1">
      <c r="A1839" s="4" t="s">
        <v>4379</v>
      </c>
      <c r="B1839" s="5" t="s">
        <v>1603</v>
      </c>
      <c r="C1839" s="5" t="s">
        <v>4380</v>
      </c>
    </row>
    <row r="1840" spans="1:3" ht="27">
      <c r="A1840" s="92" t="s">
        <v>4381</v>
      </c>
      <c r="B1840" s="91" t="s">
        <v>1603</v>
      </c>
      <c r="C1840" s="7" t="s">
        <v>4382</v>
      </c>
    </row>
    <row r="1841" spans="1:3" ht="17.25" thickBot="1">
      <c r="A1841" s="98"/>
      <c r="B1841" s="97"/>
      <c r="C1841" s="5" t="s">
        <v>4383</v>
      </c>
    </row>
    <row r="1842" spans="1:3" ht="27">
      <c r="A1842" s="92" t="s">
        <v>4384</v>
      </c>
      <c r="B1842" s="91" t="s">
        <v>1603</v>
      </c>
      <c r="C1842" s="8" t="s">
        <v>4385</v>
      </c>
    </row>
    <row r="1843" spans="1:3">
      <c r="A1843" s="171"/>
      <c r="B1843" s="170"/>
      <c r="C1843" s="7" t="s">
        <v>4386</v>
      </c>
    </row>
    <row r="1844" spans="1:3" ht="17.25" thickBot="1">
      <c r="A1844" s="98"/>
      <c r="B1844" s="97"/>
      <c r="C1844" s="5" t="s">
        <v>4387</v>
      </c>
    </row>
    <row r="1845" spans="1:3" ht="17.25" thickBot="1">
      <c r="A1845" s="4" t="s">
        <v>4388</v>
      </c>
      <c r="B1845" s="5" t="s">
        <v>1603</v>
      </c>
      <c r="C1845" s="5" t="s">
        <v>4389</v>
      </c>
    </row>
    <row r="1846" spans="1:3" ht="17.25" thickBot="1">
      <c r="A1846" s="4" t="s">
        <v>4390</v>
      </c>
      <c r="B1846" s="5" t="s">
        <v>1566</v>
      </c>
      <c r="C1846" s="5" t="s">
        <v>4391</v>
      </c>
    </row>
    <row r="1847" spans="1:3" ht="17.25" thickBot="1">
      <c r="A1847" s="4" t="s">
        <v>4392</v>
      </c>
      <c r="B1847" s="5" t="s">
        <v>1603</v>
      </c>
      <c r="C1847" s="5" t="s">
        <v>4393</v>
      </c>
    </row>
    <row r="1848" spans="1:3" ht="17.25" thickBot="1">
      <c r="A1848" s="4" t="s">
        <v>4394</v>
      </c>
      <c r="B1848" s="5" t="s">
        <v>0</v>
      </c>
      <c r="C1848" s="5" t="s">
        <v>4395</v>
      </c>
    </row>
    <row r="1849" spans="1:3">
      <c r="A1849" s="117" t="s">
        <v>4396</v>
      </c>
    </row>
    <row r="1850" spans="1:3" ht="17.25" thickBot="1">
      <c r="A1850" s="115" t="s">
        <v>4413</v>
      </c>
      <c r="B1850" s="115" t="s">
        <v>4414</v>
      </c>
    </row>
    <row r="1851" spans="1:3" ht="17.25" thickBot="1">
      <c r="A1851" s="102" t="s">
        <v>3203</v>
      </c>
      <c r="B1851" s="103" t="s">
        <v>1592</v>
      </c>
      <c r="C1851" s="103" t="s">
        <v>1593</v>
      </c>
    </row>
    <row r="1852" spans="1:3" ht="17.25" thickBot="1">
      <c r="A1852" s="145" t="s">
        <v>4416</v>
      </c>
      <c r="B1852" s="5" t="s">
        <v>4027</v>
      </c>
      <c r="C1852" s="5"/>
    </row>
    <row r="1853" spans="1:3" ht="17.25" thickBot="1">
      <c r="A1853" s="145" t="s">
        <v>4417</v>
      </c>
      <c r="B1853" s="5" t="s">
        <v>1566</v>
      </c>
      <c r="C1853" s="6" t="s">
        <v>4418</v>
      </c>
    </row>
    <row r="1854" spans="1:3" ht="30.75" thickBot="1">
      <c r="A1854" s="145" t="s">
        <v>4419</v>
      </c>
      <c r="B1854" s="5" t="s">
        <v>4420</v>
      </c>
      <c r="C1854" s="5" t="s">
        <v>4421</v>
      </c>
    </row>
    <row r="1855" spans="1:3" ht="30.75" thickBot="1">
      <c r="A1855" s="145" t="s">
        <v>4422</v>
      </c>
      <c r="B1855" s="5" t="s">
        <v>1566</v>
      </c>
      <c r="C1855" s="6" t="s">
        <v>4423</v>
      </c>
    </row>
    <row r="1856" spans="1:3" ht="38.25">
      <c r="A1856" s="176" t="s">
        <v>4424</v>
      </c>
      <c r="B1856" s="91" t="s">
        <v>1566</v>
      </c>
      <c r="C1856" s="7" t="s">
        <v>4425</v>
      </c>
    </row>
    <row r="1857" spans="1:3" ht="26.25" thickBot="1">
      <c r="A1857" s="177"/>
      <c r="B1857" s="97"/>
      <c r="C1857" s="6" t="s">
        <v>4426</v>
      </c>
    </row>
    <row r="1858" spans="1:3" ht="38.25">
      <c r="A1858" s="144" t="s">
        <v>4427</v>
      </c>
      <c r="B1858" s="91" t="s">
        <v>2698</v>
      </c>
      <c r="C1858" s="91" t="s">
        <v>4429</v>
      </c>
    </row>
    <row r="1859" spans="1:3" ht="17.25" thickBot="1">
      <c r="A1859" s="145" t="s">
        <v>4428</v>
      </c>
      <c r="B1859" s="97"/>
      <c r="C1859" s="97"/>
    </row>
    <row r="1860" spans="1:3">
      <c r="A1860" s="117" t="s">
        <v>4430</v>
      </c>
    </row>
    <row r="1861" spans="1:3" ht="17.25" thickBot="1">
      <c r="A1861" s="115" t="s">
        <v>4431</v>
      </c>
      <c r="B1861" s="115" t="s">
        <v>4432</v>
      </c>
    </row>
    <row r="1862" spans="1:3" ht="17.25" thickBot="1">
      <c r="A1862" s="102" t="s">
        <v>1591</v>
      </c>
      <c r="B1862" s="103" t="s">
        <v>1592</v>
      </c>
      <c r="C1862" s="103" t="s">
        <v>1593</v>
      </c>
    </row>
    <row r="1863" spans="1:3" ht="17.25" thickBot="1">
      <c r="A1863" s="4" t="s">
        <v>3954</v>
      </c>
      <c r="B1863" s="5" t="s">
        <v>5040</v>
      </c>
      <c r="C1863" s="6" t="s">
        <v>2050</v>
      </c>
    </row>
    <row r="1864" spans="1:3" ht="27.75" thickBot="1">
      <c r="A1864" s="4" t="s">
        <v>4435</v>
      </c>
      <c r="B1864" s="5" t="s">
        <v>5040</v>
      </c>
      <c r="C1864" s="6" t="s">
        <v>4436</v>
      </c>
    </row>
    <row r="1865" spans="1:3" ht="27.75" thickBot="1">
      <c r="A1865" s="92" t="s">
        <v>4437</v>
      </c>
      <c r="B1865" s="5" t="s">
        <v>5040</v>
      </c>
      <c r="C1865" s="7" t="s">
        <v>4438</v>
      </c>
    </row>
    <row r="1866" spans="1:3" ht="26.25" thickBot="1">
      <c r="A1866" s="98"/>
      <c r="B1866" s="5"/>
      <c r="C1866" s="6" t="s">
        <v>4439</v>
      </c>
    </row>
    <row r="1867" spans="1:3" ht="27.75" thickBot="1">
      <c r="A1867" s="4" t="s">
        <v>4440</v>
      </c>
      <c r="B1867" s="5" t="s">
        <v>5040</v>
      </c>
      <c r="C1867" s="6" t="s">
        <v>4441</v>
      </c>
    </row>
    <row r="1868" spans="1:3" ht="27.75" thickBot="1">
      <c r="A1868" s="4" t="s">
        <v>4442</v>
      </c>
      <c r="B1868" s="5" t="s">
        <v>5040</v>
      </c>
      <c r="C1868" s="5" t="s">
        <v>4443</v>
      </c>
    </row>
    <row r="1869" spans="1:3" ht="27.75" thickBot="1">
      <c r="A1869" s="4" t="s">
        <v>4444</v>
      </c>
      <c r="B1869" s="5" t="s">
        <v>5040</v>
      </c>
      <c r="C1869" s="6" t="s">
        <v>4445</v>
      </c>
    </row>
    <row r="1870" spans="1:3" ht="17.25" thickBot="1">
      <c r="A1870" s="4" t="s">
        <v>4446</v>
      </c>
      <c r="B1870" s="5" t="s">
        <v>5040</v>
      </c>
      <c r="C1870" s="6" t="s">
        <v>4447</v>
      </c>
    </row>
    <row r="1871" spans="1:3" ht="27.75" thickBot="1">
      <c r="A1871" s="4" t="s">
        <v>4448</v>
      </c>
      <c r="B1871" s="5" t="s">
        <v>5040</v>
      </c>
      <c r="C1871" s="6" t="s">
        <v>4449</v>
      </c>
    </row>
    <row r="1872" spans="1:3" ht="17.25" thickBot="1">
      <c r="A1872" s="4" t="s">
        <v>1932</v>
      </c>
      <c r="B1872" s="5" t="s">
        <v>5040</v>
      </c>
      <c r="C1872" s="6" t="s">
        <v>4450</v>
      </c>
    </row>
    <row r="1873" spans="1:3" ht="17.25" thickBot="1">
      <c r="A1873" s="92" t="s">
        <v>4451</v>
      </c>
      <c r="B1873" s="5" t="s">
        <v>5040</v>
      </c>
      <c r="C1873" s="8" t="s">
        <v>4452</v>
      </c>
    </row>
    <row r="1874" spans="1:3" ht="17.25" thickBot="1">
      <c r="A1874" s="98"/>
      <c r="B1874" s="97"/>
      <c r="C1874" s="5" t="s">
        <v>4453</v>
      </c>
    </row>
    <row r="1875" spans="1:3" ht="25.5">
      <c r="A1875" s="92" t="s">
        <v>4454</v>
      </c>
      <c r="B1875" s="8" t="s">
        <v>1557</v>
      </c>
      <c r="C1875" s="91" t="s">
        <v>4455</v>
      </c>
    </row>
    <row r="1876" spans="1:3" ht="17.25" thickBot="1">
      <c r="A1876" s="98"/>
      <c r="B1876" s="5" t="s">
        <v>1599</v>
      </c>
      <c r="C1876" s="97"/>
    </row>
    <row r="1877" spans="1:3" ht="26.25" thickBot="1">
      <c r="A1877" s="4" t="s">
        <v>4456</v>
      </c>
      <c r="B1877" s="5" t="s">
        <v>4457</v>
      </c>
      <c r="C1877" s="5" t="s">
        <v>4458</v>
      </c>
    </row>
    <row r="1878" spans="1:3" ht="27.75" thickBot="1">
      <c r="A1878" s="4" t="s">
        <v>4459</v>
      </c>
      <c r="B1878" s="5" t="s">
        <v>1628</v>
      </c>
      <c r="C1878" s="6" t="s">
        <v>4460</v>
      </c>
    </row>
    <row r="1879" spans="1:3" ht="17.25" thickBot="1">
      <c r="A1879" s="4" t="s">
        <v>4461</v>
      </c>
      <c r="B1879" s="5" t="s">
        <v>1599</v>
      </c>
      <c r="C1879" s="5" t="s">
        <v>4462</v>
      </c>
    </row>
    <row r="1880" spans="1:3" ht="17.25" thickBot="1">
      <c r="A1880" s="4" t="s">
        <v>4463</v>
      </c>
      <c r="B1880" s="5" t="s">
        <v>1599</v>
      </c>
      <c r="C1880" s="5" t="s">
        <v>4464</v>
      </c>
    </row>
    <row r="1881" spans="1:3" ht="27.75" thickBot="1">
      <c r="A1881" s="4" t="s">
        <v>4465</v>
      </c>
      <c r="B1881" s="5" t="s">
        <v>1628</v>
      </c>
      <c r="C1881" s="6" t="s">
        <v>4466</v>
      </c>
    </row>
    <row r="1882" spans="1:3" ht="17.25" thickBot="1">
      <c r="A1882" s="99" t="s">
        <v>1591</v>
      </c>
      <c r="B1882" s="100" t="s">
        <v>1592</v>
      </c>
      <c r="C1882" s="100" t="s">
        <v>1593</v>
      </c>
    </row>
    <row r="1883" spans="1:3" ht="17.25" thickBot="1">
      <c r="A1883" s="4" t="s">
        <v>4467</v>
      </c>
      <c r="B1883" s="5" t="s">
        <v>1599</v>
      </c>
      <c r="C1883" s="6" t="s">
        <v>4468</v>
      </c>
    </row>
    <row r="1884" spans="1:3" ht="17.25" thickBot="1">
      <c r="A1884" s="4" t="s">
        <v>4469</v>
      </c>
      <c r="B1884" s="5" t="s">
        <v>1599</v>
      </c>
      <c r="C1884" s="6" t="s">
        <v>4470</v>
      </c>
    </row>
    <row r="1885" spans="1:3">
      <c r="A1885" s="117" t="s">
        <v>4471</v>
      </c>
    </row>
    <row r="1886" spans="1:3" ht="17.25" thickBot="1">
      <c r="A1886" s="115" t="s">
        <v>4472</v>
      </c>
      <c r="B1886" s="115" t="s">
        <v>4473</v>
      </c>
    </row>
    <row r="1887" spans="1:3" ht="17.25" thickBot="1">
      <c r="A1887" s="102" t="s">
        <v>1591</v>
      </c>
      <c r="B1887" s="103" t="s">
        <v>1635</v>
      </c>
      <c r="C1887" s="103" t="s">
        <v>1593</v>
      </c>
    </row>
    <row r="1888" spans="1:3" ht="17.25" thickBot="1">
      <c r="A1888" s="4" t="s">
        <v>2269</v>
      </c>
      <c r="B1888" s="5" t="s">
        <v>1603</v>
      </c>
      <c r="C1888" s="5" t="s">
        <v>4474</v>
      </c>
    </row>
    <row r="1889" spans="1:3" ht="17.25" thickBot="1">
      <c r="A1889" s="4" t="s">
        <v>2271</v>
      </c>
      <c r="B1889" s="5" t="s">
        <v>1603</v>
      </c>
      <c r="C1889" s="5" t="s">
        <v>4475</v>
      </c>
    </row>
    <row r="1890" spans="1:3">
      <c r="A1890" s="92" t="s">
        <v>2289</v>
      </c>
      <c r="B1890" s="91" t="s">
        <v>1603</v>
      </c>
      <c r="C1890" s="8" t="s">
        <v>4476</v>
      </c>
    </row>
    <row r="1891" spans="1:3" ht="17.25" thickBot="1">
      <c r="A1891" s="98"/>
      <c r="B1891" s="97"/>
      <c r="C1891" s="5" t="s">
        <v>4477</v>
      </c>
    </row>
    <row r="1892" spans="1:3" ht="17.25" thickBot="1">
      <c r="A1892" s="4" t="s">
        <v>4479</v>
      </c>
      <c r="B1892" s="5" t="s">
        <v>2982</v>
      </c>
      <c r="C1892" s="5" t="s">
        <v>4480</v>
      </c>
    </row>
    <row r="1893" spans="1:3" ht="17.25" thickBot="1">
      <c r="A1893" s="4" t="s">
        <v>3659</v>
      </c>
      <c r="B1893" s="5" t="s">
        <v>4481</v>
      </c>
      <c r="C1893" s="5" t="s">
        <v>4482</v>
      </c>
    </row>
    <row r="1894" spans="1:3" ht="17.25" thickBot="1">
      <c r="A1894" s="4" t="s">
        <v>4483</v>
      </c>
      <c r="B1894" s="5" t="s">
        <v>1622</v>
      </c>
      <c r="C1894" s="6" t="s">
        <v>4484</v>
      </c>
    </row>
    <row r="1895" spans="1:3" ht="17.25" thickBot="1">
      <c r="A1895" s="4" t="s">
        <v>4485</v>
      </c>
      <c r="B1895" s="5" t="s">
        <v>1622</v>
      </c>
      <c r="C1895" s="6" t="s">
        <v>4486</v>
      </c>
    </row>
    <row r="1896" spans="1:3">
      <c r="A1896" s="117" t="s">
        <v>4487</v>
      </c>
    </row>
    <row r="1897" spans="1:3" ht="17.25" thickBot="1">
      <c r="A1897" s="115" t="s">
        <v>4496</v>
      </c>
      <c r="B1897" s="115" t="s">
        <v>4497</v>
      </c>
    </row>
    <row r="1898" spans="1:3" ht="17.25" thickBot="1">
      <c r="A1898" s="102" t="s">
        <v>1591</v>
      </c>
      <c r="B1898" s="103" t="s">
        <v>1635</v>
      </c>
      <c r="C1898" s="103" t="s">
        <v>1593</v>
      </c>
    </row>
    <row r="1899" spans="1:3">
      <c r="A1899" s="92" t="s">
        <v>2002</v>
      </c>
      <c r="B1899" s="8" t="s">
        <v>1603</v>
      </c>
      <c r="C1899" s="91" t="s">
        <v>4498</v>
      </c>
    </row>
    <row r="1900" spans="1:3" ht="17.25" thickBot="1">
      <c r="A1900" s="98"/>
      <c r="B1900" s="5" t="s">
        <v>1550</v>
      </c>
      <c r="C1900" s="97"/>
    </row>
    <row r="1901" spans="1:3">
      <c r="A1901" s="92" t="s">
        <v>4499</v>
      </c>
      <c r="B1901" s="8" t="s">
        <v>2112</v>
      </c>
      <c r="C1901" s="91" t="s">
        <v>4500</v>
      </c>
    </row>
    <row r="1902" spans="1:3" ht="17.25" thickBot="1">
      <c r="A1902" s="98"/>
      <c r="B1902" s="5" t="s">
        <v>2657</v>
      </c>
      <c r="C1902" s="97"/>
    </row>
    <row r="1903" spans="1:3">
      <c r="A1903" s="92" t="s">
        <v>4499</v>
      </c>
      <c r="B1903" s="8" t="s">
        <v>1566</v>
      </c>
      <c r="C1903" s="91" t="s">
        <v>4501</v>
      </c>
    </row>
    <row r="1904" spans="1:3" ht="17.25" thickBot="1">
      <c r="A1904" s="98"/>
      <c r="B1904" s="5" t="s">
        <v>1550</v>
      </c>
      <c r="C1904" s="97"/>
    </row>
    <row r="1905" spans="1:3">
      <c r="A1905" s="92" t="s">
        <v>2002</v>
      </c>
      <c r="B1905" s="8" t="s">
        <v>4502</v>
      </c>
      <c r="C1905" s="91" t="s">
        <v>4504</v>
      </c>
    </row>
    <row r="1906" spans="1:3">
      <c r="A1906" s="171"/>
      <c r="B1906" s="8" t="s">
        <v>4503</v>
      </c>
      <c r="C1906" s="170"/>
    </row>
    <row r="1907" spans="1:3" ht="17.25" thickBot="1">
      <c r="A1907" s="98"/>
      <c r="B1907" s="5" t="s">
        <v>1550</v>
      </c>
      <c r="C1907" s="97"/>
    </row>
    <row r="1908" spans="1:3" ht="17.25" thickBot="1">
      <c r="A1908" s="4" t="s">
        <v>4505</v>
      </c>
      <c r="B1908" s="5" t="s">
        <v>2119</v>
      </c>
      <c r="C1908" s="5" t="s">
        <v>4506</v>
      </c>
    </row>
    <row r="1909" spans="1:3" ht="25.5">
      <c r="A1909" s="92" t="s">
        <v>4507</v>
      </c>
      <c r="B1909" s="8" t="s">
        <v>1566</v>
      </c>
      <c r="C1909" s="91" t="s">
        <v>4508</v>
      </c>
    </row>
    <row r="1910" spans="1:3" ht="17.25" thickBot="1">
      <c r="A1910" s="98"/>
      <c r="B1910" s="5" t="s">
        <v>2523</v>
      </c>
      <c r="C1910" s="97"/>
    </row>
    <row r="1911" spans="1:3" ht="17.25" thickBot="1">
      <c r="A1911" s="4" t="s">
        <v>4509</v>
      </c>
      <c r="B1911" s="5" t="s">
        <v>2119</v>
      </c>
      <c r="C1911" s="6" t="s">
        <v>4510</v>
      </c>
    </row>
    <row r="1912" spans="1:3">
      <c r="A1912" s="92" t="s">
        <v>2129</v>
      </c>
      <c r="B1912" s="8" t="s">
        <v>2660</v>
      </c>
      <c r="C1912" s="91" t="s">
        <v>4511</v>
      </c>
    </row>
    <row r="1913" spans="1:3" ht="17.25" thickBot="1">
      <c r="A1913" s="98"/>
      <c r="B1913" s="5" t="s">
        <v>2884</v>
      </c>
      <c r="C1913" s="97"/>
    </row>
    <row r="1914" spans="1:3">
      <c r="A1914" s="92" t="s">
        <v>4512</v>
      </c>
      <c r="B1914" s="8" t="s">
        <v>1603</v>
      </c>
      <c r="C1914" s="91" t="s">
        <v>4513</v>
      </c>
    </row>
    <row r="1915" spans="1:3" ht="17.25" thickBot="1">
      <c r="A1915" s="98"/>
      <c r="B1915" s="5" t="s">
        <v>1550</v>
      </c>
      <c r="C1915" s="97"/>
    </row>
    <row r="1916" spans="1:3">
      <c r="A1916" s="92" t="s">
        <v>2127</v>
      </c>
      <c r="B1916" s="8" t="s">
        <v>1566</v>
      </c>
      <c r="C1916" s="91" t="s">
        <v>4514</v>
      </c>
    </row>
    <row r="1917" spans="1:3" ht="17.25" thickBot="1">
      <c r="A1917" s="98"/>
      <c r="B1917" s="5" t="s">
        <v>1550</v>
      </c>
      <c r="C1917" s="97"/>
    </row>
    <row r="1918" spans="1:3" ht="17.25" thickBot="1">
      <c r="A1918" s="4" t="s">
        <v>1903</v>
      </c>
      <c r="B1918" s="5" t="s">
        <v>1603</v>
      </c>
      <c r="C1918" s="5" t="s">
        <v>2012</v>
      </c>
    </row>
    <row r="1919" spans="1:3" ht="17.25" thickBot="1">
      <c r="A1919" s="4" t="s">
        <v>1912</v>
      </c>
      <c r="B1919" s="5" t="s">
        <v>1603</v>
      </c>
      <c r="C1919" s="5" t="s">
        <v>2013</v>
      </c>
    </row>
    <row r="1920" spans="1:3" ht="17.25" thickBot="1">
      <c r="A1920" s="4" t="s">
        <v>1915</v>
      </c>
      <c r="B1920" s="5" t="s">
        <v>1624</v>
      </c>
      <c r="C1920" s="5" t="s">
        <v>2014</v>
      </c>
    </row>
    <row r="1921" spans="1:3" ht="17.25" thickBot="1">
      <c r="A1921" s="4" t="s">
        <v>1775</v>
      </c>
      <c r="B1921" s="6" t="s">
        <v>1632</v>
      </c>
      <c r="C1921" s="5" t="s">
        <v>4516</v>
      </c>
    </row>
    <row r="1922" spans="1:3" ht="17.25" thickBot="1">
      <c r="A1922" s="4" t="s">
        <v>4517</v>
      </c>
      <c r="B1922" s="6" t="s">
        <v>1632</v>
      </c>
      <c r="C1922" s="6" t="s">
        <v>4518</v>
      </c>
    </row>
    <row r="1923" spans="1:3" ht="17.25" thickBot="1">
      <c r="A1923" s="4" t="s">
        <v>2021</v>
      </c>
      <c r="B1923" s="6" t="s">
        <v>1632</v>
      </c>
      <c r="C1923" s="5" t="s">
        <v>2022</v>
      </c>
    </row>
    <row r="1924" spans="1:3" ht="17.25" thickBot="1">
      <c r="A1924" s="4" t="s">
        <v>2028</v>
      </c>
      <c r="B1924" s="6" t="s">
        <v>1632</v>
      </c>
      <c r="C1924" s="5" t="s">
        <v>4004</v>
      </c>
    </row>
    <row r="1925" spans="1:3" ht="17.25" thickBot="1">
      <c r="A1925" s="4" t="s">
        <v>2023</v>
      </c>
      <c r="B1925" s="6" t="s">
        <v>1632</v>
      </c>
      <c r="C1925" s="5" t="s">
        <v>2158</v>
      </c>
    </row>
    <row r="1926" spans="1:3" ht="27.75" thickBot="1">
      <c r="A1926" s="4" t="s">
        <v>4519</v>
      </c>
      <c r="B1926" s="6" t="s">
        <v>1632</v>
      </c>
      <c r="C1926" s="6" t="s">
        <v>4520</v>
      </c>
    </row>
    <row r="1927" spans="1:3" ht="17.25" thickBot="1">
      <c r="A1927" s="4" t="s">
        <v>2019</v>
      </c>
      <c r="B1927" s="5" t="s">
        <v>1625</v>
      </c>
      <c r="C1927" s="6" t="s">
        <v>2160</v>
      </c>
    </row>
    <row r="1928" spans="1:3" ht="17.25" thickBot="1">
      <c r="A1928" s="4" t="s">
        <v>1922</v>
      </c>
      <c r="B1928" s="5" t="s">
        <v>1566</v>
      </c>
      <c r="C1928" s="5" t="s">
        <v>2161</v>
      </c>
    </row>
    <row r="1929" spans="1:3" ht="17.25" thickBot="1">
      <c r="A1929" s="4" t="s">
        <v>1924</v>
      </c>
      <c r="B1929" s="5" t="s">
        <v>1603</v>
      </c>
      <c r="C1929" s="6" t="s">
        <v>4521</v>
      </c>
    </row>
    <row r="1930" spans="1:3" ht="17.25" thickBot="1">
      <c r="A1930" s="99" t="s">
        <v>1591</v>
      </c>
      <c r="B1930" s="100" t="s">
        <v>1592</v>
      </c>
      <c r="C1930" s="100" t="s">
        <v>1593</v>
      </c>
    </row>
    <row r="1931" spans="1:3" ht="38.25">
      <c r="A1931" s="144" t="s">
        <v>4522</v>
      </c>
      <c r="B1931" s="91" t="s">
        <v>1632</v>
      </c>
      <c r="C1931" s="7" t="s">
        <v>4524</v>
      </c>
    </row>
    <row r="1932" spans="1:3">
      <c r="A1932" s="144" t="s">
        <v>4523</v>
      </c>
      <c r="B1932" s="170"/>
      <c r="C1932" s="7" t="s">
        <v>4525</v>
      </c>
    </row>
    <row r="1933" spans="1:3">
      <c r="A1933" s="112"/>
      <c r="B1933" s="170"/>
      <c r="C1933" s="8" t="s">
        <v>4526</v>
      </c>
    </row>
    <row r="1934" spans="1:3">
      <c r="A1934" s="112"/>
      <c r="B1934" s="170"/>
      <c r="C1934" s="7" t="s">
        <v>4527</v>
      </c>
    </row>
    <row r="1935" spans="1:3" ht="17.25" thickBot="1">
      <c r="A1935" s="113"/>
      <c r="B1935" s="97"/>
      <c r="C1935" s="6" t="s">
        <v>4528</v>
      </c>
    </row>
    <row r="1936" spans="1:3">
      <c r="A1936" s="117" t="s">
        <v>4529</v>
      </c>
    </row>
    <row r="1937" spans="1:4">
      <c r="A1937" s="115" t="s">
        <v>4549</v>
      </c>
      <c r="B1937" s="115" t="s">
        <v>4550</v>
      </c>
    </row>
    <row r="1938" spans="1:4" ht="17.25" thickBot="1">
      <c r="A1938" s="126" t="s">
        <v>1874</v>
      </c>
    </row>
    <row r="1939" spans="1:4" ht="17.25" thickBot="1">
      <c r="A1939" s="102" t="s">
        <v>1591</v>
      </c>
      <c r="B1939" s="103" t="s">
        <v>1635</v>
      </c>
      <c r="C1939" s="103" t="s">
        <v>1593</v>
      </c>
    </row>
    <row r="1940" spans="1:4">
      <c r="A1940" s="92" t="s">
        <v>2002</v>
      </c>
      <c r="B1940" s="7" t="s">
        <v>2116</v>
      </c>
      <c r="C1940" s="91" t="s">
        <v>4551</v>
      </c>
    </row>
    <row r="1941" spans="1:4">
      <c r="A1941" s="171"/>
      <c r="B1941" s="8" t="s">
        <v>1603</v>
      </c>
      <c r="C1941" s="170"/>
    </row>
    <row r="1942" spans="1:4" ht="17.25" thickBot="1">
      <c r="A1942" s="98"/>
      <c r="B1942" s="5" t="s">
        <v>2349</v>
      </c>
      <c r="C1942" s="97"/>
    </row>
    <row r="1943" spans="1:4">
      <c r="A1943" s="92" t="s">
        <v>4552</v>
      </c>
      <c r="B1943" s="8" t="s">
        <v>2660</v>
      </c>
      <c r="C1943" s="91" t="s">
        <v>4553</v>
      </c>
    </row>
    <row r="1944" spans="1:4" ht="17.25" thickBot="1">
      <c r="A1944" s="98"/>
      <c r="B1944" s="5" t="s">
        <v>2884</v>
      </c>
      <c r="C1944" s="97"/>
    </row>
    <row r="1945" spans="1:4">
      <c r="A1945" s="117" t="s">
        <v>4554</v>
      </c>
    </row>
    <row r="1946" spans="1:4" ht="17.25" thickBot="1">
      <c r="A1946" s="126" t="s">
        <v>1646</v>
      </c>
    </row>
    <row r="1947" spans="1:4" ht="17.25" thickBot="1">
      <c r="A1947" s="102" t="s">
        <v>1591</v>
      </c>
      <c r="B1947" s="103" t="s">
        <v>1592</v>
      </c>
      <c r="C1947" s="172" t="s">
        <v>1593</v>
      </c>
      <c r="D1947" s="173"/>
    </row>
    <row r="1948" spans="1:4">
      <c r="A1948" s="92" t="s">
        <v>1903</v>
      </c>
      <c r="B1948" s="91" t="s">
        <v>1603</v>
      </c>
      <c r="C1948" s="179" t="s">
        <v>4555</v>
      </c>
      <c r="D1948" s="180"/>
    </row>
    <row r="1949" spans="1:4" ht="17.25" thickBot="1">
      <c r="A1949" s="98"/>
      <c r="B1949" s="97"/>
      <c r="C1949" s="181" t="s">
        <v>4556</v>
      </c>
      <c r="D1949" s="182"/>
    </row>
    <row r="1950" spans="1:4">
      <c r="A1950" s="92" t="s">
        <v>1912</v>
      </c>
      <c r="B1950" s="91" t="s">
        <v>1603</v>
      </c>
      <c r="C1950" s="179" t="s">
        <v>4557</v>
      </c>
      <c r="D1950" s="180"/>
    </row>
    <row r="1951" spans="1:4" ht="17.25" thickBot="1">
      <c r="A1951" s="98"/>
      <c r="B1951" s="97"/>
      <c r="C1951" s="181" t="s">
        <v>4558</v>
      </c>
      <c r="D1951" s="182"/>
    </row>
    <row r="1952" spans="1:4" ht="17.25" thickBot="1">
      <c r="A1952" s="4" t="s">
        <v>1915</v>
      </c>
      <c r="B1952" s="5" t="s">
        <v>1624</v>
      </c>
      <c r="C1952" s="174" t="s">
        <v>2014</v>
      </c>
      <c r="D1952" s="175"/>
    </row>
    <row r="1953" spans="1:4" ht="17.25" thickBot="1">
      <c r="A1953" s="4" t="s">
        <v>1775</v>
      </c>
      <c r="B1953" s="6" t="s">
        <v>1632</v>
      </c>
      <c r="C1953" s="174" t="s">
        <v>4559</v>
      </c>
      <c r="D1953" s="175"/>
    </row>
    <row r="1954" spans="1:4" ht="17.25" thickBot="1">
      <c r="A1954" s="4" t="s">
        <v>4560</v>
      </c>
      <c r="B1954" s="5" t="s">
        <v>1603</v>
      </c>
      <c r="C1954" s="174" t="s">
        <v>4561</v>
      </c>
      <c r="D1954" s="175"/>
    </row>
    <row r="1955" spans="1:4" ht="27.75" thickBot="1">
      <c r="A1955" s="4" t="s">
        <v>4562</v>
      </c>
      <c r="B1955" s="6" t="s">
        <v>1632</v>
      </c>
      <c r="C1955" s="111" t="s">
        <v>4563</v>
      </c>
      <c r="D1955" s="6" t="s">
        <v>4914</v>
      </c>
    </row>
    <row r="1956" spans="1:4" ht="26.25" thickBot="1">
      <c r="A1956" s="4" t="s">
        <v>4564</v>
      </c>
      <c r="B1956" s="5" t="s">
        <v>4565</v>
      </c>
      <c r="C1956" s="111" t="s">
        <v>4566</v>
      </c>
      <c r="D1956" s="5" t="s">
        <v>4915</v>
      </c>
    </row>
    <row r="1957" spans="1:4" ht="26.25" thickBot="1">
      <c r="A1957" s="4" t="s">
        <v>4567</v>
      </c>
      <c r="B1957" s="6" t="s">
        <v>1632</v>
      </c>
      <c r="C1957" s="111" t="s">
        <v>4568</v>
      </c>
      <c r="D1957" s="5" t="s">
        <v>4915</v>
      </c>
    </row>
    <row r="1958" spans="1:4" ht="27.75" thickBot="1">
      <c r="A1958" s="4" t="s">
        <v>4569</v>
      </c>
      <c r="B1958" s="6" t="s">
        <v>1632</v>
      </c>
      <c r="C1958" s="111" t="s">
        <v>4568</v>
      </c>
      <c r="D1958" s="5" t="s">
        <v>4915</v>
      </c>
    </row>
    <row r="1959" spans="1:4" ht="17.25" thickBot="1">
      <c r="A1959" s="4" t="s">
        <v>4517</v>
      </c>
      <c r="B1959" s="6" t="s">
        <v>1632</v>
      </c>
      <c r="C1959" s="111" t="s">
        <v>4570</v>
      </c>
      <c r="D1959" s="5"/>
    </row>
    <row r="1960" spans="1:4" ht="17.25" thickBot="1">
      <c r="A1960" s="4" t="s">
        <v>2552</v>
      </c>
      <c r="B1960" s="6" t="s">
        <v>1632</v>
      </c>
      <c r="C1960" s="174" t="s">
        <v>2016</v>
      </c>
      <c r="D1960" s="175"/>
    </row>
    <row r="1961" spans="1:4" ht="17.25" thickBot="1">
      <c r="A1961" s="4" t="s">
        <v>2554</v>
      </c>
      <c r="B1961" s="6" t="s">
        <v>1632</v>
      </c>
      <c r="C1961" s="174" t="s">
        <v>2018</v>
      </c>
      <c r="D1961" s="175"/>
    </row>
    <row r="1962" spans="1:4" ht="17.25" thickBot="1">
      <c r="A1962" s="99" t="s">
        <v>1591</v>
      </c>
      <c r="B1962" s="100" t="s">
        <v>1592</v>
      </c>
      <c r="C1962" s="172" t="s">
        <v>1593</v>
      </c>
      <c r="D1962" s="173"/>
    </row>
    <row r="1963" spans="1:4" ht="17.25" thickBot="1">
      <c r="A1963" s="4" t="s">
        <v>2019</v>
      </c>
      <c r="B1963" s="5" t="s">
        <v>1625</v>
      </c>
      <c r="C1963" s="174" t="s">
        <v>2160</v>
      </c>
      <c r="D1963" s="175"/>
    </row>
    <row r="1964" spans="1:4" ht="17.25" thickBot="1">
      <c r="A1964" s="4" t="s">
        <v>2028</v>
      </c>
      <c r="B1964" s="6" t="s">
        <v>1632</v>
      </c>
      <c r="C1964" s="174" t="s">
        <v>4004</v>
      </c>
      <c r="D1964" s="175"/>
    </row>
    <row r="1965" spans="1:4" ht="17.25" thickBot="1">
      <c r="A1965" s="4" t="s">
        <v>2023</v>
      </c>
      <c r="B1965" s="6" t="s">
        <v>1632</v>
      </c>
      <c r="C1965" s="174" t="s">
        <v>2158</v>
      </c>
      <c r="D1965" s="175"/>
    </row>
    <row r="1966" spans="1:4" ht="17.25" thickBot="1">
      <c r="A1966" s="4" t="s">
        <v>1922</v>
      </c>
      <c r="B1966" s="5" t="s">
        <v>1566</v>
      </c>
      <c r="C1966" s="174" t="s">
        <v>2161</v>
      </c>
      <c r="D1966" s="175"/>
    </row>
    <row r="1967" spans="1:4" ht="17.25" thickBot="1">
      <c r="A1967" s="4" t="s">
        <v>1924</v>
      </c>
      <c r="B1967" s="5" t="s">
        <v>1603</v>
      </c>
      <c r="C1967" s="174" t="s">
        <v>2162</v>
      </c>
      <c r="D1967" s="175"/>
    </row>
    <row r="1968" spans="1:4">
      <c r="A1968" s="92" t="s">
        <v>2025</v>
      </c>
      <c r="B1968" s="91" t="s">
        <v>1603</v>
      </c>
      <c r="C1968" s="179" t="s">
        <v>2930</v>
      </c>
      <c r="D1968" s="180"/>
    </row>
    <row r="1969" spans="1:4">
      <c r="A1969" s="115" t="s">
        <v>4585</v>
      </c>
      <c r="B1969" s="115" t="s">
        <v>4586</v>
      </c>
    </row>
    <row r="1970" spans="1:4" ht="17.25" thickBot="1">
      <c r="A1970" s="126" t="s">
        <v>1963</v>
      </c>
    </row>
    <row r="1971" spans="1:4" ht="17.25" thickBot="1">
      <c r="A1971" s="102" t="s">
        <v>1591</v>
      </c>
      <c r="B1971" s="103" t="s">
        <v>1635</v>
      </c>
      <c r="C1971" s="110" t="s">
        <v>1593</v>
      </c>
      <c r="D1971" s="2"/>
    </row>
    <row r="1972" spans="1:4">
      <c r="A1972" s="92" t="s">
        <v>2002</v>
      </c>
      <c r="B1972" s="8" t="s">
        <v>1566</v>
      </c>
      <c r="C1972" s="179" t="s">
        <v>4587</v>
      </c>
      <c r="D1972" s="180" t="s">
        <v>4916</v>
      </c>
    </row>
    <row r="1973" spans="1:4" ht="17.25" thickBot="1">
      <c r="A1973" s="98"/>
      <c r="B1973" s="5" t="s">
        <v>1550</v>
      </c>
      <c r="C1973" s="181"/>
      <c r="D1973" s="182"/>
    </row>
    <row r="1974" spans="1:4" ht="17.25" thickBot="1">
      <c r="A1974" s="126" t="s">
        <v>1646</v>
      </c>
    </row>
    <row r="1975" spans="1:4" ht="17.25" thickBot="1">
      <c r="A1975" s="102" t="s">
        <v>1591</v>
      </c>
      <c r="B1975" s="103" t="s">
        <v>1592</v>
      </c>
      <c r="C1975" s="103" t="s">
        <v>1593</v>
      </c>
    </row>
    <row r="1976" spans="1:4" ht="40.5">
      <c r="A1976" s="96" t="s">
        <v>2008</v>
      </c>
      <c r="B1976" s="91" t="s">
        <v>1632</v>
      </c>
      <c r="C1976" s="91" t="s">
        <v>2011</v>
      </c>
    </row>
    <row r="1977" spans="1:4" ht="27">
      <c r="A1977" s="96" t="s">
        <v>2009</v>
      </c>
      <c r="B1977" s="170"/>
      <c r="C1977" s="170"/>
    </row>
    <row r="1978" spans="1:4" ht="27.75" thickBot="1">
      <c r="A1978" s="4" t="s">
        <v>2010</v>
      </c>
      <c r="B1978" s="97"/>
      <c r="C1978" s="97"/>
    </row>
    <row r="1979" spans="1:4" ht="17.25" thickBot="1">
      <c r="A1979" s="4" t="s">
        <v>1903</v>
      </c>
      <c r="B1979" s="5" t="s">
        <v>1603</v>
      </c>
      <c r="C1979" s="5" t="s">
        <v>2012</v>
      </c>
    </row>
    <row r="1980" spans="1:4" ht="17.25" thickBot="1">
      <c r="A1980" s="4" t="s">
        <v>1912</v>
      </c>
      <c r="B1980" s="5" t="s">
        <v>1603</v>
      </c>
      <c r="C1980" s="5" t="s">
        <v>2013</v>
      </c>
    </row>
    <row r="1981" spans="1:4" ht="17.25" thickBot="1">
      <c r="A1981" s="4" t="s">
        <v>1915</v>
      </c>
      <c r="B1981" s="5" t="s">
        <v>1624</v>
      </c>
      <c r="C1981" s="5" t="s">
        <v>2014</v>
      </c>
    </row>
    <row r="1982" spans="1:4" ht="17.25" thickBot="1">
      <c r="A1982" s="4" t="s">
        <v>2021</v>
      </c>
      <c r="B1982" s="6" t="s">
        <v>1632</v>
      </c>
      <c r="C1982" s="5" t="s">
        <v>4588</v>
      </c>
    </row>
    <row r="1983" spans="1:4" ht="17.25" thickBot="1">
      <c r="A1983" s="4" t="s">
        <v>2552</v>
      </c>
      <c r="B1983" s="6" t="s">
        <v>1632</v>
      </c>
      <c r="C1983" s="6" t="s">
        <v>2016</v>
      </c>
    </row>
    <row r="1984" spans="1:4" ht="17.25" thickBot="1">
      <c r="A1984" s="4" t="s">
        <v>2554</v>
      </c>
      <c r="B1984" s="6" t="s">
        <v>1632</v>
      </c>
      <c r="C1984" s="6" t="s">
        <v>2018</v>
      </c>
    </row>
    <row r="1985" spans="1:3" ht="17.25" thickBot="1">
      <c r="A1985" s="99" t="s">
        <v>1591</v>
      </c>
      <c r="B1985" s="100" t="s">
        <v>1592</v>
      </c>
      <c r="C1985" s="100" t="s">
        <v>1593</v>
      </c>
    </row>
    <row r="1986" spans="1:3" ht="17.25" thickBot="1">
      <c r="A1986" s="4" t="s">
        <v>2019</v>
      </c>
      <c r="B1986" s="5" t="s">
        <v>1625</v>
      </c>
      <c r="C1986" s="6" t="s">
        <v>2160</v>
      </c>
    </row>
    <row r="1987" spans="1:3" ht="17.25" thickBot="1">
      <c r="A1987" s="4" t="s">
        <v>2023</v>
      </c>
      <c r="B1987" s="6" t="s">
        <v>1632</v>
      </c>
      <c r="C1987" s="5" t="s">
        <v>2158</v>
      </c>
    </row>
    <row r="1988" spans="1:3" ht="17.25" thickBot="1">
      <c r="A1988" s="4" t="s">
        <v>1922</v>
      </c>
      <c r="B1988" s="5" t="s">
        <v>1566</v>
      </c>
      <c r="C1988" s="5" t="s">
        <v>2161</v>
      </c>
    </row>
    <row r="1989" spans="1:3" ht="17.25" thickBot="1">
      <c r="A1989" s="4" t="s">
        <v>4589</v>
      </c>
      <c r="B1989" s="5" t="s">
        <v>1603</v>
      </c>
      <c r="C1989" s="5" t="s">
        <v>4004</v>
      </c>
    </row>
    <row r="1990" spans="1:3" ht="17.25" thickBot="1">
      <c r="A1990" s="4" t="s">
        <v>1924</v>
      </c>
      <c r="B1990" s="5" t="s">
        <v>1603</v>
      </c>
      <c r="C1990" s="5" t="s">
        <v>2162</v>
      </c>
    </row>
    <row r="1991" spans="1:3">
      <c r="A1991" s="92" t="s">
        <v>2025</v>
      </c>
      <c r="B1991" s="91" t="s">
        <v>1603</v>
      </c>
      <c r="C1991" s="8" t="s">
        <v>2026</v>
      </c>
    </row>
    <row r="1992" spans="1:3" ht="51.75" thickBot="1">
      <c r="A1992" s="98"/>
      <c r="B1992" s="97"/>
      <c r="C1992" s="6" t="s">
        <v>2027</v>
      </c>
    </row>
    <row r="1993" spans="1:3">
      <c r="A1993" s="117" t="s">
        <v>4590</v>
      </c>
    </row>
    <row r="1994" spans="1:3" ht="17.25" thickBot="1">
      <c r="A1994" s="115" t="s">
        <v>4591</v>
      </c>
      <c r="B1994" s="115" t="s">
        <v>4592</v>
      </c>
    </row>
    <row r="1995" spans="1:3" ht="17.25" thickBot="1">
      <c r="A1995" s="102" t="s">
        <v>1591</v>
      </c>
      <c r="B1995" s="103" t="s">
        <v>1592</v>
      </c>
      <c r="C1995" s="103" t="s">
        <v>1593</v>
      </c>
    </row>
    <row r="1996" spans="1:3" ht="17.25" thickBot="1">
      <c r="A1996" s="4" t="s">
        <v>4594</v>
      </c>
      <c r="B1996" s="6" t="s">
        <v>1632</v>
      </c>
      <c r="C1996" s="5" t="s">
        <v>4595</v>
      </c>
    </row>
    <row r="1997" spans="1:3" ht="26.25" thickBot="1">
      <c r="A1997" s="4" t="s">
        <v>4596</v>
      </c>
      <c r="B1997" s="6" t="s">
        <v>1632</v>
      </c>
      <c r="C1997" s="6" t="s">
        <v>4597</v>
      </c>
    </row>
    <row r="1998" spans="1:3" ht="17.25" thickBot="1">
      <c r="A1998" s="4" t="s">
        <v>4598</v>
      </c>
      <c r="B1998" s="6" t="s">
        <v>1632</v>
      </c>
      <c r="C1998" s="5" t="s">
        <v>4599</v>
      </c>
    </row>
    <row r="1999" spans="1:3" ht="26.25" thickBot="1">
      <c r="A1999" s="4" t="s">
        <v>4600</v>
      </c>
      <c r="B1999" s="6" t="s">
        <v>1632</v>
      </c>
      <c r="C1999" s="6" t="s">
        <v>4601</v>
      </c>
    </row>
    <row r="2000" spans="1:3" ht="26.25" thickBot="1">
      <c r="A2000" s="4" t="s">
        <v>4602</v>
      </c>
      <c r="B2000" s="6" t="s">
        <v>1632</v>
      </c>
      <c r="C2000" s="6" t="s">
        <v>4603</v>
      </c>
    </row>
    <row r="2001" spans="1:3" ht="26.25" thickBot="1">
      <c r="A2001" s="4" t="s">
        <v>4604</v>
      </c>
      <c r="B2001" s="6" t="s">
        <v>1632</v>
      </c>
      <c r="C2001" s="6" t="s">
        <v>4605</v>
      </c>
    </row>
    <row r="2002" spans="1:3">
      <c r="A2002" s="117" t="s">
        <v>4606</v>
      </c>
    </row>
    <row r="2003" spans="1:3">
      <c r="A2003" s="115" t="s">
        <v>4607</v>
      </c>
      <c r="B2003" s="115" t="s">
        <v>4608</v>
      </c>
    </row>
    <row r="2004" spans="1:3" ht="17.25" thickBot="1">
      <c r="A2004" s="126" t="s">
        <v>1963</v>
      </c>
    </row>
    <row r="2005" spans="1:3" ht="17.25" thickBot="1">
      <c r="A2005" s="102" t="s">
        <v>1591</v>
      </c>
      <c r="B2005" s="103" t="s">
        <v>1592</v>
      </c>
      <c r="C2005" s="103" t="s">
        <v>1593</v>
      </c>
    </row>
    <row r="2006" spans="1:3" ht="17.25" thickBot="1">
      <c r="A2006" s="159" t="s">
        <v>3039</v>
      </c>
      <c r="B2006" s="111"/>
      <c r="C2006" s="5"/>
    </row>
    <row r="2007" spans="1:3" ht="17.25" thickBot="1">
      <c r="A2007" s="4" t="s">
        <v>3835</v>
      </c>
      <c r="B2007" s="5"/>
      <c r="C2007" s="5"/>
    </row>
    <row r="2008" spans="1:3" ht="25.5">
      <c r="A2008" s="92" t="s">
        <v>4609</v>
      </c>
      <c r="B2008" s="91" t="s">
        <v>1605</v>
      </c>
      <c r="C2008" s="7" t="s">
        <v>4610</v>
      </c>
    </row>
    <row r="2009" spans="1:3" ht="17.25" thickBot="1">
      <c r="A2009" s="98"/>
      <c r="B2009" s="97"/>
      <c r="C2009" s="5" t="s">
        <v>4611</v>
      </c>
    </row>
    <row r="2010" spans="1:3">
      <c r="A2010" s="92" t="s">
        <v>4612</v>
      </c>
      <c r="B2010" s="91" t="s">
        <v>1605</v>
      </c>
      <c r="C2010" s="7" t="s">
        <v>4613</v>
      </c>
    </row>
    <row r="2011" spans="1:3" ht="17.25" thickBot="1">
      <c r="A2011" s="98"/>
      <c r="B2011" s="97"/>
      <c r="C2011" s="5" t="s">
        <v>4614</v>
      </c>
    </row>
    <row r="2012" spans="1:3">
      <c r="A2012" s="117" t="s">
        <v>4615</v>
      </c>
    </row>
    <row r="2013" spans="1:3" ht="17.25" thickBot="1">
      <c r="A2013" s="126" t="s">
        <v>1646</v>
      </c>
    </row>
    <row r="2014" spans="1:3" ht="17.25" thickBot="1">
      <c r="A2014" s="102" t="s">
        <v>1591</v>
      </c>
      <c r="B2014" s="103" t="s">
        <v>1592</v>
      </c>
      <c r="C2014" s="103" t="s">
        <v>1593</v>
      </c>
    </row>
    <row r="2015" spans="1:3" ht="17.25" thickBot="1">
      <c r="A2015" s="159" t="s">
        <v>4616</v>
      </c>
      <c r="B2015" s="111"/>
      <c r="C2015" s="5"/>
    </row>
    <row r="2016" spans="1:3">
      <c r="A2016" s="96" t="s">
        <v>4617</v>
      </c>
      <c r="B2016" s="91" t="s">
        <v>1603</v>
      </c>
      <c r="C2016" s="91" t="s">
        <v>4618</v>
      </c>
    </row>
    <row r="2017" spans="1:3" ht="17.25" thickBot="1">
      <c r="A2017" s="4" t="s">
        <v>1634</v>
      </c>
      <c r="B2017" s="97"/>
      <c r="C2017" s="97"/>
    </row>
    <row r="2018" spans="1:3" ht="17.25" thickBot="1">
      <c r="A2018" s="99" t="s">
        <v>1591</v>
      </c>
      <c r="B2018" s="100" t="s">
        <v>1592</v>
      </c>
      <c r="C2018" s="100" t="s">
        <v>1593</v>
      </c>
    </row>
    <row r="2019" spans="1:3" ht="17.25" thickBot="1">
      <c r="A2019" s="4" t="s">
        <v>4619</v>
      </c>
      <c r="B2019" s="5" t="s">
        <v>1603</v>
      </c>
      <c r="C2019" s="6" t="s">
        <v>4620</v>
      </c>
    </row>
    <row r="2020" spans="1:3" ht="26.25" thickBot="1">
      <c r="A2020" s="4" t="s">
        <v>4621</v>
      </c>
      <c r="B2020" s="5" t="s">
        <v>1603</v>
      </c>
      <c r="C2020" s="6" t="s">
        <v>4622</v>
      </c>
    </row>
    <row r="2021" spans="1:3" ht="38.25">
      <c r="A2021" s="96" t="s">
        <v>3051</v>
      </c>
      <c r="B2021" s="91" t="s">
        <v>1603</v>
      </c>
      <c r="C2021" s="91" t="s">
        <v>4623</v>
      </c>
    </row>
    <row r="2022" spans="1:3" ht="17.25" thickBot="1">
      <c r="A2022" s="4" t="s">
        <v>3052</v>
      </c>
      <c r="B2022" s="97"/>
      <c r="C2022" s="97"/>
    </row>
    <row r="2023" spans="1:3">
      <c r="A2023" s="92" t="s">
        <v>3095</v>
      </c>
      <c r="B2023" s="91" t="s">
        <v>0</v>
      </c>
      <c r="C2023" s="7" t="s">
        <v>4624</v>
      </c>
    </row>
    <row r="2024" spans="1:3" ht="17.25" thickBot="1">
      <c r="A2024" s="98"/>
      <c r="B2024" s="97"/>
      <c r="C2024" s="5" t="s">
        <v>4625</v>
      </c>
    </row>
    <row r="2025" spans="1:3" ht="17.25" thickBot="1">
      <c r="A2025" s="4" t="s">
        <v>4626</v>
      </c>
      <c r="B2025" s="5" t="s">
        <v>0</v>
      </c>
      <c r="C2025" s="5" t="s">
        <v>4627</v>
      </c>
    </row>
    <row r="2026" spans="1:3" ht="17.25" thickBot="1">
      <c r="A2026" s="4" t="s">
        <v>3057</v>
      </c>
      <c r="B2026" s="5" t="s">
        <v>1603</v>
      </c>
      <c r="C2026" s="5" t="s">
        <v>3058</v>
      </c>
    </row>
    <row r="2027" spans="1:3" ht="17.25" thickBot="1">
      <c r="A2027" s="4" t="s">
        <v>3834</v>
      </c>
      <c r="B2027" s="5" t="s">
        <v>1606</v>
      </c>
      <c r="C2027" s="5" t="s">
        <v>4628</v>
      </c>
    </row>
    <row r="2028" spans="1:3">
      <c r="A2028" s="92" t="s">
        <v>3081</v>
      </c>
      <c r="B2028" s="91" t="s">
        <v>1566</v>
      </c>
      <c r="C2028" s="8" t="s">
        <v>4629</v>
      </c>
    </row>
    <row r="2029" spans="1:3" ht="17.25" thickBot="1">
      <c r="A2029" s="98"/>
      <c r="B2029" s="97"/>
      <c r="C2029" s="6" t="s">
        <v>4630</v>
      </c>
    </row>
    <row r="2030" spans="1:3" ht="17.25" thickBot="1">
      <c r="A2030" s="4" t="s">
        <v>3079</v>
      </c>
      <c r="B2030" s="5" t="s">
        <v>1566</v>
      </c>
      <c r="C2030" s="5" t="s">
        <v>4631</v>
      </c>
    </row>
    <row r="2031" spans="1:3" ht="17.25" thickBot="1">
      <c r="A2031" s="4" t="s">
        <v>3090</v>
      </c>
      <c r="B2031" s="5" t="s">
        <v>3837</v>
      </c>
      <c r="C2031" s="5" t="s">
        <v>3838</v>
      </c>
    </row>
    <row r="2032" spans="1:3">
      <c r="A2032" s="92" t="s">
        <v>3093</v>
      </c>
      <c r="B2032" s="8" t="s">
        <v>2736</v>
      </c>
      <c r="C2032" s="91" t="s">
        <v>4633</v>
      </c>
    </row>
    <row r="2033" spans="1:3" ht="17.25" thickBot="1">
      <c r="A2033" s="98"/>
      <c r="B2033" s="5" t="s">
        <v>4632</v>
      </c>
      <c r="C2033" s="97"/>
    </row>
    <row r="2034" spans="1:3" ht="26.25" thickBot="1">
      <c r="A2034" s="4" t="s">
        <v>4634</v>
      </c>
      <c r="B2034" s="5" t="s">
        <v>1566</v>
      </c>
      <c r="C2034" s="6" t="s">
        <v>4635</v>
      </c>
    </row>
    <row r="2035" spans="1:3" ht="26.25" thickBot="1">
      <c r="A2035" s="4" t="s">
        <v>4636</v>
      </c>
      <c r="B2035" s="5" t="s">
        <v>1566</v>
      </c>
      <c r="C2035" s="6" t="s">
        <v>4637</v>
      </c>
    </row>
    <row r="2036" spans="1:3">
      <c r="A2036" s="115" t="s">
        <v>4639</v>
      </c>
      <c r="B2036" s="115" t="s">
        <v>4640</v>
      </c>
    </row>
    <row r="2037" spans="1:3" ht="17.25" thickBot="1">
      <c r="A2037" s="126" t="s">
        <v>1963</v>
      </c>
    </row>
    <row r="2038" spans="1:3" ht="17.25" thickBot="1">
      <c r="A2038" s="102" t="s">
        <v>1591</v>
      </c>
      <c r="B2038" s="103" t="s">
        <v>1592</v>
      </c>
      <c r="C2038" s="103" t="s">
        <v>1593</v>
      </c>
    </row>
    <row r="2039" spans="1:3" ht="17.25" thickBot="1">
      <c r="A2039" s="4" t="s">
        <v>2269</v>
      </c>
      <c r="B2039" s="5" t="s">
        <v>1603</v>
      </c>
      <c r="C2039" s="6" t="s">
        <v>4641</v>
      </c>
    </row>
    <row r="2040" spans="1:3" ht="17.25" thickBot="1">
      <c r="A2040" s="4" t="s">
        <v>2271</v>
      </c>
      <c r="B2040" s="5" t="s">
        <v>1603</v>
      </c>
      <c r="C2040" s="5" t="s">
        <v>4642</v>
      </c>
    </row>
    <row r="2041" spans="1:3" ht="17.25" thickBot="1">
      <c r="A2041" s="4" t="s">
        <v>2273</v>
      </c>
      <c r="B2041" s="5" t="s">
        <v>1603</v>
      </c>
      <c r="C2041" s="6" t="s">
        <v>4643</v>
      </c>
    </row>
    <row r="2042" spans="1:3">
      <c r="A2042" s="92" t="s">
        <v>2289</v>
      </c>
      <c r="B2042" s="91" t="s">
        <v>1603</v>
      </c>
      <c r="C2042" s="8" t="s">
        <v>4476</v>
      </c>
    </row>
    <row r="2043" spans="1:3" ht="17.25" thickBot="1">
      <c r="A2043" s="98"/>
      <c r="B2043" s="97"/>
      <c r="C2043" s="5" t="s">
        <v>4477</v>
      </c>
    </row>
    <row r="2044" spans="1:3">
      <c r="A2044" s="117" t="s">
        <v>4644</v>
      </c>
    </row>
    <row r="2045" spans="1:3" ht="17.25" thickBot="1">
      <c r="A2045" s="126" t="s">
        <v>3203</v>
      </c>
    </row>
    <row r="2046" spans="1:3" ht="17.25" thickBot="1">
      <c r="A2046" s="102" t="s">
        <v>1591</v>
      </c>
      <c r="B2046" s="103" t="s">
        <v>1592</v>
      </c>
      <c r="C2046" s="103" t="s">
        <v>1593</v>
      </c>
    </row>
    <row r="2047" spans="1:3">
      <c r="A2047" s="92" t="s">
        <v>4645</v>
      </c>
      <c r="B2047" s="91" t="s">
        <v>3660</v>
      </c>
      <c r="C2047" s="7" t="s">
        <v>4646</v>
      </c>
    </row>
    <row r="2048" spans="1:3" ht="17.25" thickBot="1">
      <c r="A2048" s="98"/>
      <c r="B2048" s="97"/>
      <c r="C2048" s="5" t="s">
        <v>4647</v>
      </c>
    </row>
    <row r="2049" spans="1:3">
      <c r="A2049" s="92" t="s">
        <v>4648</v>
      </c>
      <c r="B2049" s="7" t="s">
        <v>2116</v>
      </c>
      <c r="C2049" s="91" t="s">
        <v>4649</v>
      </c>
    </row>
    <row r="2050" spans="1:3">
      <c r="A2050" s="171"/>
      <c r="B2050" s="8" t="s">
        <v>626</v>
      </c>
      <c r="C2050" s="170"/>
    </row>
    <row r="2051" spans="1:3" ht="17.25" thickBot="1">
      <c r="A2051" s="98"/>
      <c r="B2051" s="5" t="s">
        <v>3655</v>
      </c>
      <c r="C2051" s="97"/>
    </row>
    <row r="2052" spans="1:3" ht="17.25" thickBot="1">
      <c r="A2052" s="4" t="s">
        <v>4650</v>
      </c>
      <c r="B2052" s="5" t="s">
        <v>1603</v>
      </c>
      <c r="C2052" s="5" t="s">
        <v>4651</v>
      </c>
    </row>
    <row r="2053" spans="1:3" ht="17.25" thickBot="1">
      <c r="A2053" s="4" t="s">
        <v>4652</v>
      </c>
      <c r="B2053" s="5" t="s">
        <v>1623</v>
      </c>
      <c r="C2053" s="6" t="s">
        <v>4653</v>
      </c>
    </row>
    <row r="2054" spans="1:3" ht="17.25" thickBot="1">
      <c r="A2054" s="4" t="s">
        <v>4654</v>
      </c>
      <c r="B2054" s="5" t="s">
        <v>1623</v>
      </c>
      <c r="C2054" s="6" t="s">
        <v>4655</v>
      </c>
    </row>
    <row r="2055" spans="1:3">
      <c r="A2055" s="117" t="s">
        <v>4917</v>
      </c>
    </row>
    <row r="2056" spans="1:3">
      <c r="A2056" s="115" t="s">
        <v>4656</v>
      </c>
      <c r="B2056" s="115" t="s">
        <v>4657</v>
      </c>
    </row>
    <row r="2057" spans="1:3" ht="17.25" thickBot="1">
      <c r="A2057" s="126" t="s">
        <v>1646</v>
      </c>
    </row>
    <row r="2058" spans="1:3" ht="17.25" thickBot="1">
      <c r="A2058" s="102" t="s">
        <v>1591</v>
      </c>
      <c r="B2058" s="103" t="s">
        <v>1592</v>
      </c>
      <c r="C2058" s="103" t="s">
        <v>1593</v>
      </c>
    </row>
    <row r="2059" spans="1:3" ht="17.25" thickBot="1">
      <c r="A2059" s="145" t="s">
        <v>4659</v>
      </c>
      <c r="B2059" s="6" t="s">
        <v>3513</v>
      </c>
      <c r="C2059" s="5" t="s">
        <v>3484</v>
      </c>
    </row>
    <row r="2060" spans="1:3" ht="17.25" thickBot="1">
      <c r="A2060" s="145" t="s">
        <v>4660</v>
      </c>
      <c r="B2060" s="5" t="s">
        <v>1632</v>
      </c>
      <c r="C2060" s="5" t="s">
        <v>4661</v>
      </c>
    </row>
    <row r="2061" spans="1:3" ht="17.25" thickBot="1">
      <c r="A2061" s="145" t="s">
        <v>4662</v>
      </c>
      <c r="B2061" s="5" t="s">
        <v>1632</v>
      </c>
      <c r="C2061" s="5" t="s">
        <v>4663</v>
      </c>
    </row>
    <row r="2062" spans="1:3" ht="26.25" thickBot="1">
      <c r="A2062" s="145" t="s">
        <v>4664</v>
      </c>
      <c r="B2062" s="5" t="s">
        <v>1632</v>
      </c>
      <c r="C2062" s="6" t="s">
        <v>4665</v>
      </c>
    </row>
    <row r="2063" spans="1:3" ht="26.25" thickBot="1">
      <c r="A2063" s="145" t="s">
        <v>4666</v>
      </c>
      <c r="B2063" s="5" t="s">
        <v>1632</v>
      </c>
      <c r="C2063" s="5" t="s">
        <v>4667</v>
      </c>
    </row>
    <row r="2064" spans="1:3">
      <c r="A2064" s="176" t="s">
        <v>4668</v>
      </c>
      <c r="B2064" s="91" t="s">
        <v>1632</v>
      </c>
      <c r="C2064" s="7" t="s">
        <v>4669</v>
      </c>
    </row>
    <row r="2065" spans="1:3" ht="17.25" thickBot="1">
      <c r="A2065" s="177"/>
      <c r="B2065" s="97"/>
      <c r="C2065" s="5" t="s">
        <v>4670</v>
      </c>
    </row>
    <row r="2066" spans="1:3" ht="26.25" thickBot="1">
      <c r="A2066" s="145" t="s">
        <v>4671</v>
      </c>
      <c r="B2066" s="5" t="s">
        <v>1632</v>
      </c>
      <c r="C2066" s="6" t="s">
        <v>4672</v>
      </c>
    </row>
    <row r="2067" spans="1:3">
      <c r="A2067" s="117" t="s">
        <v>4673</v>
      </c>
    </row>
    <row r="2068" spans="1:3" ht="17.25" thickBot="1">
      <c r="A2068" s="115" t="s">
        <v>4674</v>
      </c>
      <c r="B2068" s="115" t="s">
        <v>4675</v>
      </c>
    </row>
    <row r="2069" spans="1:3" ht="17.25" thickBot="1">
      <c r="A2069" s="102" t="s">
        <v>1591</v>
      </c>
      <c r="B2069" s="103" t="s">
        <v>1592</v>
      </c>
      <c r="C2069" s="103" t="s">
        <v>1593</v>
      </c>
    </row>
    <row r="2070" spans="1:3" ht="26.25" thickBot="1">
      <c r="A2070" s="162" t="s">
        <v>4676</v>
      </c>
      <c r="B2070" s="5" t="s">
        <v>2698</v>
      </c>
      <c r="C2070" s="6" t="s">
        <v>4677</v>
      </c>
    </row>
    <row r="2071" spans="1:3" ht="26.25" thickBot="1">
      <c r="A2071" s="145" t="s">
        <v>4678</v>
      </c>
      <c r="B2071" s="5" t="s">
        <v>2698</v>
      </c>
      <c r="C2071" s="6" t="s">
        <v>4679</v>
      </c>
    </row>
    <row r="2072" spans="1:3" ht="17.25" thickBot="1">
      <c r="A2072" s="126" t="s">
        <v>4680</v>
      </c>
    </row>
    <row r="2073" spans="1:3" ht="17.25" thickBot="1">
      <c r="A2073" s="102" t="s">
        <v>1591</v>
      </c>
      <c r="B2073" s="103" t="s">
        <v>1592</v>
      </c>
      <c r="C2073" s="103" t="s">
        <v>1593</v>
      </c>
    </row>
    <row r="2074" spans="1:3" ht="17.25" thickBot="1">
      <c r="A2074" s="145" t="s">
        <v>4681</v>
      </c>
      <c r="B2074" s="5" t="s">
        <v>2698</v>
      </c>
      <c r="C2074" s="6" t="s">
        <v>4682</v>
      </c>
    </row>
    <row r="2075" spans="1:3" ht="17.25" thickBot="1">
      <c r="A2075" s="145" t="s">
        <v>4683</v>
      </c>
      <c r="B2075" s="5" t="s">
        <v>2698</v>
      </c>
      <c r="C2075" s="6" t="s">
        <v>4684</v>
      </c>
    </row>
    <row r="2076" spans="1:3" ht="17.25" thickBot="1">
      <c r="A2076" s="145" t="s">
        <v>4685</v>
      </c>
      <c r="B2076" s="5" t="s">
        <v>2698</v>
      </c>
      <c r="C2076" s="6" t="s">
        <v>4686</v>
      </c>
    </row>
    <row r="2077" spans="1:3" ht="30.75" thickBot="1">
      <c r="A2077" s="145" t="s">
        <v>4687</v>
      </c>
      <c r="B2077" s="5" t="s">
        <v>2698</v>
      </c>
      <c r="C2077" s="5" t="s">
        <v>4688</v>
      </c>
    </row>
    <row r="2078" spans="1:3" ht="17.25" thickBot="1">
      <c r="A2078" s="145" t="s">
        <v>4689</v>
      </c>
      <c r="B2078" s="5" t="s">
        <v>2698</v>
      </c>
      <c r="C2078" s="6" t="s">
        <v>4690</v>
      </c>
    </row>
    <row r="2079" spans="1:3" ht="17.25" thickBot="1">
      <c r="A2079" s="145" t="s">
        <v>4691</v>
      </c>
      <c r="B2079" s="5" t="s">
        <v>2698</v>
      </c>
      <c r="C2079" s="6" t="s">
        <v>4692</v>
      </c>
    </row>
    <row r="2080" spans="1:3" ht="26.25" thickBot="1">
      <c r="A2080" s="145" t="s">
        <v>4693</v>
      </c>
      <c r="B2080" s="5" t="s">
        <v>2698</v>
      </c>
      <c r="C2080" s="6" t="s">
        <v>4694</v>
      </c>
    </row>
    <row r="2081" spans="1:6" ht="17.25" thickBot="1">
      <c r="A2081" s="145" t="s">
        <v>4695</v>
      </c>
      <c r="B2081" s="5" t="s">
        <v>2698</v>
      </c>
      <c r="C2081" s="5" t="s">
        <v>4696</v>
      </c>
    </row>
    <row r="2082" spans="1:6" ht="26.25" thickBot="1">
      <c r="A2082" s="145" t="s">
        <v>4697</v>
      </c>
      <c r="B2082" s="5" t="s">
        <v>2698</v>
      </c>
      <c r="C2082" s="6" t="s">
        <v>4698</v>
      </c>
    </row>
    <row r="2083" spans="1:6" ht="17.25" thickBot="1">
      <c r="A2083" s="126" t="s">
        <v>2708</v>
      </c>
    </row>
    <row r="2084" spans="1:6" ht="17.25" thickBot="1">
      <c r="A2084" s="102" t="s">
        <v>1591</v>
      </c>
      <c r="B2084" s="172" t="s">
        <v>1592</v>
      </c>
      <c r="C2084" s="103" t="s">
        <v>1593</v>
      </c>
    </row>
    <row r="2085" spans="1:6" ht="26.25" thickBot="1">
      <c r="A2085" s="145" t="s">
        <v>4699</v>
      </c>
      <c r="B2085" s="174" t="s">
        <v>1566</v>
      </c>
      <c r="C2085" s="6" t="s">
        <v>4918</v>
      </c>
    </row>
    <row r="2086" spans="1:6" ht="17.25" thickBot="1">
      <c r="A2086" s="145" t="s">
        <v>4700</v>
      </c>
      <c r="B2086" s="174" t="s">
        <v>1557</v>
      </c>
      <c r="C2086" s="6" t="s">
        <v>4919</v>
      </c>
    </row>
    <row r="2087" spans="1:6" ht="17.25" thickBot="1">
      <c r="A2087" s="145" t="s">
        <v>4701</v>
      </c>
      <c r="B2087" s="174" t="s">
        <v>1620</v>
      </c>
      <c r="C2087" s="6" t="s">
        <v>4920</v>
      </c>
    </row>
    <row r="2088" spans="1:6" ht="17.25" thickBot="1">
      <c r="A2088" s="145" t="s">
        <v>4702</v>
      </c>
      <c r="B2088" s="174" t="s">
        <v>1561</v>
      </c>
      <c r="C2088" s="6" t="s">
        <v>4921</v>
      </c>
    </row>
    <row r="2089" spans="1:6" ht="17.25" thickBot="1">
      <c r="A2089" s="145" t="s">
        <v>4703</v>
      </c>
      <c r="B2089" s="111" t="s">
        <v>4704</v>
      </c>
      <c r="C2089" s="6" t="s">
        <v>4922</v>
      </c>
    </row>
    <row r="2090" spans="1:6" ht="17.25" thickBot="1">
      <c r="A2090" s="145" t="s">
        <v>4705</v>
      </c>
      <c r="B2090" s="111" t="s">
        <v>1566</v>
      </c>
      <c r="C2090" s="5" t="s">
        <v>4923</v>
      </c>
    </row>
    <row r="2091" spans="1:6">
      <c r="A2091" s="117" t="s">
        <v>4706</v>
      </c>
    </row>
    <row r="2092" spans="1:6" ht="17.25" thickBot="1">
      <c r="A2092" s="115" t="s">
        <v>4707</v>
      </c>
      <c r="B2092" s="115" t="s">
        <v>4708</v>
      </c>
    </row>
    <row r="2093" spans="1:6" ht="17.25" thickBot="1">
      <c r="A2093" s="102" t="s">
        <v>1591</v>
      </c>
      <c r="B2093" s="103" t="s">
        <v>1635</v>
      </c>
      <c r="C2093" s="110" t="s">
        <v>1593</v>
      </c>
      <c r="D2093" s="166"/>
      <c r="E2093" s="166"/>
      <c r="F2093" s="2"/>
    </row>
    <row r="2094" spans="1:6">
      <c r="A2094" s="92" t="s">
        <v>4709</v>
      </c>
      <c r="B2094" s="8" t="s">
        <v>1603</v>
      </c>
      <c r="C2094" s="179" t="s">
        <v>4710</v>
      </c>
      <c r="D2094" s="187" t="s">
        <v>4924</v>
      </c>
      <c r="E2094" s="187" t="s">
        <v>4925</v>
      </c>
      <c r="F2094" s="93" t="s">
        <v>4926</v>
      </c>
    </row>
    <row r="2095" spans="1:6" ht="17.25" thickBot="1">
      <c r="A2095" s="98"/>
      <c r="B2095" s="5" t="s">
        <v>1550</v>
      </c>
      <c r="C2095" s="181"/>
      <c r="D2095" s="188"/>
      <c r="E2095" s="188"/>
      <c r="F2095" s="6"/>
    </row>
    <row r="2096" spans="1:6" ht="17.25" thickBot="1">
      <c r="A2096" s="4" t="s">
        <v>1775</v>
      </c>
      <c r="B2096" s="6" t="s">
        <v>1632</v>
      </c>
      <c r="C2096" s="6" t="s">
        <v>4712</v>
      </c>
    </row>
    <row r="2097" spans="1:3" ht="17.25" thickBot="1">
      <c r="A2097" s="4" t="s">
        <v>4713</v>
      </c>
      <c r="B2097" s="6" t="s">
        <v>1632</v>
      </c>
      <c r="C2097" s="5" t="s">
        <v>2158</v>
      </c>
    </row>
    <row r="2098" spans="1:3" ht="17.25" thickBot="1">
      <c r="A2098" s="4" t="s">
        <v>2021</v>
      </c>
      <c r="B2098" s="6" t="s">
        <v>1632</v>
      </c>
      <c r="C2098" s="6" t="s">
        <v>4714</v>
      </c>
    </row>
    <row r="2099" spans="1:3" ht="26.25" thickBot="1">
      <c r="A2099" s="4" t="s">
        <v>4715</v>
      </c>
      <c r="B2099" s="6" t="s">
        <v>1632</v>
      </c>
      <c r="C2099" s="6" t="s">
        <v>4716</v>
      </c>
    </row>
    <row r="2100" spans="1:3">
      <c r="A2100" s="92" t="s">
        <v>2025</v>
      </c>
      <c r="B2100" s="91" t="s">
        <v>1603</v>
      </c>
      <c r="C2100" s="8" t="s">
        <v>2930</v>
      </c>
    </row>
    <row r="2101" spans="1:3" ht="51.75" thickBot="1">
      <c r="A2101" s="98"/>
      <c r="B2101" s="97"/>
      <c r="C2101" s="6" t="s">
        <v>2027</v>
      </c>
    </row>
    <row r="2102" spans="1:3">
      <c r="A2102" s="117" t="s">
        <v>4927</v>
      </c>
    </row>
    <row r="2103" spans="1:3" ht="17.25" thickBot="1">
      <c r="A2103" s="115" t="s">
        <v>4717</v>
      </c>
      <c r="B2103" s="115" t="s">
        <v>4718</v>
      </c>
    </row>
    <row r="2104" spans="1:3" ht="17.25" thickBot="1">
      <c r="A2104" s="102" t="s">
        <v>1591</v>
      </c>
      <c r="B2104" s="103" t="s">
        <v>1635</v>
      </c>
      <c r="C2104" s="103" t="s">
        <v>1593</v>
      </c>
    </row>
    <row r="2105" spans="1:3">
      <c r="A2105" s="92" t="s">
        <v>4719</v>
      </c>
      <c r="B2105" s="8" t="s">
        <v>0</v>
      </c>
      <c r="C2105" s="8" t="s">
        <v>4721</v>
      </c>
    </row>
    <row r="2106" spans="1:3">
      <c r="A2106" s="171"/>
      <c r="B2106" s="8" t="s">
        <v>4720</v>
      </c>
      <c r="C2106" s="8" t="s">
        <v>4722</v>
      </c>
    </row>
    <row r="2107" spans="1:3" ht="17.25" thickBot="1">
      <c r="A2107" s="98"/>
      <c r="B2107" s="5" t="s">
        <v>1550</v>
      </c>
      <c r="C2107" s="136"/>
    </row>
    <row r="2108" spans="1:3">
      <c r="A2108" s="92" t="s">
        <v>4723</v>
      </c>
      <c r="B2108" s="8" t="s">
        <v>1566</v>
      </c>
      <c r="C2108" s="91" t="s">
        <v>4724</v>
      </c>
    </row>
    <row r="2109" spans="1:3" ht="17.25" thickBot="1">
      <c r="A2109" s="98"/>
      <c r="B2109" s="5" t="s">
        <v>1550</v>
      </c>
      <c r="C2109" s="97"/>
    </row>
    <row r="2110" spans="1:3">
      <c r="A2110" s="92" t="s">
        <v>1996</v>
      </c>
      <c r="B2110" s="8" t="s">
        <v>2112</v>
      </c>
      <c r="C2110" s="7" t="s">
        <v>4725</v>
      </c>
    </row>
    <row r="2111" spans="1:3" ht="17.25" thickBot="1">
      <c r="A2111" s="98"/>
      <c r="B2111" s="5" t="s">
        <v>2657</v>
      </c>
      <c r="C2111" s="5" t="s">
        <v>2284</v>
      </c>
    </row>
    <row r="2112" spans="1:3" ht="17.25" thickBot="1">
      <c r="A2112" s="4" t="s">
        <v>1996</v>
      </c>
      <c r="B2112" s="5" t="s">
        <v>4726</v>
      </c>
      <c r="C2112" s="5" t="s">
        <v>4727</v>
      </c>
    </row>
    <row r="2113" spans="1:3">
      <c r="A2113" s="92" t="s">
        <v>4728</v>
      </c>
      <c r="B2113" s="8" t="s">
        <v>0</v>
      </c>
      <c r="C2113" s="91" t="s">
        <v>4730</v>
      </c>
    </row>
    <row r="2114" spans="1:3">
      <c r="A2114" s="171"/>
      <c r="B2114" s="8" t="s">
        <v>4729</v>
      </c>
      <c r="C2114" s="170"/>
    </row>
    <row r="2115" spans="1:3" ht="17.25" thickBot="1">
      <c r="A2115" s="98"/>
      <c r="B2115" s="5" t="s">
        <v>1550</v>
      </c>
      <c r="C2115" s="97"/>
    </row>
    <row r="2116" spans="1:3">
      <c r="A2116" s="92" t="s">
        <v>4731</v>
      </c>
      <c r="B2116" s="8" t="s">
        <v>1603</v>
      </c>
      <c r="C2116" s="91" t="s">
        <v>4732</v>
      </c>
    </row>
    <row r="2117" spans="1:3" ht="17.25" thickBot="1">
      <c r="A2117" s="98"/>
      <c r="B2117" s="5" t="s">
        <v>1550</v>
      </c>
      <c r="C2117" s="97"/>
    </row>
    <row r="2118" spans="1:3">
      <c r="A2118" s="92" t="s">
        <v>4733</v>
      </c>
      <c r="B2118" s="8" t="s">
        <v>2660</v>
      </c>
      <c r="C2118" s="91" t="s">
        <v>4734</v>
      </c>
    </row>
    <row r="2119" spans="1:3" ht="17.25" thickBot="1">
      <c r="A2119" s="98"/>
      <c r="B2119" s="5" t="s">
        <v>2884</v>
      </c>
      <c r="C2119" s="97"/>
    </row>
    <row r="2120" spans="1:3">
      <c r="A2120" s="92" t="s">
        <v>4735</v>
      </c>
      <c r="B2120" s="8" t="s">
        <v>2112</v>
      </c>
      <c r="C2120" s="91" t="s">
        <v>4736</v>
      </c>
    </row>
    <row r="2121" spans="1:3" ht="17.25" thickBot="1">
      <c r="A2121" s="98"/>
      <c r="B2121" s="5" t="s">
        <v>2657</v>
      </c>
      <c r="C2121" s="97"/>
    </row>
    <row r="2122" spans="1:3" ht="17.25" thickBot="1">
      <c r="A2122" s="4" t="s">
        <v>4735</v>
      </c>
      <c r="B2122" s="5" t="s">
        <v>4726</v>
      </c>
      <c r="C2122" s="5" t="s">
        <v>4737</v>
      </c>
    </row>
    <row r="2123" spans="1:3">
      <c r="A2123" s="92" t="s">
        <v>4738</v>
      </c>
      <c r="B2123" s="8" t="s">
        <v>2509</v>
      </c>
      <c r="C2123" s="91" t="s">
        <v>4739</v>
      </c>
    </row>
    <row r="2124" spans="1:3" ht="17.25" thickBot="1">
      <c r="A2124" s="98"/>
      <c r="B2124" s="5" t="s">
        <v>1550</v>
      </c>
      <c r="C2124" s="97"/>
    </row>
    <row r="2125" spans="1:3" ht="17.25" thickBot="1">
      <c r="A2125" s="4" t="s">
        <v>4740</v>
      </c>
      <c r="B2125" s="5" t="s">
        <v>2119</v>
      </c>
      <c r="C2125" s="5" t="s">
        <v>4741</v>
      </c>
    </row>
    <row r="2126" spans="1:3">
      <c r="A2126" s="92" t="s">
        <v>4742</v>
      </c>
      <c r="B2126" s="8" t="s">
        <v>2660</v>
      </c>
      <c r="C2126" s="91" t="s">
        <v>4743</v>
      </c>
    </row>
    <row r="2127" spans="1:3" ht="17.25" thickBot="1">
      <c r="A2127" s="98"/>
      <c r="B2127" s="5" t="s">
        <v>2884</v>
      </c>
      <c r="C2127" s="97"/>
    </row>
    <row r="2128" spans="1:3" ht="17.25" thickBot="1">
      <c r="A2128" s="4" t="s">
        <v>2025</v>
      </c>
      <c r="B2128" s="5" t="s">
        <v>1603</v>
      </c>
      <c r="C2128" s="6" t="s">
        <v>4745</v>
      </c>
    </row>
    <row r="2129" spans="1:3" ht="17.25" thickBot="1">
      <c r="A2129" s="4" t="s">
        <v>1775</v>
      </c>
      <c r="B2129" s="6" t="s">
        <v>1632</v>
      </c>
      <c r="C2129" s="5" t="s">
        <v>4746</v>
      </c>
    </row>
    <row r="2130" spans="1:3" ht="17.25" thickBot="1">
      <c r="A2130" s="4" t="s">
        <v>4747</v>
      </c>
      <c r="B2130" s="5" t="s">
        <v>1603</v>
      </c>
      <c r="C2130" s="6" t="s">
        <v>4745</v>
      </c>
    </row>
    <row r="2131" spans="1:3" ht="17.25" thickBot="1">
      <c r="A2131" s="4" t="s">
        <v>2023</v>
      </c>
      <c r="B2131" s="6" t="s">
        <v>1632</v>
      </c>
      <c r="C2131" s="5" t="s">
        <v>4748</v>
      </c>
    </row>
    <row r="2132" spans="1:3" ht="27.75" thickBot="1">
      <c r="A2132" s="4" t="s">
        <v>4749</v>
      </c>
      <c r="B2132" s="6" t="s">
        <v>1632</v>
      </c>
      <c r="C2132" s="6" t="s">
        <v>4750</v>
      </c>
    </row>
    <row r="2133" spans="1:3" ht="27.75" thickBot="1">
      <c r="A2133" s="4" t="s">
        <v>4751</v>
      </c>
      <c r="B2133" s="6" t="s">
        <v>1632</v>
      </c>
      <c r="C2133" s="6" t="s">
        <v>4752</v>
      </c>
    </row>
    <row r="2134" spans="1:3" ht="27.75" thickBot="1">
      <c r="A2134" s="4" t="s">
        <v>4753</v>
      </c>
      <c r="B2134" s="6" t="s">
        <v>1632</v>
      </c>
      <c r="C2134" s="5" t="s">
        <v>4754</v>
      </c>
    </row>
    <row r="2135" spans="1:3">
      <c r="A2135" s="117" t="s">
        <v>4755</v>
      </c>
    </row>
    <row r="2136" spans="1:3" ht="17.25" thickBot="1">
      <c r="A2136" s="115" t="s">
        <v>4777</v>
      </c>
      <c r="B2136" s="115" t="s">
        <v>4778</v>
      </c>
    </row>
    <row r="2137" spans="1:3" ht="17.25" thickBot="1">
      <c r="A2137" s="102" t="s">
        <v>1591</v>
      </c>
      <c r="B2137" s="103" t="s">
        <v>1635</v>
      </c>
      <c r="C2137" s="103" t="s">
        <v>1593</v>
      </c>
    </row>
    <row r="2138" spans="1:3">
      <c r="A2138" s="92" t="s">
        <v>1996</v>
      </c>
      <c r="B2138" s="8" t="s">
        <v>2112</v>
      </c>
      <c r="C2138" s="91" t="s">
        <v>4779</v>
      </c>
    </row>
    <row r="2139" spans="1:3" ht="17.25" thickBot="1">
      <c r="A2139" s="98"/>
      <c r="B2139" s="5" t="s">
        <v>2657</v>
      </c>
      <c r="C2139" s="97"/>
    </row>
    <row r="2140" spans="1:3" ht="17.25" thickBot="1">
      <c r="A2140" s="4" t="s">
        <v>1996</v>
      </c>
      <c r="B2140" s="5" t="s">
        <v>4726</v>
      </c>
      <c r="C2140" s="5" t="s">
        <v>4780</v>
      </c>
    </row>
    <row r="2141" spans="1:3">
      <c r="A2141" s="92" t="s">
        <v>4723</v>
      </c>
      <c r="B2141" s="8" t="s">
        <v>1566</v>
      </c>
      <c r="C2141" s="91" t="s">
        <v>4724</v>
      </c>
    </row>
    <row r="2142" spans="1:3" ht="17.25" thickBot="1">
      <c r="A2142" s="98"/>
      <c r="B2142" s="5" t="s">
        <v>1550</v>
      </c>
      <c r="C2142" s="97"/>
    </row>
    <row r="2143" spans="1:3">
      <c r="A2143" s="92" t="s">
        <v>4728</v>
      </c>
      <c r="B2143" s="8" t="s">
        <v>0</v>
      </c>
      <c r="C2143" s="91" t="s">
        <v>4781</v>
      </c>
    </row>
    <row r="2144" spans="1:3">
      <c r="A2144" s="171"/>
      <c r="B2144" s="8" t="s">
        <v>4729</v>
      </c>
      <c r="C2144" s="170"/>
    </row>
    <row r="2145" spans="1:3" ht="17.25" thickBot="1">
      <c r="A2145" s="98"/>
      <c r="B2145" s="5" t="s">
        <v>1550</v>
      </c>
      <c r="C2145" s="97"/>
    </row>
    <row r="2146" spans="1:3">
      <c r="A2146" s="92" t="s">
        <v>4731</v>
      </c>
      <c r="B2146" s="8" t="s">
        <v>1603</v>
      </c>
      <c r="C2146" s="91" t="s">
        <v>4732</v>
      </c>
    </row>
    <row r="2147" spans="1:3" ht="17.25" thickBot="1">
      <c r="A2147" s="98"/>
      <c r="B2147" s="5" t="s">
        <v>1550</v>
      </c>
      <c r="C2147" s="97"/>
    </row>
    <row r="2148" spans="1:3">
      <c r="A2148" s="92" t="s">
        <v>4733</v>
      </c>
      <c r="B2148" s="8" t="s">
        <v>2660</v>
      </c>
      <c r="C2148" s="91" t="s">
        <v>4734</v>
      </c>
    </row>
    <row r="2149" spans="1:3" ht="17.25" thickBot="1">
      <c r="A2149" s="98"/>
      <c r="B2149" s="5" t="s">
        <v>2884</v>
      </c>
      <c r="C2149" s="97"/>
    </row>
    <row r="2150" spans="1:3">
      <c r="A2150" s="92" t="s">
        <v>4735</v>
      </c>
      <c r="B2150" s="8" t="s">
        <v>2112</v>
      </c>
      <c r="C2150" s="91" t="s">
        <v>4736</v>
      </c>
    </row>
    <row r="2151" spans="1:3" ht="17.25" thickBot="1">
      <c r="A2151" s="98"/>
      <c r="B2151" s="5" t="s">
        <v>2657</v>
      </c>
      <c r="C2151" s="97"/>
    </row>
    <row r="2152" spans="1:3" ht="17.25" thickBot="1">
      <c r="A2152" s="4" t="s">
        <v>4735</v>
      </c>
      <c r="B2152" s="5" t="s">
        <v>4726</v>
      </c>
      <c r="C2152" s="5" t="s">
        <v>4782</v>
      </c>
    </row>
    <row r="2153" spans="1:3">
      <c r="A2153" s="92" t="s">
        <v>4738</v>
      </c>
      <c r="B2153" s="8" t="s">
        <v>2509</v>
      </c>
      <c r="C2153" s="91" t="s">
        <v>4783</v>
      </c>
    </row>
    <row r="2154" spans="1:3" ht="17.25" thickBot="1">
      <c r="A2154" s="98"/>
      <c r="B2154" s="5" t="s">
        <v>1550</v>
      </c>
      <c r="C2154" s="97"/>
    </row>
    <row r="2155" spans="1:3" ht="17.25" thickBot="1">
      <c r="A2155" s="4" t="s">
        <v>4740</v>
      </c>
      <c r="B2155" s="5" t="s">
        <v>2119</v>
      </c>
      <c r="C2155" s="5" t="s">
        <v>4741</v>
      </c>
    </row>
    <row r="2156" spans="1:3">
      <c r="A2156" s="92" t="s">
        <v>4742</v>
      </c>
      <c r="B2156" s="8" t="s">
        <v>2660</v>
      </c>
      <c r="C2156" s="91" t="s">
        <v>4743</v>
      </c>
    </row>
    <row r="2157" spans="1:3" ht="17.25" thickBot="1">
      <c r="A2157" s="98"/>
      <c r="B2157" s="5" t="s">
        <v>2884</v>
      </c>
      <c r="C2157" s="97"/>
    </row>
    <row r="2158" spans="1:3" ht="26.25" thickBot="1">
      <c r="A2158" s="4" t="s">
        <v>4785</v>
      </c>
      <c r="B2158" s="6" t="s">
        <v>1632</v>
      </c>
      <c r="C2158" s="6" t="s">
        <v>4786</v>
      </c>
    </row>
    <row r="2159" spans="1:3" ht="17.25" thickBot="1">
      <c r="A2159" s="4" t="s">
        <v>2025</v>
      </c>
      <c r="B2159" s="5" t="s">
        <v>1603</v>
      </c>
      <c r="C2159" s="6" t="s">
        <v>4787</v>
      </c>
    </row>
    <row r="2160" spans="1:3" ht="17.25" thickBot="1">
      <c r="A2160" s="4" t="s">
        <v>1775</v>
      </c>
      <c r="B2160" s="6" t="s">
        <v>1632</v>
      </c>
      <c r="C2160" s="5" t="s">
        <v>4788</v>
      </c>
    </row>
    <row r="2161" spans="1:3" ht="17.25" thickBot="1">
      <c r="A2161" s="4" t="s">
        <v>4747</v>
      </c>
      <c r="B2161" s="5" t="s">
        <v>1603</v>
      </c>
      <c r="C2161" s="6" t="s">
        <v>4789</v>
      </c>
    </row>
    <row r="2162" spans="1:3" ht="17.25" thickBot="1">
      <c r="A2162" s="4" t="s">
        <v>2023</v>
      </c>
      <c r="B2162" s="6" t="s">
        <v>1632</v>
      </c>
      <c r="C2162" s="5" t="s">
        <v>4748</v>
      </c>
    </row>
    <row r="2163" spans="1:3" ht="27.75" thickBot="1">
      <c r="A2163" s="4" t="s">
        <v>4753</v>
      </c>
      <c r="B2163" s="6" t="s">
        <v>1632</v>
      </c>
      <c r="C2163" s="5" t="s">
        <v>4790</v>
      </c>
    </row>
    <row r="2164" spans="1:3">
      <c r="A2164" s="117" t="s">
        <v>4791</v>
      </c>
    </row>
    <row r="2165" spans="1:3" ht="17.25" thickBot="1">
      <c r="A2165" s="115" t="s">
        <v>4802</v>
      </c>
      <c r="B2165" s="115" t="s">
        <v>4803</v>
      </c>
    </row>
    <row r="2166" spans="1:3" ht="17.25" thickBot="1">
      <c r="A2166" s="102" t="s">
        <v>1591</v>
      </c>
      <c r="B2166" s="103" t="s">
        <v>1635</v>
      </c>
      <c r="C2166" s="103" t="s">
        <v>1593</v>
      </c>
    </row>
    <row r="2167" spans="1:3">
      <c r="A2167" s="92" t="s">
        <v>1996</v>
      </c>
      <c r="B2167" s="8" t="s">
        <v>2112</v>
      </c>
      <c r="C2167" s="8" t="s">
        <v>4804</v>
      </c>
    </row>
    <row r="2168" spans="1:3" ht="17.25" thickBot="1">
      <c r="A2168" s="98"/>
      <c r="B2168" s="5" t="s">
        <v>2657</v>
      </c>
      <c r="C2168" s="5" t="s">
        <v>1999</v>
      </c>
    </row>
    <row r="2169" spans="1:3" ht="17.25" thickBot="1">
      <c r="A2169" s="4" t="s">
        <v>1996</v>
      </c>
      <c r="B2169" s="5" t="s">
        <v>4726</v>
      </c>
      <c r="C2169" s="5" t="s">
        <v>3255</v>
      </c>
    </row>
    <row r="2170" spans="1:3">
      <c r="A2170" s="92" t="s">
        <v>4728</v>
      </c>
      <c r="B2170" s="8" t="s">
        <v>0</v>
      </c>
      <c r="C2170" s="91" t="s">
        <v>4781</v>
      </c>
    </row>
    <row r="2171" spans="1:3">
      <c r="A2171" s="171"/>
      <c r="B2171" s="8" t="s">
        <v>4729</v>
      </c>
      <c r="C2171" s="170"/>
    </row>
    <row r="2172" spans="1:3" ht="17.25" thickBot="1">
      <c r="A2172" s="98"/>
      <c r="B2172" s="5" t="s">
        <v>1550</v>
      </c>
      <c r="C2172" s="97"/>
    </row>
    <row r="2173" spans="1:3">
      <c r="A2173" s="92" t="s">
        <v>4731</v>
      </c>
      <c r="B2173" s="8" t="s">
        <v>1603</v>
      </c>
      <c r="C2173" s="91" t="s">
        <v>4732</v>
      </c>
    </row>
    <row r="2174" spans="1:3" ht="17.25" thickBot="1">
      <c r="A2174" s="98"/>
      <c r="B2174" s="5" t="s">
        <v>1550</v>
      </c>
      <c r="C2174" s="97"/>
    </row>
    <row r="2175" spans="1:3">
      <c r="A2175" s="92" t="s">
        <v>4733</v>
      </c>
      <c r="B2175" s="8" t="s">
        <v>2660</v>
      </c>
      <c r="C2175" s="91" t="s">
        <v>4805</v>
      </c>
    </row>
    <row r="2176" spans="1:3" ht="17.25" thickBot="1">
      <c r="A2176" s="98"/>
      <c r="B2176" s="5" t="s">
        <v>2884</v>
      </c>
      <c r="C2176" s="97"/>
    </row>
    <row r="2177" spans="1:3">
      <c r="A2177" s="92" t="s">
        <v>4735</v>
      </c>
      <c r="B2177" s="8" t="s">
        <v>2112</v>
      </c>
      <c r="C2177" s="91" t="s">
        <v>4806</v>
      </c>
    </row>
    <row r="2178" spans="1:3" ht="17.25" thickBot="1">
      <c r="A2178" s="98"/>
      <c r="B2178" s="5" t="s">
        <v>2657</v>
      </c>
      <c r="C2178" s="97"/>
    </row>
    <row r="2179" spans="1:3" ht="17.25" thickBot="1">
      <c r="A2179" s="4" t="s">
        <v>4735</v>
      </c>
      <c r="B2179" s="5" t="s">
        <v>4726</v>
      </c>
      <c r="C2179" s="5" t="s">
        <v>4807</v>
      </c>
    </row>
    <row r="2180" spans="1:3">
      <c r="A2180" s="92" t="s">
        <v>4738</v>
      </c>
      <c r="B2180" s="8" t="s">
        <v>2509</v>
      </c>
      <c r="C2180" s="91" t="s">
        <v>4808</v>
      </c>
    </row>
    <row r="2181" spans="1:3" ht="17.25" thickBot="1">
      <c r="A2181" s="98"/>
      <c r="B2181" s="5" t="s">
        <v>1550</v>
      </c>
      <c r="C2181" s="97"/>
    </row>
    <row r="2182" spans="1:3" ht="17.25" thickBot="1">
      <c r="A2182" s="4" t="s">
        <v>4740</v>
      </c>
      <c r="B2182" s="5" t="s">
        <v>2119</v>
      </c>
      <c r="C2182" s="5" t="s">
        <v>4809</v>
      </c>
    </row>
    <row r="2183" spans="1:3">
      <c r="A2183" s="92" t="s">
        <v>4742</v>
      </c>
      <c r="B2183" s="8" t="s">
        <v>2660</v>
      </c>
      <c r="C2183" s="91" t="s">
        <v>4810</v>
      </c>
    </row>
    <row r="2184" spans="1:3" ht="17.25" thickBot="1">
      <c r="A2184" s="98"/>
      <c r="B2184" s="5" t="s">
        <v>2884</v>
      </c>
      <c r="C2184" s="97"/>
    </row>
    <row r="2185" spans="1:3">
      <c r="A2185" s="92" t="s">
        <v>4723</v>
      </c>
      <c r="B2185" s="8" t="s">
        <v>1566</v>
      </c>
      <c r="C2185" s="91" t="s">
        <v>4811</v>
      </c>
    </row>
    <row r="2186" spans="1:3" ht="17.25" thickBot="1">
      <c r="A2186" s="98"/>
      <c r="B2186" s="5" t="s">
        <v>1550</v>
      </c>
      <c r="C2186" s="97"/>
    </row>
    <row r="2187" spans="1:3">
      <c r="A2187" s="92" t="s">
        <v>3525</v>
      </c>
      <c r="B2187" s="8" t="s">
        <v>0</v>
      </c>
      <c r="C2187" s="91" t="s">
        <v>4813</v>
      </c>
    </row>
    <row r="2188" spans="1:3">
      <c r="A2188" s="171"/>
      <c r="B2188" s="8" t="s">
        <v>4812</v>
      </c>
      <c r="C2188" s="170"/>
    </row>
    <row r="2189" spans="1:3" ht="17.25" thickBot="1">
      <c r="A2189" s="98"/>
      <c r="B2189" s="5" t="s">
        <v>1550</v>
      </c>
      <c r="C2189" s="97"/>
    </row>
    <row r="2190" spans="1:3">
      <c r="A2190" s="92" t="s">
        <v>4814</v>
      </c>
      <c r="B2190" s="8" t="s">
        <v>1566</v>
      </c>
      <c r="C2190" s="91" t="s">
        <v>4815</v>
      </c>
    </row>
    <row r="2191" spans="1:3" ht="17.25" thickBot="1">
      <c r="A2191" s="98"/>
      <c r="B2191" s="5" t="s">
        <v>1550</v>
      </c>
      <c r="C2191" s="97"/>
    </row>
    <row r="2192" spans="1:3">
      <c r="A2192" s="92" t="s">
        <v>4816</v>
      </c>
      <c r="B2192" s="8" t="s">
        <v>0</v>
      </c>
      <c r="C2192" s="8" t="s">
        <v>4818</v>
      </c>
    </row>
    <row r="2193" spans="1:3">
      <c r="A2193" s="171"/>
      <c r="B2193" s="8" t="s">
        <v>4817</v>
      </c>
      <c r="C2193" s="8" t="s">
        <v>4819</v>
      </c>
    </row>
    <row r="2194" spans="1:3" ht="17.25" thickBot="1">
      <c r="A2194" s="98"/>
      <c r="B2194" s="5" t="s">
        <v>1550</v>
      </c>
      <c r="C2194" s="136"/>
    </row>
    <row r="2195" spans="1:3">
      <c r="A2195" s="92" t="s">
        <v>4820</v>
      </c>
      <c r="B2195" s="8" t="s">
        <v>1603</v>
      </c>
      <c r="C2195" s="91" t="s">
        <v>4821</v>
      </c>
    </row>
    <row r="2196" spans="1:3" ht="17.25" thickBot="1">
      <c r="A2196" s="98"/>
      <c r="B2196" s="5" t="s">
        <v>1550</v>
      </c>
      <c r="C2196" s="97"/>
    </row>
    <row r="2197" spans="1:3">
      <c r="A2197" s="92" t="s">
        <v>4822</v>
      </c>
      <c r="B2197" s="8" t="s">
        <v>1603</v>
      </c>
      <c r="C2197" s="8" t="s">
        <v>4823</v>
      </c>
    </row>
    <row r="2198" spans="1:3" ht="17.25" thickBot="1">
      <c r="A2198" s="98"/>
      <c r="B2198" s="5" t="s">
        <v>1550</v>
      </c>
      <c r="C2198" s="5" t="s">
        <v>4824</v>
      </c>
    </row>
    <row r="2199" spans="1:3">
      <c r="A2199" s="92" t="s">
        <v>1679</v>
      </c>
      <c r="B2199" s="8" t="s">
        <v>2112</v>
      </c>
      <c r="C2199" s="91" t="s">
        <v>4825</v>
      </c>
    </row>
    <row r="2200" spans="1:3" ht="17.25" thickBot="1">
      <c r="A2200" s="98"/>
      <c r="B2200" s="5" t="s">
        <v>2657</v>
      </c>
      <c r="C2200" s="97"/>
    </row>
    <row r="2201" spans="1:3">
      <c r="A2201" s="92" t="s">
        <v>4826</v>
      </c>
      <c r="B2201" s="8" t="s">
        <v>2112</v>
      </c>
      <c r="C2201" s="91" t="s">
        <v>4827</v>
      </c>
    </row>
    <row r="2202" spans="1:3" ht="17.25" thickBot="1">
      <c r="A2202" s="98"/>
      <c r="B2202" s="5" t="s">
        <v>2657</v>
      </c>
      <c r="C2202" s="97"/>
    </row>
    <row r="2203" spans="1:3" ht="17.25" thickBot="1">
      <c r="A2203" s="4" t="s">
        <v>4713</v>
      </c>
      <c r="B2203" s="6" t="s">
        <v>1632</v>
      </c>
      <c r="C2203" s="5" t="s">
        <v>2158</v>
      </c>
    </row>
    <row r="2204" spans="1:3">
      <c r="A2204" s="92" t="s">
        <v>4828</v>
      </c>
      <c r="B2204" s="8" t="s">
        <v>2112</v>
      </c>
      <c r="C2204" s="91" t="s">
        <v>4829</v>
      </c>
    </row>
    <row r="2205" spans="1:3" ht="17.25" thickBot="1">
      <c r="A2205" s="98"/>
      <c r="B2205" s="5" t="s">
        <v>2657</v>
      </c>
      <c r="C2205" s="97"/>
    </row>
    <row r="2206" spans="1:3">
      <c r="A2206" s="92" t="s">
        <v>4830</v>
      </c>
      <c r="B2206" s="8" t="s">
        <v>2112</v>
      </c>
      <c r="C2206" s="91" t="s">
        <v>4831</v>
      </c>
    </row>
    <row r="2207" spans="1:3" ht="17.25" thickBot="1">
      <c r="A2207" s="98"/>
      <c r="B2207" s="5" t="s">
        <v>2657</v>
      </c>
      <c r="C2207" s="97"/>
    </row>
    <row r="2208" spans="1:3">
      <c r="A2208" s="92" t="s">
        <v>4832</v>
      </c>
      <c r="B2208" s="8" t="s">
        <v>1566</v>
      </c>
      <c r="C2208" s="91" t="s">
        <v>4833</v>
      </c>
    </row>
    <row r="2209" spans="1:3" ht="17.25" thickBot="1">
      <c r="A2209" s="98"/>
      <c r="B2209" s="5" t="s">
        <v>1550</v>
      </c>
      <c r="C2209" s="97"/>
    </row>
    <row r="2210" spans="1:3">
      <c r="A2210" s="92" t="s">
        <v>4834</v>
      </c>
      <c r="B2210" s="8" t="s">
        <v>2112</v>
      </c>
      <c r="C2210" s="91" t="s">
        <v>4835</v>
      </c>
    </row>
    <row r="2211" spans="1:3" ht="17.25" thickBot="1">
      <c r="A2211" s="98"/>
      <c r="B2211" s="5" t="s">
        <v>2657</v>
      </c>
      <c r="C2211" s="97"/>
    </row>
    <row r="2212" spans="1:3">
      <c r="A2212" s="92" t="s">
        <v>4836</v>
      </c>
      <c r="B2212" s="8" t="s">
        <v>0</v>
      </c>
      <c r="C2212" s="91" t="s">
        <v>4837</v>
      </c>
    </row>
    <row r="2213" spans="1:3">
      <c r="A2213" s="171"/>
      <c r="B2213" s="8" t="s">
        <v>4812</v>
      </c>
      <c r="C2213" s="170"/>
    </row>
    <row r="2214" spans="1:3" ht="17.25" thickBot="1">
      <c r="A2214" s="98"/>
      <c r="B2214" s="5" t="s">
        <v>1550</v>
      </c>
      <c r="C2214" s="97"/>
    </row>
    <row r="2215" spans="1:3">
      <c r="A2215" s="92" t="s">
        <v>4838</v>
      </c>
      <c r="B2215" s="8" t="s">
        <v>1566</v>
      </c>
      <c r="C2215" s="8" t="s">
        <v>4839</v>
      </c>
    </row>
    <row r="2216" spans="1:3" ht="17.25" thickBot="1">
      <c r="A2216" s="98"/>
      <c r="B2216" s="5" t="s">
        <v>1550</v>
      </c>
      <c r="C2216" s="5" t="s">
        <v>4840</v>
      </c>
    </row>
    <row r="2217" spans="1:3">
      <c r="A2217" s="92" t="s">
        <v>4841</v>
      </c>
      <c r="B2217" s="8" t="s">
        <v>1603</v>
      </c>
      <c r="C2217" s="91" t="s">
        <v>4842</v>
      </c>
    </row>
    <row r="2218" spans="1:3" ht="17.25" thickBot="1">
      <c r="A2218" s="98"/>
      <c r="B2218" s="5" t="s">
        <v>1550</v>
      </c>
      <c r="C2218" s="97"/>
    </row>
    <row r="2219" spans="1:3">
      <c r="A2219" s="176" t="s">
        <v>4843</v>
      </c>
      <c r="B2219" s="8" t="s">
        <v>2112</v>
      </c>
      <c r="C2219" s="8" t="s">
        <v>4844</v>
      </c>
    </row>
    <row r="2220" spans="1:3" ht="17.25" thickBot="1">
      <c r="A2220" s="177"/>
      <c r="B2220" s="5" t="s">
        <v>2657</v>
      </c>
      <c r="C2220" s="5" t="s">
        <v>4845</v>
      </c>
    </row>
    <row r="2221" spans="1:3">
      <c r="A2221" s="176" t="s">
        <v>4846</v>
      </c>
      <c r="B2221" s="8" t="s">
        <v>2112</v>
      </c>
      <c r="C2221" s="8" t="s">
        <v>4847</v>
      </c>
    </row>
    <row r="2222" spans="1:3" ht="17.25" thickBot="1">
      <c r="A2222" s="177"/>
      <c r="B2222" s="5" t="s">
        <v>2657</v>
      </c>
      <c r="C2222" s="5" t="s">
        <v>4848</v>
      </c>
    </row>
    <row r="2223" spans="1:3" ht="17.25" thickBot="1">
      <c r="A2223" s="4" t="s">
        <v>2025</v>
      </c>
      <c r="B2223" s="5" t="s">
        <v>1603</v>
      </c>
      <c r="C2223" s="6" t="s">
        <v>4850</v>
      </c>
    </row>
    <row r="2224" spans="1:3" ht="17.25" thickBot="1">
      <c r="A2224" s="4" t="s">
        <v>4747</v>
      </c>
      <c r="B2224" s="5" t="s">
        <v>1603</v>
      </c>
      <c r="C2224" s="6" t="s">
        <v>4851</v>
      </c>
    </row>
    <row r="2225" spans="1:3" ht="27.75" thickBot="1">
      <c r="A2225" s="4" t="s">
        <v>4753</v>
      </c>
      <c r="B2225" s="6" t="s">
        <v>1632</v>
      </c>
      <c r="C2225" s="5" t="s">
        <v>4790</v>
      </c>
    </row>
    <row r="2226" spans="1:3" ht="27.75" thickBot="1">
      <c r="A2226" s="4" t="s">
        <v>4749</v>
      </c>
      <c r="B2226" s="6" t="s">
        <v>1632</v>
      </c>
      <c r="C2226" s="6" t="s">
        <v>4829</v>
      </c>
    </row>
    <row r="2227" spans="1:3" ht="27.75" thickBot="1">
      <c r="A2227" s="4" t="s">
        <v>4751</v>
      </c>
      <c r="B2227" s="6" t="s">
        <v>1632</v>
      </c>
      <c r="C2227" s="5" t="s">
        <v>4852</v>
      </c>
    </row>
    <row r="2228" spans="1:3">
      <c r="A2228" s="117" t="s">
        <v>4853</v>
      </c>
    </row>
    <row r="2229" spans="1:3">
      <c r="A2229" s="115" t="s">
        <v>4879</v>
      </c>
      <c r="B2229" s="115" t="s">
        <v>4880</v>
      </c>
    </row>
    <row r="2230" spans="1:3" ht="17.25" thickBot="1">
      <c r="A2230" s="126" t="s">
        <v>1874</v>
      </c>
    </row>
    <row r="2231" spans="1:3" ht="17.25" thickBot="1">
      <c r="A2231" s="102" t="s">
        <v>1591</v>
      </c>
      <c r="B2231" s="103" t="s">
        <v>1635</v>
      </c>
      <c r="C2231" s="103" t="s">
        <v>1593</v>
      </c>
    </row>
    <row r="2232" spans="1:3" ht="17.25" thickBot="1">
      <c r="A2232" s="4" t="s">
        <v>4881</v>
      </c>
      <c r="B2232" s="5" t="s">
        <v>1559</v>
      </c>
      <c r="C2232" s="6" t="s">
        <v>4882</v>
      </c>
    </row>
    <row r="2233" spans="1:3" ht="17.25" thickBot="1">
      <c r="A2233" s="4" t="s">
        <v>1172</v>
      </c>
      <c r="B2233" s="5" t="s">
        <v>1559</v>
      </c>
      <c r="C2233" s="6" t="s">
        <v>4883</v>
      </c>
    </row>
    <row r="2234" spans="1:3" ht="17.25" thickBot="1">
      <c r="A2234" s="4" t="s">
        <v>4885</v>
      </c>
      <c r="B2234" s="6" t="s">
        <v>1615</v>
      </c>
      <c r="C2234" s="6" t="s">
        <v>4886</v>
      </c>
    </row>
    <row r="2235" spans="1:3" ht="17.25" thickBot="1">
      <c r="A2235" s="4" t="s">
        <v>1634</v>
      </c>
      <c r="B2235" s="5" t="s">
        <v>1603</v>
      </c>
      <c r="C2235" s="5" t="s">
        <v>4887</v>
      </c>
    </row>
    <row r="2236" spans="1:3">
      <c r="A2236" s="117" t="s">
        <v>4928</v>
      </c>
    </row>
  </sheetData>
  <autoFilter ref="A1:F1"/>
  <phoneticPr fontId="4"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filterMode="1"/>
  <dimension ref="A1:E171"/>
  <sheetViews>
    <sheetView workbookViewId="0">
      <selection activeCell="E1" sqref="E1:E19"/>
    </sheetView>
  </sheetViews>
  <sheetFormatPr defaultColWidth="1.625" defaultRowHeight="16.5"/>
  <cols>
    <col min="1" max="1" width="29" bestFit="1" customWidth="1"/>
    <col min="2" max="2" width="34.625" bestFit="1" customWidth="1"/>
    <col min="3" max="3" width="27.875" bestFit="1" customWidth="1"/>
    <col min="4" max="4" width="10.25" customWidth="1"/>
    <col min="5" max="5" width="80.625" bestFit="1" customWidth="1"/>
  </cols>
  <sheetData>
    <row r="1" spans="1:5">
      <c r="A1" t="s">
        <v>7453</v>
      </c>
      <c r="B1" t="s">
        <v>5222</v>
      </c>
      <c r="C1" t="s">
        <v>5223</v>
      </c>
      <c r="D1" t="s">
        <v>5224</v>
      </c>
      <c r="E1" t="str">
        <f>"{ ""name"": """ &amp;[1]!SplitText(B1,"(",1)&amp;""" , ""object"": ""direction"" , ""from"":"""&amp;A1&amp;"""},"</f>
        <v>{ "name": "  AngleDirection" , "object": "direction" , "from":"ARC "},</v>
      </c>
    </row>
    <row r="2" spans="1:5" hidden="1">
      <c r="A2" t="s">
        <v>7453</v>
      </c>
      <c r="B2" t="s">
        <v>5225</v>
      </c>
      <c r="C2" t="s">
        <v>5223</v>
      </c>
      <c r="D2" t="s">
        <v>5226</v>
      </c>
      <c r="E2" t="str">
        <f>"{ ""name"": """ &amp;[1]!SplitText(B2,"(",1)&amp;""" , ""object"": ""direction"" , ""from"":"""&amp;A2&amp;"""},"</f>
        <v>{ "name": "  StartTangent" , "object": "direction" , "from":"ARC "},</v>
      </c>
    </row>
    <row r="3" spans="1:5" hidden="1">
      <c r="A3" t="s">
        <v>7453</v>
      </c>
      <c r="B3" t="s">
        <v>5227</v>
      </c>
      <c r="C3" t="s">
        <v>5223</v>
      </c>
      <c r="D3" t="s">
        <v>5228</v>
      </c>
      <c r="E3" t="str">
        <f>"{ ""name"": """ &amp;[1]!SplitText(B3,"(",1)&amp;""" , ""object"": ""direction"" , ""from"":"""&amp;A3&amp;"""},"</f>
        <v>{ "name": "  EndTangent" , "object": "direction" , "from":"ARC "},</v>
      </c>
    </row>
    <row r="4" spans="1:5" hidden="1">
      <c r="A4" t="s">
        <v>7453</v>
      </c>
      <c r="B4" t="s">
        <v>5229</v>
      </c>
      <c r="C4" t="s">
        <v>5223</v>
      </c>
      <c r="D4" t="s">
        <v>5230</v>
      </c>
      <c r="E4" t="str">
        <f>"{ ""name"": """ &amp;[1]!SplitText(B4,"(",1)&amp;""" , ""object"": ""direction"" , ""from"":"""&amp;A4&amp;"""},"</f>
        <v>{ "name": "  AngleTangent" , "object": "direction" , "from":"ARC "},</v>
      </c>
    </row>
    <row r="5" spans="1:5" hidden="1">
      <c r="A5" t="s">
        <v>3224</v>
      </c>
      <c r="B5" t="s">
        <v>5719</v>
      </c>
      <c r="C5" t="s">
        <v>5223</v>
      </c>
      <c r="D5" t="s">
        <v>5720</v>
      </c>
      <c r="E5" t="str">
        <f>"{ ""name"": """ &amp;[1]!SplitText(B5,"(",1)&amp;""" , ""object"": ""direction"" , ""from"":"""&amp;A5&amp;"""},"</f>
        <v>{ "name": "  PDirection" , "object": "direction" , "from":"DBREF "},</v>
      </c>
    </row>
    <row r="6" spans="1:5" hidden="1">
      <c r="A6" t="s">
        <v>3247</v>
      </c>
      <c r="B6" t="s">
        <v>5738</v>
      </c>
      <c r="C6" t="s">
        <v>5223</v>
      </c>
      <c r="D6" t="s">
        <v>5739</v>
      </c>
      <c r="E6" t="str">
        <f>"{ ""name"": """ &amp;[1]!SplitText(B6,"(",1)&amp;""" , ""object"": ""direction"" , ""from"":"""&amp;A6&amp;"""},"</f>
        <v>{ "name": "  Direction" , "object": "direction" , "from":"DIRECTION "},</v>
      </c>
    </row>
    <row r="7" spans="1:5" hidden="1">
      <c r="A7" t="s">
        <v>3247</v>
      </c>
      <c r="B7" t="s">
        <v>5740</v>
      </c>
      <c r="C7" t="s">
        <v>5223</v>
      </c>
      <c r="D7" t="s">
        <v>5741</v>
      </c>
      <c r="E7" t="str">
        <f>"{ ""name"": """ &amp;[1]!SplitText(B7,"(",1)&amp;""" , ""object"": ""direction"" , ""from"":"""&amp;A7&amp;"""},"</f>
        <v>{ "name": "  Direction" , "object": "direction" , "from":"DIRECTION "},</v>
      </c>
    </row>
    <row r="8" spans="1:5" hidden="1">
      <c r="A8" t="s">
        <v>3247</v>
      </c>
      <c r="B8" t="s">
        <v>5748</v>
      </c>
      <c r="C8" t="s">
        <v>5223</v>
      </c>
      <c r="D8" t="s">
        <v>5749</v>
      </c>
      <c r="E8" t="str">
        <f>"{ ""name"": """ &amp;[1]!SplitText(B8,"(",1)&amp;""" , ""object"": ""direction"" , ""from"":"""&amp;A8&amp;"""},"</f>
        <v>{ "name": "  WRT" , "object": "direction" , "from":"DIRECTION "},</v>
      </c>
    </row>
    <row r="9" spans="1:5" hidden="1">
      <c r="A9" t="s">
        <v>3247</v>
      </c>
      <c r="B9" t="s">
        <v>5752</v>
      </c>
      <c r="C9" t="s">
        <v>5223</v>
      </c>
      <c r="D9" t="s">
        <v>5753</v>
      </c>
      <c r="E9" t="str">
        <f>"{ ""name"": """ &amp;[1]!SplitText(B9,"(",1)&amp;""" , ""object"": ""direction"" , ""from"":"""&amp;A9&amp;"""},"</f>
        <v>{ "name": "  Bisect" , "object": "direction" , "from":"DIRECTION "},</v>
      </c>
    </row>
    <row r="10" spans="1:5" hidden="1">
      <c r="A10" t="s">
        <v>3247</v>
      </c>
      <c r="B10" t="s">
        <v>5754</v>
      </c>
      <c r="C10" t="s">
        <v>5223</v>
      </c>
      <c r="D10" t="s">
        <v>5755</v>
      </c>
      <c r="E10" t="str">
        <f>"{ ""name"": """ &amp;[1]!SplitText(B10,"(",1)&amp;""" , ""object"": ""direction"" , ""from"":"""&amp;A10&amp;"""},"</f>
        <v>{ "name": "  Cross" , "object": "direction" , "from":"DIRECTION "},</v>
      </c>
    </row>
    <row r="11" spans="1:5" hidden="1">
      <c r="A11" t="s">
        <v>3247</v>
      </c>
      <c r="B11" t="s">
        <v>5762</v>
      </c>
      <c r="C11" t="s">
        <v>5763</v>
      </c>
      <c r="D11" t="s">
        <v>5764</v>
      </c>
      <c r="E11" t="str">
        <f>"{ ""name"": """ &amp;[1]!SplitText(B11,"(",1)&amp;""" , ""object"": ""direction"" , ""from"":"""&amp;A11&amp;"""},"</f>
        <v>{ "name": "  Opposite" , "object": "direction" , "from":"DIRECTION "},</v>
      </c>
    </row>
    <row r="12" spans="1:5" hidden="1">
      <c r="A12" t="s">
        <v>3247</v>
      </c>
      <c r="B12" t="s">
        <v>5765</v>
      </c>
      <c r="C12" t="s">
        <v>5223</v>
      </c>
      <c r="D12" t="s">
        <v>5766</v>
      </c>
      <c r="E12" t="str">
        <f>"{ ""name"": """ &amp;[1]!SplitText(B12,"(",1)&amp;""" , ""object"": ""direction"" , ""from"":"""&amp;A12&amp;"""},"</f>
        <v>{ "name": "  Orthogonal" , "object": "direction" , "from":"DIRECTION "},</v>
      </c>
    </row>
    <row r="13" spans="1:5" hidden="1">
      <c r="A13" t="s">
        <v>3247</v>
      </c>
      <c r="B13" t="s">
        <v>5767</v>
      </c>
      <c r="C13" t="s">
        <v>5223</v>
      </c>
      <c r="D13" t="s">
        <v>5768</v>
      </c>
      <c r="E13" t="str">
        <f>"{ ""name"": """ &amp;[1]!SplitText(B13,"(",1)&amp;""" , ""object"": ""direction"" , ""from"":"""&amp;A13&amp;"""},"</f>
        <v>{ "name": "  Projected" , "object": "direction" , "from":"DIRECTION "},</v>
      </c>
    </row>
    <row r="14" spans="1:5" hidden="1">
      <c r="A14" t="s">
        <v>7454</v>
      </c>
      <c r="B14" t="s">
        <v>4941</v>
      </c>
      <c r="C14" t="s">
        <v>4931</v>
      </c>
      <c r="D14" t="s">
        <v>4942</v>
      </c>
      <c r="E14" t="str">
        <f>"{ ""name"": """ &amp;[1]!SplitText(B14,"(",1)&amp;""" , ""object"": ""direction"" , ""from"":"""&amp;A14&amp;"""},"</f>
        <v>{ "name": " Direction" , "object": "direction" , "from":"LINE "},</v>
      </c>
    </row>
    <row r="15" spans="1:5" hidden="1">
      <c r="A15" t="s">
        <v>7457</v>
      </c>
      <c r="B15" t="s">
        <v>6311</v>
      </c>
      <c r="C15" t="s">
        <v>5763</v>
      </c>
      <c r="D15" t="s">
        <v>6312</v>
      </c>
      <c r="E15" t="str">
        <f>"{ ""name"": """ &amp;[1]!SplitText(B15,"(",1)&amp;""" , ""object"": ""direction"" , ""from"":"""&amp;A15&amp;"""},"</f>
        <v>{ "name": "  XDir" , "object": "direction" , "from":"ORIENTATION "},</v>
      </c>
    </row>
    <row r="16" spans="1:5" hidden="1">
      <c r="A16" t="s">
        <v>7457</v>
      </c>
      <c r="B16" t="s">
        <v>6313</v>
      </c>
      <c r="C16" t="s">
        <v>5763</v>
      </c>
      <c r="D16" t="s">
        <v>6314</v>
      </c>
      <c r="E16" t="str">
        <f>"{ ""name"": """ &amp;[1]!SplitText(B16,"(",1)&amp;""" , ""object"": ""direction"" , ""from"":"""&amp;A16&amp;"""},"</f>
        <v>{ "name": "  YDir" , "object": "direction" , "from":"ORIENTATION "},</v>
      </c>
    </row>
    <row r="17" spans="1:5" hidden="1">
      <c r="A17" t="s">
        <v>7457</v>
      </c>
      <c r="B17" t="s">
        <v>6315</v>
      </c>
      <c r="C17" t="s">
        <v>6316</v>
      </c>
      <c r="D17" t="s">
        <v>6317</v>
      </c>
      <c r="E17" t="str">
        <f>"{ ""name"": """ &amp;[1]!SplitText(B17,"(",1)&amp;""" , ""object"": ""direction"" , ""from"":"""&amp;A17&amp;"""},"</f>
        <v>{ "name": "  ZDir" , "object": "direction" , "from":"ORIENTATION "},</v>
      </c>
    </row>
    <row r="18" spans="1:5" hidden="1">
      <c r="A18" t="s">
        <v>7455</v>
      </c>
      <c r="B18" t="s">
        <v>6332</v>
      </c>
      <c r="C18" t="s">
        <v>5223</v>
      </c>
      <c r="D18" t="s">
        <v>6333</v>
      </c>
      <c r="E18" t="str">
        <f>"{ ""name"": """ &amp;[1]!SplitText(B18,"(",1)&amp;""" , ""object"": ""direction"" , ""from"":"""&amp;A18&amp;"""},"</f>
        <v>{ "name": "  Direction" , "object": "direction" , "from":"PLANE  "},</v>
      </c>
    </row>
    <row r="19" spans="1:5">
      <c r="A19" t="s">
        <v>7456</v>
      </c>
      <c r="B19" t="s">
        <v>6542</v>
      </c>
      <c r="C19" t="s">
        <v>6543</v>
      </c>
      <c r="D19" t="s">
        <v>6544</v>
      </c>
      <c r="E19" t="str">
        <f>"{ ""name"": """ &amp;[1]!SplitText(B19,"(",1)&amp;""" , ""object"": ""direction"" , ""from"":"""&amp;A19&amp;"""},"</f>
        <v>{ "name": "  Direction " , "object": "direction" , "from":"POINTVECTOR "},</v>
      </c>
    </row>
    <row r="20" spans="1:5" hidden="1">
      <c r="A20" t="s">
        <v>3210</v>
      </c>
      <c r="B20" t="s">
        <v>7043</v>
      </c>
      <c r="C20" t="s">
        <v>5223</v>
      </c>
      <c r="D20" t="s">
        <v>7044</v>
      </c>
      <c r="E20" t="str">
        <f>"{ ""name"": """ &amp;[1]!SplitText(B20,"(",1)&amp;""" , ""object"": ""direction"" , ""from"":"""&amp;A20&amp;"""},"</f>
        <v>{ "name": "  Direction" , "object": "direction" , "from":"STRING "},</v>
      </c>
    </row>
    <row r="21" spans="1:5" hidden="1">
      <c r="A21" t="s">
        <v>3210</v>
      </c>
      <c r="B21" t="s">
        <v>7045</v>
      </c>
      <c r="C21" t="s">
        <v>5223</v>
      </c>
      <c r="D21" t="s">
        <v>7046</v>
      </c>
      <c r="E21" t="str">
        <f>"{ ""name"": """ &amp;[1]!SplitText(B21,"(",1)&amp;""" , ""object"": ""direction"" , ""from"":"""&amp;A21&amp;"""},"</f>
        <v>{ "name": "  Direction" , "object": "direction" , "from":"STRING "},</v>
      </c>
    </row>
    <row r="22" spans="1:5" hidden="1">
      <c r="A22" t="s">
        <v>4675</v>
      </c>
      <c r="B22" t="s">
        <v>7342</v>
      </c>
      <c r="C22" t="s">
        <v>5223</v>
      </c>
      <c r="D22" t="s">
        <v>7343</v>
      </c>
      <c r="E22" t="str">
        <f>"{ ""name"": """ &amp;[1]!SplitText(B22,"(",1)&amp;""" , ""object"": ""direction"" , ""from"":"""&amp;A22&amp;"""},"</f>
        <v>{ "name": "  .direction" , "object": "direction" , "from":"ViewFinder"},</v>
      </c>
    </row>
    <row r="23" spans="1:5">
      <c r="E23" t="e">
        <f>"{ ""name"": """ &amp;[1]!SplitText(B23,"(",1)&amp;""" , ""object"": ""direction"" , ""from"":"""&amp;A23&amp;"""},"</f>
        <v>#VALUE!</v>
      </c>
    </row>
    <row r="24" spans="1:5">
      <c r="E24" t="e">
        <f>"{ ""name"": """ &amp;[1]!SplitText(B24,"(",1)&amp;""" , ""object"": ""direction"" , ""from"":"""&amp;A24&amp;"""},"</f>
        <v>#VALUE!</v>
      </c>
    </row>
    <row r="25" spans="1:5">
      <c r="E25" t="e">
        <f>"{ ""name"": """ &amp;[1]!SplitText(B25,"(",1)&amp;""" , ""object"": ""direction"" , ""from"":"""&amp;A25&amp;"""},"</f>
        <v>#VALUE!</v>
      </c>
    </row>
    <row r="26" spans="1:5">
      <c r="E26" t="e">
        <f>"{ ""name"": """ &amp;[1]!SplitText(B26,"(",1)&amp;""" , ""object"": ""direction"" , ""from"":"""&amp;A26&amp;"""},"</f>
        <v>#VALUE!</v>
      </c>
    </row>
    <row r="27" spans="1:5">
      <c r="E27" t="e">
        <f>"{ ""name"": """ &amp;[1]!SplitText(B27,"(",1)&amp;""" , ""object"": ""direction"" , ""from"":"""&amp;A27&amp;"""},"</f>
        <v>#VALUE!</v>
      </c>
    </row>
    <row r="28" spans="1:5">
      <c r="E28" t="e">
        <f>"{ ""name"": """ &amp;[1]!SplitText(B28,"(",1)&amp;""" , ""object"": ""direction"" , ""from"":"""&amp;A28&amp;"""},"</f>
        <v>#VALUE!</v>
      </c>
    </row>
    <row r="29" spans="1:5">
      <c r="E29" t="e">
        <f>"{ ""name"": """ &amp;[1]!SplitText(B29,"(",1)&amp;""" , ""object"": ""direction"" , ""from"":"""&amp;A29&amp;"""},"</f>
        <v>#VALUE!</v>
      </c>
    </row>
    <row r="30" spans="1:5">
      <c r="E30" t="e">
        <f>"{ ""name"": """ &amp;[1]!SplitText(B30,"(",1)&amp;""" , ""object"": ""direction"" , ""from"":"""&amp;A30&amp;"""},"</f>
        <v>#VALUE!</v>
      </c>
    </row>
    <row r="31" spans="1:5">
      <c r="E31" t="e">
        <f>"{ ""name"": """ &amp;[1]!SplitText(B31,"(",1)&amp;""" , ""object"": ""direction"" , ""from"":"""&amp;A31&amp;"""},"</f>
        <v>#VALUE!</v>
      </c>
    </row>
    <row r="32" spans="1:5">
      <c r="E32" t="e">
        <f>"{ ""name"": """ &amp;[1]!SplitText(B32,"(",1)&amp;""" , ""object"": ""direction"" , ""from"":"""&amp;A32&amp;"""},"</f>
        <v>#VALUE!</v>
      </c>
    </row>
    <row r="33" spans="5:5">
      <c r="E33" t="e">
        <f>"{ ""name"": """ &amp;[1]!SplitText(B33,"(",1)&amp;""" , ""object"": ""direction"" , ""from"":"""&amp;A33&amp;"""},"</f>
        <v>#VALUE!</v>
      </c>
    </row>
    <row r="34" spans="5:5">
      <c r="E34" t="e">
        <f>"{ ""name"": """ &amp;[1]!SplitText(B34,"(",1)&amp;""" , ""object"": ""direction"" , ""from"":"""&amp;A34&amp;"""},"</f>
        <v>#VALUE!</v>
      </c>
    </row>
    <row r="35" spans="5:5">
      <c r="E35" t="e">
        <f>"{ ""name"": """ &amp;[1]!SplitText(B35,"(",1)&amp;""" , ""object"": ""direction"" , ""from"":"""&amp;A35&amp;"""},"</f>
        <v>#VALUE!</v>
      </c>
    </row>
    <row r="36" spans="5:5">
      <c r="E36" t="e">
        <f>"{ ""name"": """ &amp;[1]!SplitText(B36,"(",1)&amp;""" , ""object"": ""direction"" , ""from"":"""&amp;A36&amp;"""},"</f>
        <v>#VALUE!</v>
      </c>
    </row>
    <row r="37" spans="5:5">
      <c r="E37" t="e">
        <f>"{ ""name"": """ &amp;[1]!SplitText(B37,"(",1)&amp;""" , ""object"": ""direction"" , ""from"":"""&amp;A37&amp;"""},"</f>
        <v>#VALUE!</v>
      </c>
    </row>
    <row r="38" spans="5:5">
      <c r="E38" t="e">
        <f>"{ ""name"": """ &amp;[1]!SplitText(B38,"(",1)&amp;""" , ""object"": ""direction"" , ""from"":"""&amp;A38&amp;"""},"</f>
        <v>#VALUE!</v>
      </c>
    </row>
    <row r="39" spans="5:5">
      <c r="E39" t="e">
        <f>"{ ""name"": """ &amp;[1]!SplitText(B39,"(",1)&amp;""" , ""object"": ""direction"" , ""from"":"""&amp;A39&amp;"""},"</f>
        <v>#VALUE!</v>
      </c>
    </row>
    <row r="40" spans="5:5">
      <c r="E40" t="e">
        <f>"{ ""name"": """ &amp;[1]!SplitText(B40,"(",1)&amp;""" , ""object"": ""direction"" , ""from"":"""&amp;A40&amp;"""},"</f>
        <v>#VALUE!</v>
      </c>
    </row>
    <row r="41" spans="5:5">
      <c r="E41" t="e">
        <f>"{ ""name"": """ &amp;[1]!SplitText(B41,"(",1)&amp;""" , ""object"": ""direction"" , ""from"":"""&amp;A41&amp;"""},"</f>
        <v>#VALUE!</v>
      </c>
    </row>
    <row r="42" spans="5:5">
      <c r="E42" t="e">
        <f>"{ ""name"": """ &amp;[1]!SplitText(B42,"(",1)&amp;""" , ""object"": ""direction"" , ""from"":"""&amp;A42&amp;"""},"</f>
        <v>#VALUE!</v>
      </c>
    </row>
    <row r="43" spans="5:5">
      <c r="E43" t="e">
        <f>"{ ""name"": """ &amp;[1]!SplitText(B43,"(",1)&amp;""" , ""object"": ""direction"" , ""from"":"""&amp;A43&amp;"""},"</f>
        <v>#VALUE!</v>
      </c>
    </row>
    <row r="44" spans="5:5">
      <c r="E44" t="e">
        <f>"{ ""name"": """ &amp;[1]!SplitText(B44,"(",1)&amp;""" , ""object"": ""direction"" , ""from"":"""&amp;A44&amp;"""},"</f>
        <v>#VALUE!</v>
      </c>
    </row>
    <row r="45" spans="5:5">
      <c r="E45" t="e">
        <f>"{ ""name"": """ &amp;[1]!SplitText(B45,"(",1)&amp;""" , ""object"": ""direction"" , ""from"":"""&amp;A45&amp;"""},"</f>
        <v>#VALUE!</v>
      </c>
    </row>
    <row r="46" spans="5:5">
      <c r="E46" t="e">
        <f>"{ ""name"": """ &amp;[1]!SplitText(B46,"(",1)&amp;""" , ""object"": ""direction"" , ""from"":"""&amp;A46&amp;"""},"</f>
        <v>#VALUE!</v>
      </c>
    </row>
    <row r="47" spans="5:5">
      <c r="E47" t="e">
        <f>"{ ""name"": """ &amp;[1]!SplitText(B47,"(",1)&amp;""" , ""object"": ""direction"" , ""from"":"""&amp;A47&amp;"""},"</f>
        <v>#VALUE!</v>
      </c>
    </row>
    <row r="48" spans="5:5">
      <c r="E48" t="e">
        <f>"{ ""name"": """ &amp;[1]!SplitText(B48,"(",1)&amp;""" , ""object"": ""direction"" , ""from"":"""&amp;A48&amp;"""},"</f>
        <v>#VALUE!</v>
      </c>
    </row>
    <row r="49" spans="5:5">
      <c r="E49" t="e">
        <f>"{ ""name"": """ &amp;[1]!SplitText(B49,"(",1)&amp;""" , ""object"": ""direction"" , ""from"":"""&amp;A49&amp;"""},"</f>
        <v>#VALUE!</v>
      </c>
    </row>
    <row r="50" spans="5:5">
      <c r="E50" t="e">
        <f>"{ ""name"": """ &amp;[1]!SplitText(B50,"(",1)&amp;""" , ""object"": ""direction"" , ""from"":"""&amp;A50&amp;"""},"</f>
        <v>#VALUE!</v>
      </c>
    </row>
    <row r="51" spans="5:5">
      <c r="E51" t="e">
        <f>"{ ""name"": """ &amp;[1]!SplitText(B51,"(",1)&amp;""" , ""object"": ""direction"" , ""from"":"""&amp;A51&amp;"""},"</f>
        <v>#VALUE!</v>
      </c>
    </row>
    <row r="52" spans="5:5">
      <c r="E52" t="e">
        <f>"{ ""name"": """ &amp;[1]!SplitText(B52,"(",1)&amp;""" , ""object"": ""direction"" , ""from"":"""&amp;A52&amp;"""},"</f>
        <v>#VALUE!</v>
      </c>
    </row>
    <row r="53" spans="5:5">
      <c r="E53" t="e">
        <f>"{ ""name"": """ &amp;[1]!SplitText(B53,"(",1)&amp;""" , ""object"": ""direction"" , ""from"":"""&amp;A53&amp;"""},"</f>
        <v>#VALUE!</v>
      </c>
    </row>
    <row r="54" spans="5:5">
      <c r="E54" t="e">
        <f>"{ ""name"": """ &amp;[1]!SplitText(B54,"(",1)&amp;""" , ""object"": ""direction"" , ""from"":"""&amp;A54&amp;"""},"</f>
        <v>#VALUE!</v>
      </c>
    </row>
    <row r="55" spans="5:5">
      <c r="E55" t="e">
        <f>"{ ""name"": """ &amp;[1]!SplitText(B55,"(",1)&amp;""" , ""object"": ""direction"" , ""from"":"""&amp;A55&amp;"""},"</f>
        <v>#VALUE!</v>
      </c>
    </row>
    <row r="56" spans="5:5">
      <c r="E56" t="e">
        <f>"{ ""name"": """ &amp;[1]!SplitText(B56,"(",1)&amp;""" , ""object"": ""direction"" , ""from"":"""&amp;A56&amp;"""},"</f>
        <v>#VALUE!</v>
      </c>
    </row>
    <row r="57" spans="5:5">
      <c r="E57" t="e">
        <f>"{ ""name"": """ &amp;[1]!SplitText(B57,"(",1)&amp;""" , ""object"": ""direction"" , ""from"":"""&amp;A57&amp;"""},"</f>
        <v>#VALUE!</v>
      </c>
    </row>
    <row r="58" spans="5:5">
      <c r="E58" t="e">
        <f>"{ ""name"": """ &amp;[1]!SplitText(B58,"(",1)&amp;""" , ""object"": ""direction"" , ""from"":"""&amp;A58&amp;"""},"</f>
        <v>#VALUE!</v>
      </c>
    </row>
    <row r="59" spans="5:5">
      <c r="E59" t="e">
        <f>"{ ""name"": """ &amp;[1]!SplitText(B59,"(",1)&amp;""" , ""object"": ""direction"" , ""from"":"""&amp;A59&amp;"""},"</f>
        <v>#VALUE!</v>
      </c>
    </row>
    <row r="60" spans="5:5">
      <c r="E60" t="e">
        <f>"{ ""name"": """ &amp;[1]!SplitText(B60,"(",1)&amp;""" , ""object"": ""direction"" , ""from"":"""&amp;A60&amp;"""},"</f>
        <v>#VALUE!</v>
      </c>
    </row>
    <row r="61" spans="5:5">
      <c r="E61" t="e">
        <f>"{ ""name"": """ &amp;[1]!SplitText(B61,"(",1)&amp;""" , ""object"": ""direction"" , ""from"":"""&amp;A61&amp;"""},"</f>
        <v>#VALUE!</v>
      </c>
    </row>
    <row r="62" spans="5:5">
      <c r="E62" t="e">
        <f>"{ ""name"": """ &amp;[1]!SplitText(B62,"(",1)&amp;""" , ""object"": ""direction"" , ""from"":"""&amp;A62&amp;"""},"</f>
        <v>#VALUE!</v>
      </c>
    </row>
    <row r="63" spans="5:5">
      <c r="E63" t="e">
        <f>"{ ""name"": """ &amp;[1]!SplitText(B63,"(",1)&amp;""" , ""object"": ""direction"" , ""from"":"""&amp;A63&amp;"""},"</f>
        <v>#VALUE!</v>
      </c>
    </row>
    <row r="64" spans="5:5">
      <c r="E64" t="e">
        <f>"{ ""name"": """ &amp;[1]!SplitText(B64,"(",1)&amp;""" , ""object"": ""direction"" , ""from"":"""&amp;A64&amp;"""},"</f>
        <v>#VALUE!</v>
      </c>
    </row>
    <row r="65" spans="5:5">
      <c r="E65" t="e">
        <f>"{ ""name"": """ &amp;[1]!SplitText(B65,"(",1)&amp;""" , ""object"": ""direction"" , ""from"":"""&amp;A65&amp;"""},"</f>
        <v>#VALUE!</v>
      </c>
    </row>
    <row r="66" spans="5:5">
      <c r="E66" t="e">
        <f>"{ ""name"": """ &amp;[1]!SplitText(B66,"(",1)&amp;""" , ""object"": ""direction"" , ""from"":"""&amp;A66&amp;"""},"</f>
        <v>#VALUE!</v>
      </c>
    </row>
    <row r="67" spans="5:5">
      <c r="E67" t="e">
        <f>"{ ""name"": """ &amp;[1]!SplitText(B67,"(",1)&amp;""" , ""object"": ""direction"" , ""from"":"""&amp;A67&amp;"""},"</f>
        <v>#VALUE!</v>
      </c>
    </row>
    <row r="68" spans="5:5">
      <c r="E68" t="e">
        <f>"{ ""name"": """ &amp;[1]!SplitText(B68,"(",1)&amp;""" , ""object"": ""direction"" , ""from"":"""&amp;A68&amp;"""},"</f>
        <v>#VALUE!</v>
      </c>
    </row>
    <row r="69" spans="5:5">
      <c r="E69" t="e">
        <f>"{ ""name"": """ &amp;[1]!SplitText(B69,"(",1)&amp;""" , ""object"": ""direction"" , ""from"":"""&amp;A69&amp;"""},"</f>
        <v>#VALUE!</v>
      </c>
    </row>
    <row r="70" spans="5:5">
      <c r="E70" t="e">
        <f>"{ ""name"": """ &amp;[1]!SplitText(B70,"(",1)&amp;""" , ""object"": ""direction"" , ""from"":"""&amp;A70&amp;"""},"</f>
        <v>#VALUE!</v>
      </c>
    </row>
    <row r="71" spans="5:5">
      <c r="E71" t="e">
        <f>"{ ""name"": """ &amp;[1]!SplitText(B71,"(",1)&amp;""" , ""object"": ""direction"" , ""from"":"""&amp;A71&amp;"""},"</f>
        <v>#VALUE!</v>
      </c>
    </row>
    <row r="72" spans="5:5">
      <c r="E72" t="e">
        <f>"{ ""name"": """ &amp;[1]!SplitText(B72,"(",1)&amp;""" , ""object"": ""direction"" , ""from"":"""&amp;A72&amp;"""},"</f>
        <v>#VALUE!</v>
      </c>
    </row>
    <row r="73" spans="5:5">
      <c r="E73" t="e">
        <f>"{ ""name"": """ &amp;[1]!SplitText(B73,"(",1)&amp;""" , ""object"": ""direction"" , ""from"":"""&amp;A73&amp;"""},"</f>
        <v>#VALUE!</v>
      </c>
    </row>
    <row r="74" spans="5:5">
      <c r="E74" t="e">
        <f>"{ ""name"": """ &amp;[1]!SplitText(B74,"(",1)&amp;""" , ""object"": ""direction"" , ""from"":"""&amp;A74&amp;"""},"</f>
        <v>#VALUE!</v>
      </c>
    </row>
    <row r="75" spans="5:5">
      <c r="E75" t="e">
        <f>"{ ""name"": """ &amp;[1]!SplitText(B75,"(",1)&amp;""" , ""object"": ""direction"" , ""from"":"""&amp;A75&amp;"""},"</f>
        <v>#VALUE!</v>
      </c>
    </row>
    <row r="76" spans="5:5">
      <c r="E76" t="e">
        <f>"{ ""name"": """ &amp;[1]!SplitText(B76,"(",1)&amp;""" , ""object"": ""direction"" , ""from"":"""&amp;A76&amp;"""},"</f>
        <v>#VALUE!</v>
      </c>
    </row>
    <row r="77" spans="5:5">
      <c r="E77" t="e">
        <f>"{ ""name"": """ &amp;[1]!SplitText(B77,"(",1)&amp;""" , ""object"": ""direction"" , ""from"":"""&amp;A77&amp;"""},"</f>
        <v>#VALUE!</v>
      </c>
    </row>
    <row r="78" spans="5:5">
      <c r="E78" t="e">
        <f>"{ ""name"": """ &amp;[1]!SplitText(B78,"(",1)&amp;""" , ""object"": ""direction"" , ""from"":"""&amp;A78&amp;"""},"</f>
        <v>#VALUE!</v>
      </c>
    </row>
    <row r="79" spans="5:5">
      <c r="E79" t="e">
        <f>"{ ""name"": """ &amp;[1]!SplitText(B79,"(",1)&amp;""" , ""object"": ""direction"" , ""from"":"""&amp;A79&amp;"""},"</f>
        <v>#VALUE!</v>
      </c>
    </row>
    <row r="80" spans="5:5">
      <c r="E80" t="e">
        <f>"{ ""name"": """ &amp;[1]!SplitText(B80,"(",1)&amp;""" , ""object"": ""direction"" , ""from"":"""&amp;A80&amp;"""},"</f>
        <v>#VALUE!</v>
      </c>
    </row>
    <row r="81" spans="5:5">
      <c r="E81" t="e">
        <f>"{ ""name"": """ &amp;[1]!SplitText(B81,"(",1)&amp;""" , ""object"": ""direction"" , ""from"":"""&amp;A81&amp;"""},"</f>
        <v>#VALUE!</v>
      </c>
    </row>
    <row r="82" spans="5:5">
      <c r="E82" t="e">
        <f>"{ ""name"": """ &amp;[1]!SplitText(B82,"(",1)&amp;""" , ""object"": ""direction"" , ""from"":"""&amp;A82&amp;"""},"</f>
        <v>#VALUE!</v>
      </c>
    </row>
    <row r="83" spans="5:5">
      <c r="E83" t="e">
        <f>"{ ""name"": """ &amp;[1]!SplitText(B83,"(",1)&amp;""" , ""object"": ""direction"" , ""from"":"""&amp;A83&amp;"""},"</f>
        <v>#VALUE!</v>
      </c>
    </row>
    <row r="84" spans="5:5">
      <c r="E84" t="e">
        <f>"{ ""name"": """ &amp;[1]!SplitText(B84,"(",1)&amp;""" , ""object"": ""direction"" , ""from"":"""&amp;A84&amp;"""},"</f>
        <v>#VALUE!</v>
      </c>
    </row>
    <row r="85" spans="5:5">
      <c r="E85" t="e">
        <f>"{ ""name"": """ &amp;[1]!SplitText(B85,"(",1)&amp;""" , ""object"": ""direction"" , ""from"":"""&amp;A85&amp;"""},"</f>
        <v>#VALUE!</v>
      </c>
    </row>
    <row r="86" spans="5:5">
      <c r="E86" t="e">
        <f>"{ ""name"": """ &amp;[1]!SplitText(B86,"(",1)&amp;""" , ""object"": ""direction"" , ""from"":"""&amp;A86&amp;"""},"</f>
        <v>#VALUE!</v>
      </c>
    </row>
    <row r="87" spans="5:5">
      <c r="E87" t="e">
        <f>"{ ""name"": """ &amp;[1]!SplitText(B87,"(",1)&amp;""" , ""object"": ""direction"" , ""from"":"""&amp;A87&amp;"""},"</f>
        <v>#VALUE!</v>
      </c>
    </row>
    <row r="88" spans="5:5">
      <c r="E88" t="e">
        <f>"{ ""name"": """ &amp;[1]!SplitText(B88,"(",1)&amp;""" , ""object"": ""direction"" , ""from"":"""&amp;A88&amp;"""},"</f>
        <v>#VALUE!</v>
      </c>
    </row>
    <row r="89" spans="5:5">
      <c r="E89" t="e">
        <f>"{ ""name"": """ &amp;[1]!SplitText(B89,"(",1)&amp;""" , ""object"": ""direction"" , ""from"":"""&amp;A89&amp;"""},"</f>
        <v>#VALUE!</v>
      </c>
    </row>
    <row r="90" spans="5:5">
      <c r="E90" t="e">
        <f>"{ ""name"": """ &amp;[1]!SplitText(B90,"(",1)&amp;""" , ""object"": ""direction"" , ""from"":"""&amp;A90&amp;"""},"</f>
        <v>#VALUE!</v>
      </c>
    </row>
    <row r="91" spans="5:5">
      <c r="E91" t="e">
        <f>"{ ""name"": """ &amp;[1]!SplitText(B91,"(",1)&amp;""" , ""object"": ""direction"" , ""from"":"""&amp;A91&amp;"""},"</f>
        <v>#VALUE!</v>
      </c>
    </row>
    <row r="92" spans="5:5">
      <c r="E92" t="e">
        <f>"{ ""name"": """ &amp;[1]!SplitText(B92,"(",1)&amp;""" , ""object"": ""direction"" , ""from"":"""&amp;A92&amp;"""},"</f>
        <v>#VALUE!</v>
      </c>
    </row>
    <row r="93" spans="5:5">
      <c r="E93" t="e">
        <f>"{ ""name"": """ &amp;[1]!SplitText(B93,"(",1)&amp;""" , ""object"": ""direction"" , ""from"":"""&amp;A93&amp;"""},"</f>
        <v>#VALUE!</v>
      </c>
    </row>
    <row r="94" spans="5:5">
      <c r="E94" t="e">
        <f>"{ ""name"": """ &amp;[1]!SplitText(B94,"(",1)&amp;""" , ""object"": ""direction"" , ""from"":"""&amp;A94&amp;"""},"</f>
        <v>#VALUE!</v>
      </c>
    </row>
    <row r="95" spans="5:5">
      <c r="E95" t="e">
        <f>"{ ""name"": """ &amp;[1]!SplitText(B95,"(",1)&amp;""" , ""object"": ""direction"" , ""from"":"""&amp;A95&amp;"""},"</f>
        <v>#VALUE!</v>
      </c>
    </row>
    <row r="96" spans="5:5">
      <c r="E96" t="e">
        <f>"{ ""name"": """ &amp;[1]!SplitText(B96,"(",1)&amp;""" , ""object"": ""direction"" , ""from"":"""&amp;A96&amp;"""},"</f>
        <v>#VALUE!</v>
      </c>
    </row>
    <row r="97" spans="5:5">
      <c r="E97" t="e">
        <f>"{ ""name"": """ &amp;[1]!SplitText(B97,"(",1)&amp;""" , ""object"": ""direction"" , ""from"":"""&amp;A97&amp;"""},"</f>
        <v>#VALUE!</v>
      </c>
    </row>
    <row r="98" spans="5:5">
      <c r="E98" t="e">
        <f>"{ ""name"": """ &amp;[1]!SplitText(B98,"(",1)&amp;""" , ""object"": ""direction"" , ""from"":"""&amp;A98&amp;"""},"</f>
        <v>#VALUE!</v>
      </c>
    </row>
    <row r="99" spans="5:5">
      <c r="E99" t="e">
        <f>"{ ""name"": """ &amp;[1]!SplitText(B99,"(",1)&amp;""" , ""object"": ""direction"" , ""from"":"""&amp;A99&amp;"""},"</f>
        <v>#VALUE!</v>
      </c>
    </row>
    <row r="100" spans="5:5">
      <c r="E100" t="e">
        <f>"{ ""name"": """ &amp;[1]!SplitText(B100,"(",1)&amp;""" , ""object"": ""direction"" , ""from"":"""&amp;A100&amp;"""},"</f>
        <v>#VALUE!</v>
      </c>
    </row>
    <row r="101" spans="5:5">
      <c r="E101" t="e">
        <f>"{ ""name"": """ &amp;[1]!SplitText(B101,"(",1)&amp;""" , ""object"": ""direction"" , ""from"":"""&amp;A101&amp;"""},"</f>
        <v>#VALUE!</v>
      </c>
    </row>
    <row r="102" spans="5:5">
      <c r="E102" t="e">
        <f>"{ ""name"": """ &amp;[1]!SplitText(B102,"(",1)&amp;""" , ""object"": ""direction"" , ""from"":"""&amp;A102&amp;"""},"</f>
        <v>#VALUE!</v>
      </c>
    </row>
    <row r="103" spans="5:5">
      <c r="E103" t="e">
        <f>"{ ""name"": """ &amp;[1]!SplitText(B103,"(",1)&amp;""" , ""object"": ""direction"" , ""from"":"""&amp;A103&amp;"""},"</f>
        <v>#VALUE!</v>
      </c>
    </row>
    <row r="104" spans="5:5">
      <c r="E104" t="e">
        <f>"{ ""name"": """ &amp;[1]!SplitText(B104,"(",1)&amp;""" , ""object"": ""direction"" , ""from"":"""&amp;A104&amp;"""},"</f>
        <v>#VALUE!</v>
      </c>
    </row>
    <row r="105" spans="5:5">
      <c r="E105" t="e">
        <f>"{ ""name"": """ &amp;[1]!SplitText(B105,"(",1)&amp;""" , ""object"": ""direction"" , ""from"":"""&amp;A105&amp;"""},"</f>
        <v>#VALUE!</v>
      </c>
    </row>
    <row r="106" spans="5:5">
      <c r="E106" t="e">
        <f>"{ ""name"": """ &amp;[1]!SplitText(B106,"(",1)&amp;""" , ""object"": ""direction"" , ""from"":"""&amp;A106&amp;"""},"</f>
        <v>#VALUE!</v>
      </c>
    </row>
    <row r="107" spans="5:5">
      <c r="E107" t="e">
        <f>"{ ""name"": """ &amp;[1]!SplitText(B107,"(",1)&amp;""" , ""object"": ""direction"" , ""from"":"""&amp;A107&amp;"""},"</f>
        <v>#VALUE!</v>
      </c>
    </row>
    <row r="108" spans="5:5">
      <c r="E108" t="e">
        <f>"{ ""name"": """ &amp;[1]!SplitText(B108,"(",1)&amp;""" , ""object"": ""direction"" , ""from"":"""&amp;A108&amp;"""},"</f>
        <v>#VALUE!</v>
      </c>
    </row>
    <row r="109" spans="5:5">
      <c r="E109" t="e">
        <f>"{ ""name"": """ &amp;[1]!SplitText(B109,"(",1)&amp;""" , ""object"": ""direction"" , ""from"":"""&amp;A109&amp;"""},"</f>
        <v>#VALUE!</v>
      </c>
    </row>
    <row r="110" spans="5:5">
      <c r="E110" t="e">
        <f>"{ ""name"": """ &amp;[1]!SplitText(B110,"(",1)&amp;""" , ""object"": ""direction"" , ""from"":"""&amp;A110&amp;"""},"</f>
        <v>#VALUE!</v>
      </c>
    </row>
    <row r="111" spans="5:5">
      <c r="E111" t="e">
        <f>"{ ""name"": """ &amp;[1]!SplitText(B111,"(",1)&amp;""" , ""object"": ""direction"" , ""from"":"""&amp;A111&amp;"""},"</f>
        <v>#VALUE!</v>
      </c>
    </row>
    <row r="112" spans="5:5">
      <c r="E112" t="e">
        <f>"{ ""name"": """ &amp;[1]!SplitText(B112,"(",1)&amp;""" , ""object"": ""direction"" , ""from"":"""&amp;A112&amp;"""},"</f>
        <v>#VALUE!</v>
      </c>
    </row>
    <row r="113" spans="5:5">
      <c r="E113" t="e">
        <f>"{ ""name"": """ &amp;[1]!SplitText(B113,"(",1)&amp;""" , ""object"": ""direction"" , ""from"":"""&amp;A113&amp;"""},"</f>
        <v>#VALUE!</v>
      </c>
    </row>
    <row r="114" spans="5:5">
      <c r="E114" t="e">
        <f>"{ ""name"": """ &amp;[1]!SplitText(B114,"(",1)&amp;""" , ""object"": ""direction"" , ""from"":"""&amp;A114&amp;"""},"</f>
        <v>#VALUE!</v>
      </c>
    </row>
    <row r="115" spans="5:5">
      <c r="E115" t="e">
        <f>"{ ""name"": """ &amp;[1]!SplitText(B115,"(",1)&amp;""" , ""object"": ""direction"" , ""from"":"""&amp;A115&amp;"""},"</f>
        <v>#VALUE!</v>
      </c>
    </row>
    <row r="116" spans="5:5">
      <c r="E116" t="e">
        <f>"{ ""name"": """ &amp;[1]!SplitText(B116,"(",1)&amp;""" , ""object"": ""direction"" , ""from"":"""&amp;A116&amp;"""},"</f>
        <v>#VALUE!</v>
      </c>
    </row>
    <row r="117" spans="5:5">
      <c r="E117" t="e">
        <f>"{ ""name"": """ &amp;[1]!SplitText(B117,"(",1)&amp;""" , ""object"": ""direction"" , ""from"":"""&amp;A117&amp;"""},"</f>
        <v>#VALUE!</v>
      </c>
    </row>
    <row r="118" spans="5:5">
      <c r="E118" t="e">
        <f>"{ ""name"": """ &amp;[1]!SplitText(B118,"(",1)&amp;""" , ""object"": ""direction"" , ""from"":"""&amp;A118&amp;"""},"</f>
        <v>#VALUE!</v>
      </c>
    </row>
    <row r="119" spans="5:5">
      <c r="E119" t="e">
        <f>"{ ""name"": """ &amp;[1]!SplitText(B119,"(",1)&amp;""" , ""object"": ""direction"" , ""from"":"""&amp;A119&amp;"""},"</f>
        <v>#VALUE!</v>
      </c>
    </row>
    <row r="120" spans="5:5">
      <c r="E120" t="e">
        <f>"{ ""name"": """ &amp;[1]!SplitText(B120,"(",1)&amp;""" , ""object"": ""direction"" , ""from"":"""&amp;A120&amp;"""},"</f>
        <v>#VALUE!</v>
      </c>
    </row>
    <row r="121" spans="5:5">
      <c r="E121" t="e">
        <f>"{ ""name"": """ &amp;[1]!SplitText(B121,"(",1)&amp;""" , ""object"": ""direction"" , ""from"":"""&amp;A121&amp;"""},"</f>
        <v>#VALUE!</v>
      </c>
    </row>
    <row r="122" spans="5:5">
      <c r="E122" t="e">
        <f>"{ ""name"": """ &amp;[1]!SplitText(B122,"(",1)&amp;""" , ""object"": ""direction"" , ""from"":"""&amp;A122&amp;"""},"</f>
        <v>#VALUE!</v>
      </c>
    </row>
    <row r="123" spans="5:5">
      <c r="E123" t="e">
        <f>"{ ""name"": """ &amp;[1]!SplitText(B123,"(",1)&amp;""" , ""object"": ""direction"" , ""from"":"""&amp;A123&amp;"""},"</f>
        <v>#VALUE!</v>
      </c>
    </row>
    <row r="124" spans="5:5">
      <c r="E124" t="e">
        <f>"{ ""name"": """ &amp;[1]!SplitText(B124,"(",1)&amp;""" , ""object"": ""direction"" , ""from"":"""&amp;A124&amp;"""},"</f>
        <v>#VALUE!</v>
      </c>
    </row>
    <row r="125" spans="5:5">
      <c r="E125" t="e">
        <f>"{ ""name"": """ &amp;[1]!SplitText(B125,"(",1)&amp;""" , ""object"": ""direction"" , ""from"":"""&amp;A125&amp;"""},"</f>
        <v>#VALUE!</v>
      </c>
    </row>
    <row r="126" spans="5:5">
      <c r="E126" t="e">
        <f>"{ ""name"": """ &amp;[1]!SplitText(B126,"(",1)&amp;""" , ""object"": ""direction"" , ""from"":"""&amp;A126&amp;"""},"</f>
        <v>#VALUE!</v>
      </c>
    </row>
    <row r="127" spans="5:5">
      <c r="E127" t="e">
        <f>"{ ""name"": """ &amp;[1]!SplitText(B127,"(",1)&amp;""" , ""object"": ""direction"" , ""from"":"""&amp;A127&amp;"""},"</f>
        <v>#VALUE!</v>
      </c>
    </row>
    <row r="128" spans="5:5">
      <c r="E128" t="e">
        <f>"{ ""name"": """ &amp;[1]!SplitText(B128,"(",1)&amp;""" , ""object"": ""direction"" , ""from"":"""&amp;A128&amp;"""},"</f>
        <v>#VALUE!</v>
      </c>
    </row>
    <row r="129" spans="5:5">
      <c r="E129" t="e">
        <f>"{ ""name"": """ &amp;[1]!SplitText(B129,"(",1)&amp;""" , ""object"": ""direction"" , ""from"":"""&amp;A129&amp;"""},"</f>
        <v>#VALUE!</v>
      </c>
    </row>
    <row r="130" spans="5:5">
      <c r="E130" t="e">
        <f>"{ ""name"": """ &amp;[1]!SplitText(B130,"(",1)&amp;""" , ""object"": ""direction"" , ""from"":"""&amp;A130&amp;"""},"</f>
        <v>#VALUE!</v>
      </c>
    </row>
    <row r="131" spans="5:5">
      <c r="E131" t="e">
        <f>"{ ""name"": """ &amp;[1]!SplitText(B131,"(",1)&amp;""" , ""object"": ""direction"" , ""from"":"""&amp;A131&amp;"""},"</f>
        <v>#VALUE!</v>
      </c>
    </row>
    <row r="132" spans="5:5">
      <c r="E132" t="e">
        <f>"{ ""name"": """ &amp;[1]!SplitText(B132,"(",1)&amp;""" , ""object"": ""direction"" , ""from"":"""&amp;A132&amp;"""},"</f>
        <v>#VALUE!</v>
      </c>
    </row>
    <row r="133" spans="5:5">
      <c r="E133" t="e">
        <f>"{ ""name"": """ &amp;[1]!SplitText(B133,"(",1)&amp;""" , ""object"": ""direction"" , ""from"":"""&amp;A133&amp;"""},"</f>
        <v>#VALUE!</v>
      </c>
    </row>
    <row r="134" spans="5:5">
      <c r="E134" t="e">
        <f>"{ ""name"": """ &amp;[1]!SplitText(B134,"(",1)&amp;""" , ""object"": ""direction"" , ""from"":"""&amp;A134&amp;"""},"</f>
        <v>#VALUE!</v>
      </c>
    </row>
    <row r="135" spans="5:5">
      <c r="E135" t="e">
        <f>"{ ""name"": """ &amp;[1]!SplitText(B135,"(",1)&amp;""" , ""object"": ""direction"" , ""from"":"""&amp;A135&amp;"""},"</f>
        <v>#VALUE!</v>
      </c>
    </row>
    <row r="136" spans="5:5">
      <c r="E136" t="e">
        <f>"{ ""name"": """ &amp;[1]!SplitText(B136,"(",1)&amp;""" , ""object"": ""direction"" , ""from"":"""&amp;A136&amp;"""},"</f>
        <v>#VALUE!</v>
      </c>
    </row>
    <row r="137" spans="5:5">
      <c r="E137" t="e">
        <f>"{ ""name"": """ &amp;[1]!SplitText(B137,"(",1)&amp;""" , ""object"": ""direction"" , ""from"":"""&amp;A137&amp;"""},"</f>
        <v>#VALUE!</v>
      </c>
    </row>
    <row r="138" spans="5:5">
      <c r="E138" t="e">
        <f>"{ ""name"": """ &amp;[1]!SplitText(B138,"(",1)&amp;""" , ""object"": ""direction"" , ""from"":"""&amp;A138&amp;"""},"</f>
        <v>#VALUE!</v>
      </c>
    </row>
    <row r="139" spans="5:5">
      <c r="E139" t="e">
        <f>"{ ""name"": """ &amp;[1]!SplitText(B139,"(",1)&amp;""" , ""object"": ""direction"" , ""from"":"""&amp;A139&amp;"""},"</f>
        <v>#VALUE!</v>
      </c>
    </row>
    <row r="140" spans="5:5">
      <c r="E140" t="e">
        <f>"{ ""name"": """ &amp;[1]!SplitText(B140,"(",1)&amp;""" , ""object"": ""direction"" , ""from"":"""&amp;A140&amp;"""},"</f>
        <v>#VALUE!</v>
      </c>
    </row>
    <row r="141" spans="5:5">
      <c r="E141" t="e">
        <f>"{ ""name"": """ &amp;[1]!SplitText(B141,"(",1)&amp;""" , ""object"": ""direction"" , ""from"":"""&amp;A141&amp;"""},"</f>
        <v>#VALUE!</v>
      </c>
    </row>
    <row r="142" spans="5:5">
      <c r="E142" t="e">
        <f>"{ ""name"": """ &amp;[1]!SplitText(B142,"(",1)&amp;""" , ""object"": ""direction"" , ""from"":"""&amp;A142&amp;"""},"</f>
        <v>#VALUE!</v>
      </c>
    </row>
    <row r="143" spans="5:5">
      <c r="E143" t="e">
        <f>"{ ""name"": """ &amp;[1]!SplitText(B143,"(",1)&amp;""" , ""object"": ""direction"" , ""from"":"""&amp;A143&amp;"""},"</f>
        <v>#VALUE!</v>
      </c>
    </row>
    <row r="144" spans="5:5">
      <c r="E144" t="e">
        <f>"{ ""name"": """ &amp;[1]!SplitText(B144,"(",1)&amp;""" , ""object"": ""direction"" , ""from"":"""&amp;A144&amp;"""},"</f>
        <v>#VALUE!</v>
      </c>
    </row>
    <row r="145" spans="5:5">
      <c r="E145" t="e">
        <f>"{ ""name"": """ &amp;[1]!SplitText(B145,"(",1)&amp;""" , ""object"": ""direction"" , ""from"":"""&amp;A145&amp;"""},"</f>
        <v>#VALUE!</v>
      </c>
    </row>
    <row r="146" spans="5:5">
      <c r="E146" t="e">
        <f>"{ ""name"": """ &amp;[1]!SplitText(B146,"(",1)&amp;""" , ""object"": ""direction"" , ""from"":"""&amp;A146&amp;"""},"</f>
        <v>#VALUE!</v>
      </c>
    </row>
    <row r="147" spans="5:5">
      <c r="E147" t="e">
        <f>"{ ""name"": """ &amp;[1]!SplitText(B147,"(",1)&amp;""" , ""object"": ""direction"" , ""from"":"""&amp;A147&amp;"""},"</f>
        <v>#VALUE!</v>
      </c>
    </row>
    <row r="148" spans="5:5">
      <c r="E148" t="e">
        <f>"{ ""name"": """ &amp;[1]!SplitText(B148,"(",1)&amp;""" , ""object"": ""direction"" , ""from"":"""&amp;A148&amp;"""},"</f>
        <v>#VALUE!</v>
      </c>
    </row>
    <row r="149" spans="5:5">
      <c r="E149" t="e">
        <f>"{ ""name"": """ &amp;[1]!SplitText(B149,"(",1)&amp;""" , ""object"": ""direction"" , ""from"":"""&amp;A149&amp;"""},"</f>
        <v>#VALUE!</v>
      </c>
    </row>
    <row r="150" spans="5:5">
      <c r="E150" t="e">
        <f>"{ ""name"": """ &amp;[1]!SplitText(B150,"(",1)&amp;""" , ""object"": ""direction"" , ""from"":"""&amp;A150&amp;"""},"</f>
        <v>#VALUE!</v>
      </c>
    </row>
    <row r="151" spans="5:5">
      <c r="E151" t="e">
        <f>"{ ""name"": """ &amp;[1]!SplitText(B151,"(",1)&amp;""" , ""object"": ""direction"" , ""from"":"""&amp;A151&amp;"""},"</f>
        <v>#VALUE!</v>
      </c>
    </row>
    <row r="152" spans="5:5">
      <c r="E152" t="e">
        <f>"{ ""name"": """ &amp;[1]!SplitText(B152,"(",1)&amp;""" , ""object"": ""direction"" , ""from"":"""&amp;A152&amp;"""},"</f>
        <v>#VALUE!</v>
      </c>
    </row>
    <row r="153" spans="5:5">
      <c r="E153" t="e">
        <f>"{ ""name"": """ &amp;[1]!SplitText(B153,"(",1)&amp;""" , ""object"": ""direction"" , ""from"":"""&amp;A153&amp;"""},"</f>
        <v>#VALUE!</v>
      </c>
    </row>
    <row r="154" spans="5:5">
      <c r="E154" t="e">
        <f>"{ ""name"": """ &amp;[1]!SplitText(B154,"(",1)&amp;""" , ""object"": ""direction"" , ""from"":"""&amp;A154&amp;"""},"</f>
        <v>#VALUE!</v>
      </c>
    </row>
    <row r="155" spans="5:5">
      <c r="E155" t="e">
        <f>"{ ""name"": """ &amp;[1]!SplitText(B155,"(",1)&amp;""" , ""object"": ""direction"" , ""from"":"""&amp;A155&amp;"""},"</f>
        <v>#VALUE!</v>
      </c>
    </row>
    <row r="156" spans="5:5">
      <c r="E156" t="e">
        <f>"{ ""name"": """ &amp;[1]!SplitText(B156,"(",1)&amp;""" , ""object"": ""direction"" , ""from"":"""&amp;A156&amp;"""},"</f>
        <v>#VALUE!</v>
      </c>
    </row>
    <row r="157" spans="5:5">
      <c r="E157" t="e">
        <f>"{ ""name"": """ &amp;[1]!SplitText(B157,"(",1)&amp;""" , ""object"": ""direction"" , ""from"":"""&amp;A157&amp;"""},"</f>
        <v>#VALUE!</v>
      </c>
    </row>
    <row r="158" spans="5:5">
      <c r="E158" t="e">
        <f>"{ ""name"": """ &amp;[1]!SplitText(B158,"(",1)&amp;""" , ""object"": ""direction"" , ""from"":"""&amp;A158&amp;"""},"</f>
        <v>#VALUE!</v>
      </c>
    </row>
    <row r="159" spans="5:5">
      <c r="E159" t="e">
        <f>"{ ""name"": """ &amp;[1]!SplitText(B159,"(",1)&amp;""" , ""object"": ""direction"" , ""from"":"""&amp;A159&amp;"""},"</f>
        <v>#VALUE!</v>
      </c>
    </row>
    <row r="160" spans="5:5">
      <c r="E160" t="e">
        <f>"{ ""name"": """ &amp;[1]!SplitText(B160,"(",1)&amp;""" , ""object"": ""direction"" , ""from"":"""&amp;A160&amp;"""},"</f>
        <v>#VALUE!</v>
      </c>
    </row>
    <row r="161" spans="5:5">
      <c r="E161" t="e">
        <f>"{ ""name"": """ &amp;[1]!SplitText(B161,"(",1)&amp;""" , ""object"": ""direction"" , ""from"":"""&amp;A161&amp;"""},"</f>
        <v>#VALUE!</v>
      </c>
    </row>
    <row r="162" spans="5:5">
      <c r="E162" t="e">
        <f>"{ ""name"": """ &amp;[1]!SplitText(B162,"(",1)&amp;""" , ""object"": ""direction"" , ""from"":"""&amp;A162&amp;"""},"</f>
        <v>#VALUE!</v>
      </c>
    </row>
    <row r="163" spans="5:5">
      <c r="E163" t="e">
        <f>"{ ""name"": """ &amp;[1]!SplitText(B163,"(",1)&amp;""" , ""object"": ""direction"" , ""from"":"""&amp;A163&amp;"""},"</f>
        <v>#VALUE!</v>
      </c>
    </row>
    <row r="164" spans="5:5">
      <c r="E164" t="e">
        <f>"{ ""name"": """ &amp;[1]!SplitText(B164,"(",1)&amp;""" , ""object"": ""direction"" , ""from"":"""&amp;A164&amp;"""},"</f>
        <v>#VALUE!</v>
      </c>
    </row>
    <row r="165" spans="5:5">
      <c r="E165" t="e">
        <f>"{ ""name"": """ &amp;[1]!SplitText(B165,"(",1)&amp;""" , ""object"": ""direction"" , ""from"":"""&amp;A165&amp;"""},"</f>
        <v>#VALUE!</v>
      </c>
    </row>
    <row r="166" spans="5:5">
      <c r="E166" t="e">
        <f>"{ ""name"": """ &amp;[1]!SplitText(B166,"(",1)&amp;""" , ""object"": ""direction"" , ""from"":"""&amp;A166&amp;"""},"</f>
        <v>#VALUE!</v>
      </c>
    </row>
    <row r="167" spans="5:5">
      <c r="E167" t="e">
        <f>"{ ""name"": """ &amp;[1]!SplitText(B167,"(",1)&amp;""" , ""object"": ""direction"" , ""from"":"""&amp;A167&amp;"""},"</f>
        <v>#VALUE!</v>
      </c>
    </row>
    <row r="168" spans="5:5">
      <c r="E168" t="e">
        <f>"{ ""name"": """ &amp;[1]!SplitText(B168,"(",1)&amp;""" , ""object"": ""direction"" , ""from"":"""&amp;A168&amp;"""},"</f>
        <v>#VALUE!</v>
      </c>
    </row>
    <row r="169" spans="5:5">
      <c r="E169" t="e">
        <f>"{ ""name"": """ &amp;[1]!SplitText(B169,"(",1)&amp;""" , ""object"": ""direction"" , ""from"":"""&amp;A169&amp;"""},"</f>
        <v>#VALUE!</v>
      </c>
    </row>
    <row r="170" spans="5:5">
      <c r="E170" t="e">
        <f>"{ ""name"": """ &amp;[1]!SplitText(B170,"(",1)&amp;""" , ""object"": ""direction"" , ""from"":"""&amp;A170&amp;"""},"</f>
        <v>#VALUE!</v>
      </c>
    </row>
    <row r="171" spans="5:5">
      <c r="E171" t="e">
        <f>"{ ""name"": """ &amp;[1]!SplitText(B171,"(",1)&amp;""" , ""object"": ""direction"" , ""from"":"""&amp;A171&amp;"""},"</f>
        <v>#VALUE!</v>
      </c>
    </row>
  </sheetData>
  <autoFilter ref="A1:E171">
    <filterColumn colId="1">
      <customFilters>
        <customFilter operator="notEqual" val="*(*"/>
      </customFilters>
    </filterColumn>
  </autoFilter>
  <phoneticPr fontId="4"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117"/>
  <sheetViews>
    <sheetView topLeftCell="I1" workbookViewId="0">
      <selection activeCell="I1" sqref="I1:I33"/>
    </sheetView>
  </sheetViews>
  <sheetFormatPr defaultRowHeight="16.5"/>
  <sheetData>
    <row r="1" spans="1:9">
      <c r="A1" s="210"/>
      <c r="I1" t="s">
        <v>7458</v>
      </c>
    </row>
    <row r="2" spans="1:9">
      <c r="A2" s="210"/>
      <c r="I2" t="s">
        <v>7459</v>
      </c>
    </row>
    <row r="3" spans="1:9">
      <c r="A3" s="210"/>
      <c r="I3" t="s">
        <v>7460</v>
      </c>
    </row>
    <row r="4" spans="1:9">
      <c r="A4" s="210"/>
      <c r="I4" t="s">
        <v>7461</v>
      </c>
    </row>
    <row r="5" spans="1:9">
      <c r="A5" s="210"/>
      <c r="I5" t="s">
        <v>7462</v>
      </c>
    </row>
    <row r="6" spans="1:9">
      <c r="A6" s="210"/>
      <c r="I6" t="s">
        <v>7463</v>
      </c>
    </row>
    <row r="7" spans="1:9">
      <c r="A7" s="210"/>
      <c r="I7" t="s">
        <v>7464</v>
      </c>
    </row>
    <row r="8" spans="1:9">
      <c r="A8" s="210"/>
      <c r="I8" t="s">
        <v>7465</v>
      </c>
    </row>
    <row r="9" spans="1:9">
      <c r="A9" s="210"/>
      <c r="I9" t="s">
        <v>7466</v>
      </c>
    </row>
    <row r="10" spans="1:9">
      <c r="A10" s="210"/>
      <c r="I10" t="s">
        <v>7467</v>
      </c>
    </row>
    <row r="11" spans="1:9">
      <c r="A11" s="210"/>
      <c r="I11" t="s">
        <v>7468</v>
      </c>
    </row>
    <row r="12" spans="1:9">
      <c r="A12" s="210"/>
      <c r="I12" t="s">
        <v>7469</v>
      </c>
    </row>
    <row r="13" spans="1:9">
      <c r="A13" s="210"/>
      <c r="I13" t="s">
        <v>7470</v>
      </c>
    </row>
    <row r="14" spans="1:9">
      <c r="A14" s="210"/>
      <c r="I14" t="s">
        <v>7471</v>
      </c>
    </row>
    <row r="15" spans="1:9">
      <c r="A15" s="210"/>
      <c r="I15" t="s">
        <v>7472</v>
      </c>
    </row>
    <row r="16" spans="1:9">
      <c r="A16" s="210"/>
      <c r="I16" t="s">
        <v>7473</v>
      </c>
    </row>
    <row r="17" spans="1:9">
      <c r="A17" s="210"/>
      <c r="I17" t="s">
        <v>7474</v>
      </c>
    </row>
    <row r="18" spans="1:9">
      <c r="A18" s="210"/>
      <c r="I18" t="s">
        <v>7475</v>
      </c>
    </row>
    <row r="19" spans="1:9">
      <c r="A19" s="210"/>
      <c r="I19" t="s">
        <v>7476</v>
      </c>
    </row>
    <row r="20" spans="1:9">
      <c r="A20" s="210"/>
      <c r="I20" t="s">
        <v>7477</v>
      </c>
    </row>
    <row r="21" spans="1:9">
      <c r="A21" s="210"/>
      <c r="I21" t="s">
        <v>7478</v>
      </c>
    </row>
    <row r="22" spans="1:9">
      <c r="A22" s="210"/>
      <c r="I22" t="s">
        <v>7479</v>
      </c>
    </row>
    <row r="23" spans="1:9">
      <c r="A23" s="210"/>
      <c r="I23" t="s">
        <v>7480</v>
      </c>
    </row>
    <row r="24" spans="1:9">
      <c r="A24" s="210"/>
      <c r="I24" t="s">
        <v>7481</v>
      </c>
    </row>
    <row r="25" spans="1:9">
      <c r="A25" s="210"/>
      <c r="I25" t="s">
        <v>7482</v>
      </c>
    </row>
    <row r="26" spans="1:9">
      <c r="A26" s="210"/>
      <c r="I26" t="s">
        <v>7483</v>
      </c>
    </row>
    <row r="27" spans="1:9">
      <c r="A27" s="210"/>
      <c r="I27" t="s">
        <v>7484</v>
      </c>
    </row>
    <row r="28" spans="1:9">
      <c r="A28" s="210"/>
      <c r="I28" t="s">
        <v>7485</v>
      </c>
    </row>
    <row r="29" spans="1:9">
      <c r="A29" s="210"/>
      <c r="I29" t="s">
        <v>7486</v>
      </c>
    </row>
    <row r="30" spans="1:9">
      <c r="A30" s="210"/>
      <c r="I30" t="s">
        <v>7487</v>
      </c>
    </row>
    <row r="31" spans="1:9">
      <c r="A31" s="210"/>
      <c r="I31" t="s">
        <v>7488</v>
      </c>
    </row>
    <row r="32" spans="1:9">
      <c r="A32" s="210"/>
      <c r="I32" t="s">
        <v>7489</v>
      </c>
    </row>
    <row r="33" spans="1:9">
      <c r="A33" s="210"/>
      <c r="I33" t="s">
        <v>7490</v>
      </c>
    </row>
    <row r="34" spans="1:9">
      <c r="A34" s="210"/>
    </row>
    <row r="35" spans="1:9">
      <c r="A35" s="210"/>
    </row>
    <row r="36" spans="1:9">
      <c r="A36" s="210"/>
    </row>
    <row r="37" spans="1:9">
      <c r="A37" s="210"/>
    </row>
    <row r="38" spans="1:9">
      <c r="A38" s="210"/>
    </row>
    <row r="39" spans="1:9">
      <c r="A39" s="210"/>
    </row>
    <row r="40" spans="1:9">
      <c r="A40" s="210"/>
    </row>
    <row r="41" spans="1:9">
      <c r="A41" s="210"/>
    </row>
    <row r="42" spans="1:9">
      <c r="A42" s="210"/>
    </row>
    <row r="43" spans="1:9">
      <c r="A43" s="210"/>
      <c r="I43" s="210"/>
    </row>
    <row r="44" spans="1:9">
      <c r="A44" s="210"/>
      <c r="I44" s="210"/>
    </row>
    <row r="45" spans="1:9">
      <c r="A45" s="210"/>
      <c r="I45" s="210"/>
    </row>
    <row r="46" spans="1:9">
      <c r="A46" s="210"/>
      <c r="I46" s="210"/>
    </row>
    <row r="47" spans="1:9">
      <c r="A47" s="210"/>
      <c r="I47" s="210"/>
    </row>
    <row r="48" spans="1:9">
      <c r="A48" s="210"/>
      <c r="I48" s="210"/>
    </row>
    <row r="49" spans="1:9">
      <c r="A49" s="210"/>
      <c r="I49" s="210"/>
    </row>
    <row r="50" spans="1:9">
      <c r="A50" s="210"/>
      <c r="I50" s="210"/>
    </row>
    <row r="51" spans="1:9">
      <c r="A51" s="210"/>
      <c r="I51" s="210"/>
    </row>
    <row r="52" spans="1:9">
      <c r="A52" s="210"/>
      <c r="I52" s="210"/>
    </row>
    <row r="53" spans="1:9">
      <c r="A53" s="210"/>
      <c r="I53" s="210"/>
    </row>
    <row r="54" spans="1:9">
      <c r="A54" s="210"/>
      <c r="I54" s="210"/>
    </row>
    <row r="55" spans="1:9">
      <c r="A55" s="210"/>
      <c r="I55" s="210"/>
    </row>
    <row r="56" spans="1:9">
      <c r="A56" s="210"/>
      <c r="I56" s="210"/>
    </row>
    <row r="57" spans="1:9">
      <c r="A57" s="210"/>
      <c r="I57" s="210"/>
    </row>
    <row r="58" spans="1:9">
      <c r="A58" s="210"/>
      <c r="I58" s="210"/>
    </row>
    <row r="59" spans="1:9">
      <c r="A59" s="210"/>
      <c r="I59" s="210"/>
    </row>
    <row r="60" spans="1:9">
      <c r="A60" s="210"/>
      <c r="I60" s="210"/>
    </row>
    <row r="61" spans="1:9">
      <c r="A61" s="210"/>
      <c r="I61" s="210"/>
    </row>
    <row r="62" spans="1:9">
      <c r="A62" s="210"/>
      <c r="I62" s="210"/>
    </row>
    <row r="63" spans="1:9">
      <c r="A63" s="210"/>
      <c r="I63" s="210"/>
    </row>
    <row r="64" spans="1:9">
      <c r="A64" s="210"/>
      <c r="I64" s="210"/>
    </row>
    <row r="65" spans="1:9">
      <c r="A65" s="210"/>
      <c r="I65" s="210"/>
    </row>
    <row r="66" spans="1:9">
      <c r="A66" s="210"/>
      <c r="I66" s="210"/>
    </row>
    <row r="67" spans="1:9">
      <c r="A67" s="210"/>
      <c r="I67" s="210"/>
    </row>
    <row r="68" spans="1:9">
      <c r="A68" s="210"/>
      <c r="I68" s="210"/>
    </row>
    <row r="69" spans="1:9">
      <c r="A69" s="210"/>
      <c r="I69" s="210"/>
    </row>
    <row r="70" spans="1:9">
      <c r="A70" s="210"/>
      <c r="I70" s="210"/>
    </row>
    <row r="71" spans="1:9">
      <c r="A71" s="210"/>
      <c r="I71" s="210"/>
    </row>
    <row r="72" spans="1:9">
      <c r="A72" s="210"/>
      <c r="I72" s="210"/>
    </row>
    <row r="73" spans="1:9">
      <c r="A73" s="210"/>
      <c r="I73" s="210"/>
    </row>
    <row r="74" spans="1:9">
      <c r="A74" s="210"/>
      <c r="I74" s="210"/>
    </row>
    <row r="75" spans="1:9">
      <c r="A75" s="210"/>
      <c r="I75" s="210"/>
    </row>
    <row r="76" spans="1:9">
      <c r="A76" s="210"/>
      <c r="I76" s="210"/>
    </row>
    <row r="77" spans="1:9">
      <c r="A77" s="210"/>
      <c r="I77" s="210"/>
    </row>
    <row r="78" spans="1:9">
      <c r="A78" s="210"/>
      <c r="I78" s="210"/>
    </row>
    <row r="79" spans="1:9">
      <c r="A79" s="210"/>
      <c r="I79" s="210"/>
    </row>
    <row r="80" spans="1:9">
      <c r="A80" s="210"/>
      <c r="I80" s="210"/>
    </row>
    <row r="81" spans="1:9">
      <c r="A81" s="210"/>
      <c r="I81" s="210"/>
    </row>
    <row r="82" spans="1:9">
      <c r="I82" s="210"/>
    </row>
    <row r="83" spans="1:9">
      <c r="I83" s="210"/>
    </row>
    <row r="84" spans="1:9">
      <c r="I84" s="210"/>
    </row>
    <row r="85" spans="1:9">
      <c r="I85" s="210"/>
    </row>
    <row r="86" spans="1:9">
      <c r="I86" s="210"/>
    </row>
    <row r="87" spans="1:9">
      <c r="I87" s="210"/>
    </row>
    <row r="88" spans="1:9">
      <c r="I88" s="210"/>
    </row>
    <row r="89" spans="1:9">
      <c r="I89" s="210"/>
    </row>
    <row r="90" spans="1:9">
      <c r="I90" s="210"/>
    </row>
    <row r="91" spans="1:9">
      <c r="I91" s="210"/>
    </row>
    <row r="92" spans="1:9">
      <c r="I92" s="210"/>
    </row>
    <row r="93" spans="1:9">
      <c r="I93" s="210"/>
    </row>
    <row r="94" spans="1:9">
      <c r="I94" s="210"/>
    </row>
    <row r="95" spans="1:9">
      <c r="I95" s="210"/>
    </row>
    <row r="96" spans="1:9">
      <c r="I96" s="210"/>
    </row>
    <row r="97" spans="9:9">
      <c r="I97" s="210"/>
    </row>
    <row r="98" spans="9:9">
      <c r="I98" s="210"/>
    </row>
    <row r="99" spans="9:9">
      <c r="I99" s="210"/>
    </row>
    <row r="100" spans="9:9">
      <c r="I100" s="210"/>
    </row>
    <row r="101" spans="9:9">
      <c r="I101" s="210"/>
    </row>
    <row r="102" spans="9:9">
      <c r="I102" s="210"/>
    </row>
    <row r="103" spans="9:9">
      <c r="I103" s="210"/>
    </row>
    <row r="104" spans="9:9">
      <c r="I104" s="210"/>
    </row>
    <row r="105" spans="9:9">
      <c r="I105" s="210"/>
    </row>
    <row r="106" spans="9:9">
      <c r="I106" s="210"/>
    </row>
    <row r="107" spans="9:9">
      <c r="I107" s="210"/>
    </row>
    <row r="108" spans="9:9">
      <c r="I108" s="210"/>
    </row>
    <row r="109" spans="9:9">
      <c r="I109" s="210"/>
    </row>
    <row r="110" spans="9:9">
      <c r="I110" s="210"/>
    </row>
    <row r="111" spans="9:9">
      <c r="I111" s="210"/>
    </row>
    <row r="112" spans="9:9">
      <c r="I112" s="210"/>
    </row>
    <row r="113" spans="9:9">
      <c r="I113" s="210"/>
    </row>
    <row r="114" spans="9:9">
      <c r="I114" s="210"/>
    </row>
    <row r="115" spans="9:9">
      <c r="I115" s="210"/>
    </row>
    <row r="116" spans="9:9">
      <c r="I116" s="210"/>
    </row>
    <row r="117" spans="9:9">
      <c r="I117" s="210"/>
    </row>
  </sheetData>
  <phoneticPr fontId="4"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51"/>
  <sheetViews>
    <sheetView workbookViewId="0">
      <selection activeCell="C18" sqref="C18"/>
    </sheetView>
  </sheetViews>
  <sheetFormatPr defaultRowHeight="16.5"/>
  <cols>
    <col min="1" max="1" width="23.375" bestFit="1" customWidth="1"/>
    <col min="2" max="2" width="14.875" customWidth="1"/>
    <col min="3" max="3" width="35.25" customWidth="1"/>
  </cols>
  <sheetData>
    <row r="1" spans="1:3">
      <c r="A1" s="27" t="s">
        <v>1024</v>
      </c>
      <c r="B1" s="27" t="s">
        <v>1025</v>
      </c>
    </row>
    <row r="2" spans="1:3">
      <c r="A2" s="28" t="s">
        <v>1026</v>
      </c>
      <c r="B2" s="28" t="s">
        <v>1027</v>
      </c>
    </row>
    <row r="3" spans="1:3">
      <c r="A3" s="29" t="s">
        <v>1028</v>
      </c>
      <c r="B3" s="28"/>
    </row>
    <row r="4" spans="1:3">
      <c r="A4" s="29" t="s">
        <v>1029</v>
      </c>
      <c r="B4" s="28"/>
      <c r="C4" t="s">
        <v>1030</v>
      </c>
    </row>
    <row r="5" spans="1:3">
      <c r="A5" s="28" t="s">
        <v>1031</v>
      </c>
      <c r="B5" s="28" t="s">
        <v>1032</v>
      </c>
    </row>
    <row r="6" spans="1:3">
      <c r="A6" s="28" t="s">
        <v>1033</v>
      </c>
      <c r="B6" s="28" t="s">
        <v>1034</v>
      </c>
    </row>
    <row r="7" spans="1:3">
      <c r="A7" s="28" t="s">
        <v>1035</v>
      </c>
      <c r="B7" s="28" t="s">
        <v>1036</v>
      </c>
    </row>
    <row r="8" spans="1:3">
      <c r="A8" s="29" t="s">
        <v>1037</v>
      </c>
      <c r="B8" s="29" t="s">
        <v>1038</v>
      </c>
    </row>
    <row r="9" spans="1:3">
      <c r="A9" s="29" t="s">
        <v>1039</v>
      </c>
      <c r="B9" s="29" t="s">
        <v>1040</v>
      </c>
    </row>
    <row r="10" spans="1:3">
      <c r="A10" s="29" t="s">
        <v>1041</v>
      </c>
      <c r="B10" s="29" t="s">
        <v>1042</v>
      </c>
    </row>
    <row r="11" spans="1:3">
      <c r="A11" s="29" t="s">
        <v>1043</v>
      </c>
      <c r="B11" s="29" t="s">
        <v>1044</v>
      </c>
    </row>
    <row r="12" spans="1:3">
      <c r="A12" s="30" t="s">
        <v>1045</v>
      </c>
      <c r="B12" s="31" t="s">
        <v>1046</v>
      </c>
    </row>
    <row r="13" spans="1:3">
      <c r="A13" s="30" t="s">
        <v>1047</v>
      </c>
      <c r="B13" s="31" t="s">
        <v>1048</v>
      </c>
    </row>
    <row r="14" spans="1:3">
      <c r="A14" s="30" t="s">
        <v>1049</v>
      </c>
      <c r="B14" s="31" t="s">
        <v>1050</v>
      </c>
    </row>
    <row r="15" spans="1:3">
      <c r="A15" s="30" t="s">
        <v>1051</v>
      </c>
      <c r="B15" s="31" t="s">
        <v>1052</v>
      </c>
    </row>
    <row r="16" spans="1:3">
      <c r="A16" s="30" t="s">
        <v>1053</v>
      </c>
      <c r="B16" s="31" t="s">
        <v>1054</v>
      </c>
    </row>
    <row r="17" spans="1:2">
      <c r="A17" s="30" t="s">
        <v>1055</v>
      </c>
      <c r="B17" s="31" t="s">
        <v>1056</v>
      </c>
    </row>
    <row r="18" spans="1:2">
      <c r="A18" s="30" t="s">
        <v>1057</v>
      </c>
      <c r="B18" s="31" t="s">
        <v>1058</v>
      </c>
    </row>
    <row r="19" spans="1:2">
      <c r="A19" s="30" t="s">
        <v>1059</v>
      </c>
      <c r="B19" s="31" t="s">
        <v>1060</v>
      </c>
    </row>
    <row r="20" spans="1:2">
      <c r="A20" s="30" t="s">
        <v>1061</v>
      </c>
      <c r="B20" s="31" t="s">
        <v>1062</v>
      </c>
    </row>
    <row r="21" spans="1:2">
      <c r="A21" s="30" t="s">
        <v>1063</v>
      </c>
      <c r="B21" s="31" t="s">
        <v>1064</v>
      </c>
    </row>
    <row r="22" spans="1:2">
      <c r="A22" s="30" t="s">
        <v>1065</v>
      </c>
      <c r="B22" s="31" t="s">
        <v>1066</v>
      </c>
    </row>
    <row r="23" spans="1:2">
      <c r="A23" s="30" t="s">
        <v>1067</v>
      </c>
      <c r="B23" s="31" t="s">
        <v>1068</v>
      </c>
    </row>
    <row r="24" spans="1:2">
      <c r="A24" s="30" t="s">
        <v>1069</v>
      </c>
      <c r="B24" s="31" t="s">
        <v>1070</v>
      </c>
    </row>
    <row r="25" spans="1:2">
      <c r="A25" s="30" t="s">
        <v>1071</v>
      </c>
      <c r="B25" s="31" t="s">
        <v>1072</v>
      </c>
    </row>
    <row r="26" spans="1:2">
      <c r="A26" s="30" t="s">
        <v>1073</v>
      </c>
      <c r="B26" s="31" t="s">
        <v>1074</v>
      </c>
    </row>
    <row r="27" spans="1:2">
      <c r="A27" s="30" t="s">
        <v>1075</v>
      </c>
      <c r="B27" s="31" t="s">
        <v>1076</v>
      </c>
    </row>
    <row r="28" spans="1:2">
      <c r="A28" s="30" t="s">
        <v>1077</v>
      </c>
      <c r="B28" s="31" t="s">
        <v>1078</v>
      </c>
    </row>
    <row r="29" spans="1:2">
      <c r="A29" s="30" t="s">
        <v>1079</v>
      </c>
      <c r="B29" s="31" t="s">
        <v>1080</v>
      </c>
    </row>
    <row r="30" spans="1:2">
      <c r="A30" s="30" t="s">
        <v>1081</v>
      </c>
      <c r="B30" s="31" t="s">
        <v>1082</v>
      </c>
    </row>
    <row r="31" spans="1:2">
      <c r="A31" s="30" t="s">
        <v>1083</v>
      </c>
      <c r="B31" s="31" t="s">
        <v>1084</v>
      </c>
    </row>
    <row r="32" spans="1:2">
      <c r="A32" s="30" t="s">
        <v>1085</v>
      </c>
      <c r="B32" s="31" t="s">
        <v>1086</v>
      </c>
    </row>
    <row r="33" spans="1:2">
      <c r="A33" s="30" t="s">
        <v>1087</v>
      </c>
      <c r="B33" s="31" t="s">
        <v>1088</v>
      </c>
    </row>
    <row r="34" spans="1:2">
      <c r="A34" s="30" t="s">
        <v>1089</v>
      </c>
      <c r="B34" s="31" t="s">
        <v>1090</v>
      </c>
    </row>
    <row r="35" spans="1:2">
      <c r="A35" s="30" t="s">
        <v>1091</v>
      </c>
      <c r="B35" s="31" t="s">
        <v>1092</v>
      </c>
    </row>
    <row r="36" spans="1:2">
      <c r="A36" s="30" t="s">
        <v>1093</v>
      </c>
      <c r="B36" s="31" t="s">
        <v>1094</v>
      </c>
    </row>
    <row r="37" spans="1:2">
      <c r="A37" s="30" t="s">
        <v>1095</v>
      </c>
      <c r="B37" s="31" t="s">
        <v>1096</v>
      </c>
    </row>
    <row r="38" spans="1:2">
      <c r="A38" s="30" t="s">
        <v>1097</v>
      </c>
      <c r="B38" s="31" t="s">
        <v>1098</v>
      </c>
    </row>
    <row r="39" spans="1:2">
      <c r="A39" s="30" t="s">
        <v>1099</v>
      </c>
      <c r="B39" s="31" t="s">
        <v>1100</v>
      </c>
    </row>
    <row r="40" spans="1:2">
      <c r="A40" s="30" t="s">
        <v>1101</v>
      </c>
      <c r="B40" s="31" t="s">
        <v>1102</v>
      </c>
    </row>
    <row r="41" spans="1:2">
      <c r="A41" s="30" t="s">
        <v>1103</v>
      </c>
      <c r="B41" s="31" t="s">
        <v>1104</v>
      </c>
    </row>
    <row r="42" spans="1:2">
      <c r="A42" s="30" t="s">
        <v>1105</v>
      </c>
      <c r="B42" s="31" t="s">
        <v>1106</v>
      </c>
    </row>
    <row r="43" spans="1:2">
      <c r="A43" s="30" t="s">
        <v>1107</v>
      </c>
      <c r="B43" s="31" t="s">
        <v>1108</v>
      </c>
    </row>
    <row r="44" spans="1:2">
      <c r="A44" s="30" t="s">
        <v>1109</v>
      </c>
      <c r="B44" s="31" t="s">
        <v>1110</v>
      </c>
    </row>
    <row r="45" spans="1:2">
      <c r="A45" s="30" t="s">
        <v>1111</v>
      </c>
      <c r="B45" s="31" t="s">
        <v>1112</v>
      </c>
    </row>
    <row r="46" spans="1:2">
      <c r="A46" s="30" t="s">
        <v>1113</v>
      </c>
      <c r="B46" s="31" t="s">
        <v>1114</v>
      </c>
    </row>
    <row r="47" spans="1:2">
      <c r="A47" s="30" t="s">
        <v>1115</v>
      </c>
      <c r="B47" s="31" t="s">
        <v>1116</v>
      </c>
    </row>
    <row r="48" spans="1:2">
      <c r="A48" s="30" t="s">
        <v>1117</v>
      </c>
      <c r="B48" s="31" t="s">
        <v>1118</v>
      </c>
    </row>
    <row r="49" spans="1:2">
      <c r="A49" s="30" t="s">
        <v>1119</v>
      </c>
      <c r="B49" s="31" t="s">
        <v>1120</v>
      </c>
    </row>
    <row r="50" spans="1:2">
      <c r="A50" s="30" t="s">
        <v>1121</v>
      </c>
      <c r="B50" s="31" t="s">
        <v>1122</v>
      </c>
    </row>
    <row r="51" spans="1:2">
      <c r="A51" s="29" t="s">
        <v>1123</v>
      </c>
    </row>
  </sheetData>
  <phoneticPr fontId="4" type="noConversion"/>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C000"/>
  </sheetPr>
  <dimension ref="A1:AN293"/>
  <sheetViews>
    <sheetView zoomScale="85" zoomScaleNormal="85" workbookViewId="0">
      <pane ySplit="4" topLeftCell="A260" activePane="bottomLeft" state="frozen"/>
      <selection activeCell="N79" sqref="N79"/>
      <selection pane="bottomLeft" activeCell="A293" sqref="A293"/>
    </sheetView>
  </sheetViews>
  <sheetFormatPr defaultColWidth="9" defaultRowHeight="16.5"/>
  <cols>
    <col min="1" max="1" width="19.875" style="36" customWidth="1"/>
    <col min="2" max="2" width="17.75" style="34" customWidth="1"/>
    <col min="3" max="3" width="20.75" style="34" customWidth="1"/>
    <col min="4" max="4" width="26" style="34" customWidth="1"/>
    <col min="5" max="5" width="18.25" style="35" customWidth="1"/>
    <col min="6" max="6" width="35.375" style="34" customWidth="1"/>
    <col min="7" max="7" width="28.375" style="34" customWidth="1"/>
    <col min="8" max="8" width="21.125" style="34" customWidth="1"/>
    <col min="9" max="12" width="12.625" style="34" customWidth="1"/>
    <col min="13" max="13" width="17.625" style="34" customWidth="1"/>
    <col min="14" max="15" width="9" style="34"/>
    <col min="16" max="16" width="13.75" style="34" bestFit="1" customWidth="1"/>
    <col min="17" max="16384" width="9" style="34"/>
  </cols>
  <sheetData>
    <row r="1" spans="1:16" ht="21" customHeight="1">
      <c r="A1" s="32" t="s">
        <v>1124</v>
      </c>
      <c r="B1" s="33" t="s">
        <v>1125</v>
      </c>
      <c r="C1" s="34" t="s">
        <v>1126</v>
      </c>
    </row>
    <row r="2" spans="1:16" ht="16.5" customHeight="1">
      <c r="E2" s="196"/>
      <c r="F2" s="196"/>
    </row>
    <row r="3" spans="1:16" ht="16.5" customHeight="1">
      <c r="E3" s="196"/>
      <c r="F3" s="196"/>
    </row>
    <row r="4" spans="1:16" ht="18" customHeight="1"/>
    <row r="5" spans="1:16" ht="16.5" customHeight="1"/>
    <row r="6" spans="1:16">
      <c r="B6" s="34" t="s">
        <v>1127</v>
      </c>
      <c r="C6" s="37"/>
      <c r="G6" s="38"/>
      <c r="I6" s="38"/>
    </row>
    <row r="7" spans="1:16">
      <c r="B7" s="39" t="s">
        <v>1128</v>
      </c>
      <c r="C7" s="40" t="s">
        <v>1129</v>
      </c>
      <c r="D7" s="39" t="s">
        <v>1130</v>
      </c>
      <c r="E7" s="39" t="s">
        <v>1131</v>
      </c>
      <c r="F7" s="41" t="s">
        <v>1132</v>
      </c>
      <c r="G7" s="39" t="s">
        <v>1133</v>
      </c>
      <c r="H7" s="39" t="s">
        <v>1134</v>
      </c>
      <c r="I7" s="39" t="s">
        <v>1135</v>
      </c>
      <c r="J7" s="39" t="s">
        <v>1136</v>
      </c>
      <c r="K7" s="39" t="s">
        <v>1137</v>
      </c>
      <c r="L7" s="39" t="s">
        <v>1138</v>
      </c>
      <c r="M7" s="39" t="s">
        <v>1137</v>
      </c>
      <c r="N7" s="39" t="s">
        <v>1139</v>
      </c>
      <c r="O7" s="39" t="s">
        <v>1140</v>
      </c>
      <c r="P7" s="39" t="s">
        <v>1141</v>
      </c>
    </row>
    <row r="8" spans="1:16">
      <c r="A8" s="42" t="s">
        <v>1142</v>
      </c>
      <c r="B8" s="43">
        <v>1</v>
      </c>
      <c r="C8" s="44" t="s">
        <v>1143</v>
      </c>
      <c r="D8" s="45" t="s">
        <v>1144</v>
      </c>
      <c r="E8" s="44" t="s">
        <v>1145</v>
      </c>
      <c r="F8" s="45" t="s">
        <v>1146</v>
      </c>
      <c r="G8" s="46"/>
      <c r="H8" s="47" t="s">
        <v>501</v>
      </c>
      <c r="I8" s="47"/>
      <c r="J8" s="47"/>
      <c r="K8" s="47"/>
      <c r="L8" s="47"/>
      <c r="M8" s="47"/>
      <c r="N8" s="47"/>
      <c r="O8" s="46" t="s">
        <v>1147</v>
      </c>
      <c r="P8" s="47" t="s">
        <v>501</v>
      </c>
    </row>
    <row r="12" spans="1:16">
      <c r="B12" s="34" t="s">
        <v>1148</v>
      </c>
      <c r="C12" s="37"/>
      <c r="G12" s="38"/>
      <c r="I12" s="38"/>
    </row>
    <row r="13" spans="1:16">
      <c r="B13" s="39" t="s">
        <v>1149</v>
      </c>
      <c r="C13" s="40" t="s">
        <v>1150</v>
      </c>
      <c r="D13" s="39" t="s">
        <v>1151</v>
      </c>
      <c r="E13" s="39" t="s">
        <v>1152</v>
      </c>
      <c r="F13" s="41" t="s">
        <v>1153</v>
      </c>
      <c r="G13" s="39" t="s">
        <v>1154</v>
      </c>
      <c r="H13" s="39" t="s">
        <v>1134</v>
      </c>
      <c r="I13" s="39" t="s">
        <v>1155</v>
      </c>
      <c r="J13" s="39" t="s">
        <v>1139</v>
      </c>
      <c r="K13" s="39" t="s">
        <v>1156</v>
      </c>
      <c r="L13" s="39" t="s">
        <v>1139</v>
      </c>
      <c r="M13" s="39" t="s">
        <v>1155</v>
      </c>
      <c r="N13" s="39" t="s">
        <v>1157</v>
      </c>
      <c r="O13" s="39" t="s">
        <v>1140</v>
      </c>
      <c r="P13" s="39" t="s">
        <v>1158</v>
      </c>
    </row>
    <row r="14" spans="1:16">
      <c r="A14" s="42" t="s">
        <v>1159</v>
      </c>
      <c r="B14" s="43">
        <v>1</v>
      </c>
      <c r="C14" s="44" t="s">
        <v>1160</v>
      </c>
      <c r="D14" s="45" t="s">
        <v>1161</v>
      </c>
      <c r="E14" s="44" t="s">
        <v>1162</v>
      </c>
      <c r="F14" s="45" t="s">
        <v>1163</v>
      </c>
      <c r="G14" s="46"/>
      <c r="H14" s="47" t="s">
        <v>501</v>
      </c>
      <c r="I14" s="47"/>
      <c r="J14" s="47"/>
      <c r="K14" s="47"/>
      <c r="L14" s="47"/>
      <c r="M14" s="47"/>
      <c r="N14" s="47"/>
      <c r="O14" s="46" t="s">
        <v>1164</v>
      </c>
      <c r="P14" s="47" t="s">
        <v>501</v>
      </c>
    </row>
    <row r="15" spans="1:16">
      <c r="G15" s="35"/>
    </row>
    <row r="16" spans="1:16">
      <c r="G16" s="35"/>
    </row>
    <row r="17" spans="1:8">
      <c r="G17" s="35"/>
    </row>
    <row r="18" spans="1:8">
      <c r="B18" s="34" t="s">
        <v>1165</v>
      </c>
      <c r="C18" s="37"/>
      <c r="G18" s="38"/>
    </row>
    <row r="19" spans="1:8">
      <c r="B19" s="40" t="s">
        <v>1166</v>
      </c>
      <c r="C19" s="40" t="s">
        <v>1167</v>
      </c>
      <c r="D19" s="39" t="s">
        <v>1151</v>
      </c>
      <c r="E19" s="39" t="s">
        <v>1168</v>
      </c>
      <c r="F19" s="41" t="s">
        <v>1132</v>
      </c>
      <c r="G19" s="39" t="s">
        <v>1169</v>
      </c>
    </row>
    <row r="20" spans="1:8">
      <c r="A20" s="42" t="s">
        <v>1170</v>
      </c>
      <c r="B20" s="48" t="s">
        <v>1171</v>
      </c>
      <c r="C20" s="48" t="s">
        <v>1172</v>
      </c>
      <c r="D20" s="44" t="s">
        <v>1173</v>
      </c>
      <c r="E20" s="44" t="s">
        <v>1174</v>
      </c>
      <c r="F20" s="44" t="s">
        <v>1175</v>
      </c>
      <c r="G20" s="44" t="s">
        <v>1176</v>
      </c>
    </row>
    <row r="21" spans="1:8">
      <c r="G21" s="35"/>
    </row>
    <row r="22" spans="1:8">
      <c r="G22" s="35"/>
    </row>
    <row r="23" spans="1:8">
      <c r="G23" s="35"/>
    </row>
    <row r="24" spans="1:8">
      <c r="B24" s="34" t="s">
        <v>1177</v>
      </c>
      <c r="C24" s="38"/>
      <c r="D24" s="49"/>
      <c r="E24" s="207"/>
      <c r="F24" s="207"/>
      <c r="G24" s="207"/>
      <c r="H24" s="207"/>
    </row>
    <row r="25" spans="1:8">
      <c r="B25" s="40" t="s">
        <v>1178</v>
      </c>
      <c r="C25" s="40" t="s">
        <v>1179</v>
      </c>
      <c r="D25" s="40" t="s">
        <v>1180</v>
      </c>
      <c r="E25" s="40" t="s">
        <v>1181</v>
      </c>
      <c r="F25" s="50" t="s">
        <v>1182</v>
      </c>
    </row>
    <row r="26" spans="1:8">
      <c r="A26" s="42" t="s">
        <v>1183</v>
      </c>
      <c r="B26" s="44" t="s">
        <v>1184</v>
      </c>
      <c r="C26" s="48" t="s">
        <v>1185</v>
      </c>
      <c r="D26" s="48" t="s">
        <v>1186</v>
      </c>
      <c r="E26" s="44"/>
    </row>
    <row r="27" spans="1:8">
      <c r="A27" s="42"/>
      <c r="B27" s="51" t="s">
        <v>1187</v>
      </c>
      <c r="C27" s="52">
        <v>1</v>
      </c>
      <c r="D27" s="52">
        <v>3</v>
      </c>
      <c r="E27" s="53"/>
    </row>
    <row r="28" spans="1:8">
      <c r="A28" s="42"/>
      <c r="B28" s="51" t="s">
        <v>1188</v>
      </c>
      <c r="C28" s="52" t="s">
        <v>1172</v>
      </c>
      <c r="D28" s="52" t="s">
        <v>1172</v>
      </c>
      <c r="E28" s="53"/>
    </row>
    <row r="29" spans="1:8">
      <c r="A29" s="42"/>
      <c r="B29" s="54"/>
      <c r="C29" s="55"/>
      <c r="D29" s="55"/>
      <c r="E29" s="56"/>
    </row>
    <row r="30" spans="1:8">
      <c r="A30" s="42"/>
      <c r="B30" s="54"/>
      <c r="C30" s="55"/>
      <c r="D30" s="55"/>
      <c r="E30" s="56"/>
    </row>
    <row r="31" spans="1:8">
      <c r="A31" s="42"/>
      <c r="B31" s="54"/>
      <c r="C31" s="55"/>
      <c r="D31" s="55"/>
      <c r="E31" s="56"/>
    </row>
    <row r="32" spans="1:8">
      <c r="A32" s="57"/>
      <c r="B32" s="34" t="s">
        <v>1189</v>
      </c>
      <c r="C32" s="58"/>
      <c r="D32" s="38"/>
      <c r="E32" s="34"/>
    </row>
    <row r="33" spans="1:9">
      <c r="A33" s="57"/>
      <c r="B33" s="40" t="s">
        <v>1166</v>
      </c>
      <c r="C33" s="59" t="s">
        <v>1190</v>
      </c>
      <c r="D33" s="59" t="s">
        <v>1191</v>
      </c>
      <c r="E33" s="34"/>
    </row>
    <row r="34" spans="1:9">
      <c r="A34" s="57" t="s">
        <v>1192</v>
      </c>
      <c r="B34" s="48" t="s">
        <v>1193</v>
      </c>
      <c r="C34" s="48" t="s">
        <v>1194</v>
      </c>
      <c r="D34" s="60" t="s">
        <v>1195</v>
      </c>
      <c r="E34" s="34"/>
    </row>
    <row r="35" spans="1:9">
      <c r="A35" s="42"/>
      <c r="D35" s="49"/>
    </row>
    <row r="36" spans="1:9">
      <c r="A36" s="42"/>
      <c r="D36" s="49"/>
    </row>
    <row r="37" spans="1:9">
      <c r="D37" s="49"/>
    </row>
    <row r="38" spans="1:9">
      <c r="A38" s="57"/>
      <c r="B38" s="34" t="s">
        <v>1196</v>
      </c>
      <c r="C38" s="58"/>
      <c r="D38" s="38"/>
      <c r="E38" s="34"/>
      <c r="F38" s="38"/>
      <c r="G38" s="38"/>
    </row>
    <row r="39" spans="1:9">
      <c r="A39" s="57"/>
      <c r="B39" s="40" t="s">
        <v>1178</v>
      </c>
      <c r="C39" s="59" t="s">
        <v>1197</v>
      </c>
      <c r="D39" s="59" t="s">
        <v>1198</v>
      </c>
      <c r="E39" s="40" t="s">
        <v>1199</v>
      </c>
      <c r="F39" s="59" t="s">
        <v>1200</v>
      </c>
      <c r="G39" s="195" t="s">
        <v>1201</v>
      </c>
      <c r="H39" s="195"/>
    </row>
    <row r="40" spans="1:9">
      <c r="A40" s="57" t="s">
        <v>1202</v>
      </c>
      <c r="B40" s="48" t="s">
        <v>1171</v>
      </c>
      <c r="C40" s="48" t="s">
        <v>1194</v>
      </c>
      <c r="D40" s="60" t="s">
        <v>1203</v>
      </c>
      <c r="E40" s="48"/>
      <c r="F40" s="48" t="s">
        <v>1172</v>
      </c>
      <c r="G40" s="61" t="str">
        <f>IF(ISERROR(MID(C40,2,1)*1),MID(C40,1,2),MID(C40,1,1))</f>
        <v>A</v>
      </c>
      <c r="H40" s="61" t="str">
        <f>IF(ISERROR(MID(C40,2,1)*1),MID(C40,3,5),MID(C40,2,5))</f>
        <v>1</v>
      </c>
    </row>
    <row r="41" spans="1:9">
      <c r="A41" s="57"/>
      <c r="B41" s="54"/>
      <c r="C41" s="62"/>
      <c r="D41" s="63"/>
      <c r="E41" s="64"/>
      <c r="F41" s="64"/>
      <c r="G41" s="65"/>
      <c r="H41" s="65"/>
    </row>
    <row r="42" spans="1:9">
      <c r="A42" s="57"/>
      <c r="B42" s="54"/>
      <c r="C42" s="62"/>
      <c r="D42" s="63"/>
      <c r="E42" s="64"/>
      <c r="F42" s="64"/>
      <c r="G42" s="65"/>
      <c r="H42" s="65"/>
    </row>
    <row r="43" spans="1:9">
      <c r="A43" s="57"/>
      <c r="B43" s="54"/>
      <c r="C43" s="62"/>
      <c r="D43" s="63"/>
      <c r="E43" s="64"/>
      <c r="F43" s="64"/>
      <c r="G43" s="65"/>
      <c r="H43" s="65"/>
    </row>
    <row r="44" spans="1:9">
      <c r="A44" s="57"/>
      <c r="B44" s="34" t="s">
        <v>1204</v>
      </c>
      <c r="C44" s="50"/>
      <c r="E44" s="208" t="s">
        <v>1205</v>
      </c>
      <c r="F44" s="209"/>
    </row>
    <row r="45" spans="1:9">
      <c r="A45" s="57"/>
      <c r="B45" s="40" t="s">
        <v>1206</v>
      </c>
      <c r="C45" s="40" t="s">
        <v>1207</v>
      </c>
      <c r="D45" s="40" t="s">
        <v>1208</v>
      </c>
      <c r="E45" s="59" t="s">
        <v>1209</v>
      </c>
      <c r="F45" s="59" t="s">
        <v>1210</v>
      </c>
      <c r="G45" s="59" t="s">
        <v>1211</v>
      </c>
      <c r="H45" s="59" t="s">
        <v>1212</v>
      </c>
      <c r="I45" s="50" t="s">
        <v>1182</v>
      </c>
    </row>
    <row r="46" spans="1:9">
      <c r="A46" s="206" t="s">
        <v>1213</v>
      </c>
      <c r="B46" s="66" t="s">
        <v>1214</v>
      </c>
      <c r="C46" s="48" t="s">
        <v>1215</v>
      </c>
      <c r="D46" s="48">
        <v>1</v>
      </c>
      <c r="E46" s="67" t="s">
        <v>1216</v>
      </c>
      <c r="F46" s="48" t="s">
        <v>1217</v>
      </c>
      <c r="G46" s="48" t="s">
        <v>1218</v>
      </c>
      <c r="H46" s="48" t="s">
        <v>1219</v>
      </c>
    </row>
    <row r="47" spans="1:9">
      <c r="A47" s="206"/>
      <c r="B47" s="68" t="s">
        <v>1220</v>
      </c>
      <c r="C47" s="52" t="s">
        <v>1171</v>
      </c>
      <c r="D47" s="52">
        <v>1</v>
      </c>
      <c r="E47" s="52">
        <v>1</v>
      </c>
      <c r="F47" s="52" t="s">
        <v>1218</v>
      </c>
      <c r="G47" s="52" t="s">
        <v>1221</v>
      </c>
      <c r="H47" s="52" t="s">
        <v>1222</v>
      </c>
    </row>
    <row r="48" spans="1:9">
      <c r="A48" s="57"/>
      <c r="B48" s="201" t="s">
        <v>1223</v>
      </c>
      <c r="C48" s="201"/>
      <c r="D48" s="201"/>
      <c r="E48" s="201"/>
      <c r="F48" s="52" t="s">
        <v>1224</v>
      </c>
      <c r="G48" s="52" t="s">
        <v>1224</v>
      </c>
      <c r="H48" s="52" t="s">
        <v>1225</v>
      </c>
    </row>
    <row r="49" spans="1:8">
      <c r="A49" s="57"/>
      <c r="B49" s="54"/>
      <c r="C49" s="62"/>
      <c r="D49" s="63"/>
      <c r="E49" s="64"/>
      <c r="F49" s="64"/>
      <c r="G49" s="65"/>
      <c r="H49" s="65"/>
    </row>
    <row r="50" spans="1:8">
      <c r="A50" s="57"/>
      <c r="B50" s="54"/>
      <c r="C50" s="62"/>
      <c r="D50" s="63"/>
      <c r="E50" s="64"/>
      <c r="F50" s="64"/>
      <c r="G50" s="65"/>
      <c r="H50" s="65"/>
    </row>
    <row r="51" spans="1:8">
      <c r="A51" s="57"/>
      <c r="B51" s="54"/>
      <c r="C51" s="62"/>
      <c r="D51" s="63"/>
      <c r="E51" s="64"/>
      <c r="F51" s="64"/>
      <c r="G51" s="65"/>
      <c r="H51" s="65"/>
    </row>
    <row r="52" spans="1:8">
      <c r="A52" s="57"/>
      <c r="B52" s="34" t="s">
        <v>1226</v>
      </c>
      <c r="E52" s="69"/>
      <c r="F52" s="38" t="s">
        <v>1227</v>
      </c>
    </row>
    <row r="53" spans="1:8">
      <c r="A53" s="57"/>
      <c r="B53" s="40" t="s">
        <v>1228</v>
      </c>
      <c r="C53" s="59" t="s">
        <v>1229</v>
      </c>
      <c r="D53" s="59" t="s">
        <v>1230</v>
      </c>
      <c r="E53" s="59" t="s">
        <v>1231</v>
      </c>
      <c r="F53" s="59" t="s">
        <v>1232</v>
      </c>
    </row>
    <row r="54" spans="1:8">
      <c r="A54" s="57" t="s">
        <v>1233</v>
      </c>
      <c r="B54" s="48" t="s">
        <v>1234</v>
      </c>
      <c r="C54" s="48" t="s">
        <v>1235</v>
      </c>
      <c r="D54" s="48" t="s">
        <v>1236</v>
      </c>
      <c r="E54" s="70"/>
      <c r="F54" s="70">
        <v>2</v>
      </c>
    </row>
    <row r="55" spans="1:8" ht="15.75" customHeight="1"/>
    <row r="56" spans="1:8" ht="15.75" customHeight="1"/>
    <row r="58" spans="1:8">
      <c r="A58" s="57"/>
      <c r="B58" s="34" t="s">
        <v>1237</v>
      </c>
      <c r="C58" s="71"/>
      <c r="D58" s="72"/>
      <c r="E58" s="38"/>
      <c r="F58" s="50"/>
    </row>
    <row r="59" spans="1:8">
      <c r="A59" s="73"/>
      <c r="B59" s="202" t="s">
        <v>1178</v>
      </c>
      <c r="C59" s="202" t="s">
        <v>1238</v>
      </c>
      <c r="D59" s="204" t="s">
        <v>1239</v>
      </c>
      <c r="E59" s="204" t="s">
        <v>1240</v>
      </c>
      <c r="F59" s="50" t="s">
        <v>1182</v>
      </c>
    </row>
    <row r="60" spans="1:8">
      <c r="A60" s="42"/>
      <c r="B60" s="203"/>
      <c r="C60" s="203"/>
      <c r="D60" s="195"/>
      <c r="E60" s="195"/>
    </row>
    <row r="61" spans="1:8">
      <c r="A61" s="57" t="s">
        <v>1241</v>
      </c>
      <c r="B61" s="48" t="s">
        <v>1234</v>
      </c>
      <c r="C61" s="48">
        <v>2</v>
      </c>
      <c r="D61" s="48" t="s">
        <v>1242</v>
      </c>
      <c r="E61" s="48" t="s">
        <v>1243</v>
      </c>
    </row>
    <row r="62" spans="1:8">
      <c r="A62" s="73"/>
      <c r="C62" s="74"/>
      <c r="D62" s="38"/>
      <c r="E62" s="38"/>
      <c r="F62" s="38"/>
    </row>
    <row r="63" spans="1:8">
      <c r="A63" s="73"/>
      <c r="C63" s="74"/>
      <c r="D63" s="38"/>
      <c r="E63" s="38"/>
      <c r="F63" s="38"/>
    </row>
    <row r="65" spans="1:8">
      <c r="A65" s="73"/>
      <c r="B65" s="34" t="s">
        <v>1244</v>
      </c>
      <c r="C65" s="50"/>
      <c r="D65" s="75"/>
      <c r="E65" s="75"/>
    </row>
    <row r="66" spans="1:8">
      <c r="A66" s="73"/>
      <c r="B66" s="40" t="s">
        <v>1178</v>
      </c>
      <c r="C66" s="40" t="s">
        <v>1245</v>
      </c>
      <c r="D66" s="59" t="s">
        <v>1246</v>
      </c>
      <c r="E66" s="59" t="s">
        <v>1247</v>
      </c>
      <c r="F66" s="50" t="s">
        <v>1248</v>
      </c>
    </row>
    <row r="67" spans="1:8">
      <c r="A67" s="57" t="s">
        <v>1249</v>
      </c>
      <c r="B67" s="205" t="s">
        <v>1179</v>
      </c>
      <c r="C67" s="48"/>
      <c r="D67" s="48" t="s">
        <v>1250</v>
      </c>
      <c r="E67" s="48"/>
    </row>
    <row r="68" spans="1:8">
      <c r="A68" s="57"/>
      <c r="B68" s="197"/>
      <c r="C68" s="52" t="s">
        <v>1251</v>
      </c>
      <c r="D68" s="52" t="s">
        <v>1252</v>
      </c>
      <c r="E68" s="52"/>
    </row>
    <row r="72" spans="1:8">
      <c r="A72" s="73"/>
      <c r="B72" s="34" t="s">
        <v>1253</v>
      </c>
      <c r="C72" s="76"/>
    </row>
    <row r="73" spans="1:8">
      <c r="B73" s="40" t="s">
        <v>1178</v>
      </c>
      <c r="C73" s="40" t="s">
        <v>1254</v>
      </c>
      <c r="D73" s="40" t="s">
        <v>1255</v>
      </c>
    </row>
    <row r="74" spans="1:8">
      <c r="A74" s="57" t="s">
        <v>1256</v>
      </c>
      <c r="B74" s="48" t="s">
        <v>1257</v>
      </c>
      <c r="C74" s="48" t="s">
        <v>1172</v>
      </c>
      <c r="D74" s="48">
        <v>1</v>
      </c>
    </row>
    <row r="78" spans="1:8">
      <c r="A78" s="73"/>
      <c r="B78" s="34" t="s">
        <v>1258</v>
      </c>
      <c r="C78" s="50"/>
      <c r="E78" s="34"/>
      <c r="F78" s="38"/>
    </row>
    <row r="79" spans="1:8">
      <c r="A79" s="73"/>
      <c r="B79" s="40" t="s">
        <v>1259</v>
      </c>
      <c r="C79" s="77" t="s">
        <v>1260</v>
      </c>
      <c r="D79" s="77" t="s">
        <v>1261</v>
      </c>
      <c r="E79" s="77" t="s">
        <v>1262</v>
      </c>
      <c r="F79" s="77" t="s">
        <v>1263</v>
      </c>
      <c r="G79" s="77" t="s">
        <v>1264</v>
      </c>
      <c r="H79" s="77" t="s">
        <v>1265</v>
      </c>
    </row>
    <row r="80" spans="1:8">
      <c r="A80" s="57" t="s">
        <v>1266</v>
      </c>
      <c r="B80" s="48" t="s">
        <v>1267</v>
      </c>
      <c r="C80" s="44" t="s">
        <v>1268</v>
      </c>
      <c r="D80" s="47" t="s">
        <v>501</v>
      </c>
      <c r="E80" s="47"/>
      <c r="F80" s="47"/>
      <c r="G80" s="47" t="s">
        <v>501</v>
      </c>
      <c r="H80" s="47" t="s">
        <v>1269</v>
      </c>
    </row>
    <row r="84" spans="1:12">
      <c r="A84" s="57"/>
      <c r="B84" s="34" t="s">
        <v>1270</v>
      </c>
    </row>
    <row r="85" spans="1:12">
      <c r="A85" s="57"/>
      <c r="B85" s="40" t="s">
        <v>1178</v>
      </c>
      <c r="C85" s="59" t="s">
        <v>1271</v>
      </c>
      <c r="D85" s="59" t="s">
        <v>1272</v>
      </c>
      <c r="E85" s="50" t="s">
        <v>1182</v>
      </c>
    </row>
    <row r="86" spans="1:12">
      <c r="A86" s="57" t="s">
        <v>1273</v>
      </c>
      <c r="B86" s="48" t="s">
        <v>1267</v>
      </c>
      <c r="C86" s="48" t="s">
        <v>1274</v>
      </c>
      <c r="D86" s="48" t="s">
        <v>1275</v>
      </c>
      <c r="E86" s="34"/>
    </row>
    <row r="87" spans="1:12">
      <c r="A87" s="73"/>
      <c r="B87" s="54"/>
      <c r="C87" s="62"/>
      <c r="D87" s="62"/>
      <c r="E87" s="62"/>
      <c r="F87" s="62"/>
      <c r="G87" s="62"/>
      <c r="H87" s="62"/>
      <c r="I87" s="62"/>
      <c r="J87" s="62"/>
      <c r="K87" s="62"/>
      <c r="L87" s="62"/>
    </row>
    <row r="88" spans="1:12">
      <c r="A88" s="73"/>
      <c r="E88" s="34"/>
    </row>
    <row r="90" spans="1:12">
      <c r="A90" s="73"/>
      <c r="B90" s="34" t="s">
        <v>1276</v>
      </c>
    </row>
    <row r="91" spans="1:12">
      <c r="A91" s="57"/>
      <c r="B91" s="40" t="s">
        <v>1178</v>
      </c>
      <c r="C91" s="59" t="s">
        <v>1277</v>
      </c>
    </row>
    <row r="92" spans="1:12">
      <c r="A92" s="57" t="s">
        <v>1278</v>
      </c>
      <c r="B92" s="48" t="s">
        <v>1234</v>
      </c>
      <c r="C92" s="48" t="s">
        <v>1172</v>
      </c>
    </row>
    <row r="96" spans="1:12">
      <c r="A96" s="34"/>
      <c r="B96" s="34" t="s">
        <v>1279</v>
      </c>
      <c r="C96" s="71" t="s">
        <v>1280</v>
      </c>
      <c r="D96" s="72" t="s">
        <v>1281</v>
      </c>
      <c r="E96" s="38"/>
      <c r="F96" s="50"/>
    </row>
    <row r="97" spans="1:12">
      <c r="A97" s="34"/>
      <c r="B97" s="40" t="s">
        <v>1150</v>
      </c>
      <c r="C97" s="59" t="s">
        <v>1282</v>
      </c>
      <c r="D97" s="59" t="s">
        <v>1283</v>
      </c>
      <c r="E97" s="59" t="s">
        <v>1284</v>
      </c>
      <c r="F97" s="59" t="s">
        <v>1285</v>
      </c>
      <c r="G97" s="59" t="s">
        <v>1286</v>
      </c>
      <c r="H97" s="50" t="s">
        <v>1182</v>
      </c>
    </row>
    <row r="98" spans="1:12">
      <c r="A98" s="57" t="s">
        <v>1287</v>
      </c>
      <c r="B98" s="197" t="s">
        <v>1267</v>
      </c>
      <c r="C98" s="48" t="s">
        <v>1288</v>
      </c>
      <c r="D98" s="48" t="s">
        <v>1289</v>
      </c>
      <c r="E98" s="48" t="s">
        <v>1235</v>
      </c>
      <c r="F98" s="48" t="s">
        <v>1290</v>
      </c>
      <c r="G98" s="48" t="s">
        <v>1291</v>
      </c>
    </row>
    <row r="99" spans="1:12">
      <c r="A99" s="73"/>
      <c r="B99" s="198"/>
      <c r="C99" s="52" t="s">
        <v>1292</v>
      </c>
      <c r="D99" s="52" t="s">
        <v>1293</v>
      </c>
      <c r="E99" s="52" t="s">
        <v>1294</v>
      </c>
      <c r="F99" s="52" t="s">
        <v>1295</v>
      </c>
      <c r="G99" s="52" t="s">
        <v>1296</v>
      </c>
    </row>
    <row r="100" spans="1:12">
      <c r="A100" s="73"/>
      <c r="B100" s="198"/>
      <c r="C100" s="52" t="s">
        <v>1297</v>
      </c>
      <c r="D100" s="52" t="s">
        <v>1297</v>
      </c>
      <c r="E100" s="52" t="s">
        <v>1298</v>
      </c>
      <c r="F100" s="52" t="s">
        <v>1298</v>
      </c>
      <c r="G100" s="52" t="s">
        <v>1298</v>
      </c>
    </row>
    <row r="101" spans="1:12">
      <c r="A101" s="73"/>
      <c r="C101" s="54"/>
      <c r="D101" s="55"/>
      <c r="E101" s="55"/>
      <c r="F101" s="55"/>
      <c r="G101" s="55"/>
      <c r="H101" s="55"/>
      <c r="I101" s="55"/>
      <c r="J101" s="55"/>
      <c r="K101" s="55"/>
      <c r="L101" s="55"/>
    </row>
    <row r="102" spans="1:12">
      <c r="A102" s="73"/>
      <c r="E102" s="34"/>
    </row>
    <row r="103" spans="1:12">
      <c r="A103" s="73"/>
      <c r="E103" s="34"/>
    </row>
    <row r="104" spans="1:12">
      <c r="A104" s="73"/>
      <c r="E104" s="34"/>
    </row>
    <row r="105" spans="1:12" ht="15.75" customHeight="1">
      <c r="A105" s="34"/>
      <c r="B105" s="34" t="s">
        <v>1279</v>
      </c>
      <c r="C105" s="71"/>
      <c r="D105" s="72"/>
      <c r="E105" s="38"/>
      <c r="F105" s="50"/>
    </row>
    <row r="106" spans="1:12">
      <c r="A106" s="34"/>
      <c r="B106" s="40" t="s">
        <v>1178</v>
      </c>
      <c r="C106" s="59" t="s">
        <v>1282</v>
      </c>
      <c r="D106" s="59" t="s">
        <v>1283</v>
      </c>
      <c r="E106" s="50" t="s">
        <v>1182</v>
      </c>
    </row>
    <row r="107" spans="1:12">
      <c r="A107" s="57" t="s">
        <v>1299</v>
      </c>
      <c r="B107" s="197" t="s">
        <v>1260</v>
      </c>
      <c r="C107" s="48" t="s">
        <v>1300</v>
      </c>
      <c r="D107" s="48" t="s">
        <v>1218</v>
      </c>
      <c r="E107" s="34"/>
    </row>
    <row r="108" spans="1:12">
      <c r="A108" s="73"/>
      <c r="B108" s="198"/>
      <c r="C108" s="52">
        <v>5</v>
      </c>
      <c r="D108" s="52">
        <v>10</v>
      </c>
      <c r="E108" s="34"/>
    </row>
    <row r="109" spans="1:12">
      <c r="A109" s="73"/>
      <c r="E109" s="34"/>
    </row>
    <row r="110" spans="1:12">
      <c r="A110" s="73"/>
      <c r="E110" s="34"/>
    </row>
    <row r="111" spans="1:12">
      <c r="A111" s="73"/>
      <c r="E111" s="34"/>
    </row>
    <row r="112" spans="1:12">
      <c r="A112" s="34"/>
      <c r="B112" s="34" t="s">
        <v>1301</v>
      </c>
      <c r="C112" s="71"/>
      <c r="D112" s="72"/>
      <c r="E112" s="38"/>
      <c r="F112" s="50"/>
    </row>
    <row r="113" spans="1:9">
      <c r="A113" s="34"/>
      <c r="B113" s="40" t="s">
        <v>1178</v>
      </c>
      <c r="C113" s="40" t="s">
        <v>1302</v>
      </c>
      <c r="E113" s="34"/>
    </row>
    <row r="114" spans="1:9">
      <c r="A114" s="42" t="s">
        <v>1303</v>
      </c>
      <c r="B114" s="48" t="s">
        <v>1304</v>
      </c>
      <c r="C114" s="48" t="s">
        <v>1305</v>
      </c>
      <c r="D114" s="34" t="s">
        <v>1306</v>
      </c>
      <c r="E114" s="34"/>
    </row>
    <row r="115" spans="1:9">
      <c r="A115" s="73"/>
      <c r="E115" s="34"/>
    </row>
    <row r="116" spans="1:9">
      <c r="A116" s="73"/>
      <c r="E116" s="34"/>
    </row>
    <row r="117" spans="1:9">
      <c r="A117" s="73"/>
      <c r="E117" s="34"/>
    </row>
    <row r="118" spans="1:9">
      <c r="A118" s="34"/>
      <c r="B118" s="34" t="s">
        <v>1307</v>
      </c>
      <c r="C118" s="71"/>
      <c r="D118" s="58"/>
      <c r="E118" s="34" t="s">
        <v>1308</v>
      </c>
    </row>
    <row r="119" spans="1:9">
      <c r="A119" s="34"/>
      <c r="B119" s="40" t="s">
        <v>1309</v>
      </c>
      <c r="C119" s="40" t="s">
        <v>1262</v>
      </c>
      <c r="D119" s="39" t="s">
        <v>1310</v>
      </c>
      <c r="E119" s="78" t="s">
        <v>1311</v>
      </c>
      <c r="F119" s="39" t="str">
        <f>D119</f>
        <v>열 [대문자]</v>
      </c>
      <c r="G119" s="39" t="str">
        <f>E119</f>
        <v>포함 값</v>
      </c>
      <c r="H119" s="39" t="str">
        <f>F119</f>
        <v>열 [대문자]</v>
      </c>
      <c r="I119" s="39" t="str">
        <f>E119</f>
        <v>포함 값</v>
      </c>
    </row>
    <row r="120" spans="1:9">
      <c r="A120" s="42" t="s">
        <v>1312</v>
      </c>
      <c r="B120" s="48" t="s">
        <v>1257</v>
      </c>
      <c r="C120" s="79" t="s">
        <v>1313</v>
      </c>
      <c r="D120" s="48" t="s">
        <v>1250</v>
      </c>
      <c r="E120" s="48" t="s">
        <v>1314</v>
      </c>
      <c r="F120" s="47"/>
      <c r="G120" s="47"/>
      <c r="H120" s="47"/>
      <c r="I120" s="47"/>
    </row>
    <row r="121" spans="1:9">
      <c r="A121" s="73"/>
      <c r="E121" s="34"/>
    </row>
    <row r="122" spans="1:9">
      <c r="A122" s="73"/>
      <c r="E122" s="34"/>
    </row>
    <row r="123" spans="1:9">
      <c r="A123" s="73"/>
      <c r="E123" s="34"/>
    </row>
    <row r="124" spans="1:9">
      <c r="A124" s="34"/>
      <c r="B124" s="34" t="s">
        <v>1315</v>
      </c>
      <c r="C124" s="71"/>
      <c r="E124" s="34"/>
    </row>
    <row r="125" spans="1:9">
      <c r="A125" s="34"/>
      <c r="B125" s="40" t="s">
        <v>1178</v>
      </c>
      <c r="C125" s="40" t="s">
        <v>1316</v>
      </c>
      <c r="E125" s="34"/>
    </row>
    <row r="126" spans="1:9">
      <c r="A126" s="42" t="s">
        <v>1317</v>
      </c>
      <c r="B126" s="48" t="s">
        <v>1234</v>
      </c>
      <c r="C126" s="48" t="s">
        <v>1318</v>
      </c>
      <c r="E126" s="34"/>
    </row>
    <row r="127" spans="1:9">
      <c r="A127" s="73"/>
      <c r="C127" s="71"/>
      <c r="E127" s="34"/>
    </row>
    <row r="128" spans="1:9">
      <c r="A128" s="73"/>
      <c r="E128" s="34"/>
    </row>
    <row r="130" spans="1:6">
      <c r="A130" s="34"/>
      <c r="B130" s="34" t="s">
        <v>1319</v>
      </c>
      <c r="C130" s="71"/>
      <c r="D130" s="72"/>
      <c r="E130" s="38"/>
    </row>
    <row r="131" spans="1:6">
      <c r="A131" s="34"/>
      <c r="B131" s="40" t="s">
        <v>1178</v>
      </c>
      <c r="C131" s="40" t="s">
        <v>1155</v>
      </c>
      <c r="D131" s="59" t="s">
        <v>1320</v>
      </c>
      <c r="E131" s="59" t="s">
        <v>1321</v>
      </c>
    </row>
    <row r="132" spans="1:6">
      <c r="A132" s="57" t="s">
        <v>1322</v>
      </c>
      <c r="B132" s="48" t="s">
        <v>1323</v>
      </c>
      <c r="C132" s="48" t="s">
        <v>1324</v>
      </c>
      <c r="D132" s="48" t="s">
        <v>1325</v>
      </c>
      <c r="E132" s="48" t="s">
        <v>1217</v>
      </c>
    </row>
    <row r="136" spans="1:6">
      <c r="A136" s="73"/>
      <c r="B136" s="34" t="s">
        <v>1326</v>
      </c>
      <c r="C136" s="50"/>
    </row>
    <row r="137" spans="1:6">
      <c r="A137" s="73"/>
      <c r="B137" s="40" t="s">
        <v>1327</v>
      </c>
      <c r="C137" s="40" t="s">
        <v>1328</v>
      </c>
      <c r="D137" s="39" t="s">
        <v>1329</v>
      </c>
    </row>
    <row r="138" spans="1:6">
      <c r="A138" s="42" t="s">
        <v>1330</v>
      </c>
      <c r="B138" s="48" t="s">
        <v>1331</v>
      </c>
      <c r="C138" s="44" t="s">
        <v>1234</v>
      </c>
      <c r="D138" s="44" t="s">
        <v>1332</v>
      </c>
    </row>
    <row r="139" spans="1:6">
      <c r="A139" s="42"/>
      <c r="B139" s="54"/>
      <c r="C139" s="56"/>
      <c r="D139" s="56"/>
    </row>
    <row r="140" spans="1:6">
      <c r="A140" s="42"/>
      <c r="B140" s="54"/>
      <c r="C140" s="56"/>
      <c r="D140" s="56"/>
    </row>
    <row r="142" spans="1:6">
      <c r="A142" s="73"/>
      <c r="B142" s="34" t="s">
        <v>1333</v>
      </c>
      <c r="C142" s="50"/>
    </row>
    <row r="143" spans="1:6">
      <c r="A143" s="73"/>
      <c r="B143" s="39" t="s">
        <v>1334</v>
      </c>
      <c r="C143" s="39" t="s">
        <v>1335</v>
      </c>
      <c r="D143" s="39" t="s">
        <v>1336</v>
      </c>
      <c r="E143" s="39" t="s">
        <v>1337</v>
      </c>
      <c r="F143" s="39" t="s">
        <v>1338</v>
      </c>
    </row>
    <row r="144" spans="1:6">
      <c r="A144" s="57" t="s">
        <v>1339</v>
      </c>
      <c r="B144" s="44" t="s">
        <v>1340</v>
      </c>
      <c r="C144" s="44" t="s">
        <v>1341</v>
      </c>
      <c r="D144" s="44" t="s">
        <v>1342</v>
      </c>
      <c r="E144" s="48" t="s">
        <v>501</v>
      </c>
      <c r="F144" s="48" t="s">
        <v>1172</v>
      </c>
    </row>
    <row r="148" spans="1:7">
      <c r="A148" s="34"/>
      <c r="B148" s="34" t="s">
        <v>1343</v>
      </c>
      <c r="C148" s="71"/>
      <c r="D148" s="72"/>
      <c r="E148" s="38"/>
    </row>
    <row r="149" spans="1:7">
      <c r="A149" s="34"/>
      <c r="B149" s="40" t="s">
        <v>1344</v>
      </c>
      <c r="C149" s="40" t="s">
        <v>1345</v>
      </c>
      <c r="D149" s="40" t="s">
        <v>1346</v>
      </c>
      <c r="E149" s="40" t="s">
        <v>1347</v>
      </c>
      <c r="F149" s="40" t="s">
        <v>1348</v>
      </c>
      <c r="G149" s="40" t="s">
        <v>1349</v>
      </c>
    </row>
    <row r="150" spans="1:7">
      <c r="A150" s="57" t="s">
        <v>1350</v>
      </c>
      <c r="B150" s="48" t="s">
        <v>1351</v>
      </c>
      <c r="C150" s="48" t="s">
        <v>1352</v>
      </c>
      <c r="D150" s="48" t="s">
        <v>1353</v>
      </c>
      <c r="E150" s="48" t="s">
        <v>1354</v>
      </c>
      <c r="F150" s="48" t="s">
        <v>1355</v>
      </c>
      <c r="G150" s="48" t="s">
        <v>1356</v>
      </c>
    </row>
    <row r="154" spans="1:7">
      <c r="A154" s="57"/>
      <c r="B154" s="34" t="s">
        <v>1357</v>
      </c>
      <c r="E154" s="50"/>
      <c r="F154" s="38"/>
    </row>
    <row r="155" spans="1:7">
      <c r="A155" s="57"/>
      <c r="B155" s="40" t="s">
        <v>1207</v>
      </c>
      <c r="C155" s="59" t="s">
        <v>1358</v>
      </c>
      <c r="D155" s="59" t="s">
        <v>1272</v>
      </c>
      <c r="E155" s="50" t="s">
        <v>1359</v>
      </c>
    </row>
    <row r="156" spans="1:7">
      <c r="A156" s="57" t="s">
        <v>1360</v>
      </c>
      <c r="B156" s="48" t="s">
        <v>1361</v>
      </c>
      <c r="C156" s="79" t="s">
        <v>1362</v>
      </c>
      <c r="D156" s="79" t="s">
        <v>1363</v>
      </c>
      <c r="E156" s="34"/>
    </row>
    <row r="157" spans="1:7">
      <c r="E157" s="34"/>
    </row>
    <row r="158" spans="1:7">
      <c r="E158" s="34"/>
    </row>
    <row r="160" spans="1:7">
      <c r="A160" s="73"/>
      <c r="B160" s="34" t="s">
        <v>1364</v>
      </c>
    </row>
    <row r="161" spans="1:4">
      <c r="A161" s="73"/>
      <c r="B161" s="40" t="s">
        <v>1178</v>
      </c>
      <c r="C161" s="80" t="s">
        <v>1365</v>
      </c>
    </row>
    <row r="162" spans="1:4">
      <c r="A162" s="57" t="s">
        <v>1366</v>
      </c>
      <c r="B162" s="48" t="s">
        <v>1367</v>
      </c>
      <c r="C162" s="48" t="s">
        <v>1368</v>
      </c>
    </row>
    <row r="163" spans="1:4">
      <c r="A163" s="57"/>
      <c r="B163" s="54"/>
      <c r="C163" s="81"/>
    </row>
    <row r="164" spans="1:4">
      <c r="A164" s="57"/>
      <c r="B164" s="54"/>
      <c r="C164" s="81"/>
    </row>
    <row r="166" spans="1:4">
      <c r="A166" s="73"/>
      <c r="B166" s="34" t="s">
        <v>1369</v>
      </c>
    </row>
    <row r="167" spans="1:4">
      <c r="A167" s="73"/>
      <c r="B167" s="40" t="s">
        <v>1178</v>
      </c>
      <c r="C167" s="80" t="s">
        <v>1370</v>
      </c>
      <c r="D167" s="80" t="s">
        <v>1371</v>
      </c>
    </row>
    <row r="168" spans="1:4">
      <c r="A168" s="57" t="s">
        <v>1372</v>
      </c>
      <c r="B168" s="48" t="s">
        <v>1373</v>
      </c>
      <c r="C168" s="48" t="s">
        <v>1374</v>
      </c>
      <c r="D168" s="48">
        <v>2</v>
      </c>
    </row>
    <row r="169" spans="1:4">
      <c r="A169" s="57"/>
      <c r="B169" s="54"/>
      <c r="C169" s="81"/>
      <c r="D169" s="81"/>
    </row>
    <row r="170" spans="1:4">
      <c r="A170" s="57"/>
      <c r="B170" s="54"/>
      <c r="C170" s="81"/>
      <c r="D170" s="81"/>
    </row>
    <row r="172" spans="1:4">
      <c r="A172" s="73"/>
      <c r="B172" s="34" t="s">
        <v>1375</v>
      </c>
    </row>
    <row r="173" spans="1:4">
      <c r="A173" s="73"/>
      <c r="B173" s="80" t="s">
        <v>1376</v>
      </c>
    </row>
    <row r="174" spans="1:4">
      <c r="A174" s="57" t="s">
        <v>1377</v>
      </c>
      <c r="B174" s="48" t="s">
        <v>1378</v>
      </c>
    </row>
    <row r="178" spans="1:12">
      <c r="A178" s="73"/>
      <c r="B178" s="34" t="s">
        <v>1379</v>
      </c>
      <c r="C178" s="50"/>
      <c r="L178" s="82"/>
    </row>
    <row r="179" spans="1:12">
      <c r="A179" s="73"/>
      <c r="B179" s="40" t="s">
        <v>1380</v>
      </c>
      <c r="C179" s="39" t="s">
        <v>1381</v>
      </c>
      <c r="D179" s="39" t="s">
        <v>1382</v>
      </c>
      <c r="E179" s="39" t="s">
        <v>1383</v>
      </c>
      <c r="F179" s="50" t="s">
        <v>1384</v>
      </c>
    </row>
    <row r="180" spans="1:12">
      <c r="A180" s="42" t="s">
        <v>1385</v>
      </c>
      <c r="B180" s="48" t="s">
        <v>1331</v>
      </c>
      <c r="C180" s="44" t="s">
        <v>1332</v>
      </c>
      <c r="D180" s="44" t="s">
        <v>1331</v>
      </c>
      <c r="E180" s="44"/>
    </row>
    <row r="184" spans="1:12">
      <c r="A184" s="57"/>
      <c r="B184" s="34" t="s">
        <v>1386</v>
      </c>
      <c r="E184" s="50"/>
      <c r="F184" s="38"/>
    </row>
    <row r="185" spans="1:12">
      <c r="A185" s="57"/>
      <c r="B185" s="40" t="s">
        <v>1178</v>
      </c>
      <c r="C185" s="83" t="s">
        <v>1387</v>
      </c>
      <c r="D185" s="83" t="str">
        <f>C185</f>
        <v>행 삭제</v>
      </c>
      <c r="E185" s="83" t="str">
        <f t="shared" ref="E185" si="0">D185</f>
        <v>행 삭제</v>
      </c>
      <c r="F185" s="50" t="s">
        <v>1388</v>
      </c>
    </row>
    <row r="186" spans="1:12">
      <c r="A186" s="57" t="s">
        <v>1389</v>
      </c>
      <c r="B186" s="48" t="s">
        <v>1181</v>
      </c>
      <c r="C186" s="48" t="s">
        <v>1242</v>
      </c>
      <c r="D186" s="48" t="s">
        <v>1390</v>
      </c>
      <c r="E186" s="48"/>
    </row>
    <row r="187" spans="1:12">
      <c r="A187" s="57"/>
      <c r="B187" s="54"/>
      <c r="C187" s="62"/>
      <c r="D187" s="62"/>
      <c r="E187" s="62"/>
    </row>
    <row r="188" spans="1:12">
      <c r="A188" s="57"/>
      <c r="B188" s="54"/>
      <c r="C188" s="62"/>
      <c r="D188" s="62"/>
      <c r="E188" s="62"/>
    </row>
    <row r="189" spans="1:12">
      <c r="F189" s="35"/>
    </row>
    <row r="190" spans="1:12">
      <c r="A190" s="57"/>
      <c r="B190" s="34" t="s">
        <v>1391</v>
      </c>
      <c r="E190" s="50"/>
      <c r="F190" s="35"/>
    </row>
    <row r="191" spans="1:12">
      <c r="A191" s="57"/>
      <c r="B191" s="40" t="s">
        <v>1392</v>
      </c>
      <c r="C191" s="83" t="s">
        <v>1393</v>
      </c>
      <c r="D191" s="83" t="str">
        <f>C191</f>
        <v>열 삭제</v>
      </c>
      <c r="E191" s="83" t="str">
        <f t="shared" ref="E191" si="1">D191</f>
        <v>열 삭제</v>
      </c>
      <c r="F191" s="50" t="s">
        <v>1182</v>
      </c>
    </row>
    <row r="192" spans="1:12">
      <c r="A192" s="57" t="s">
        <v>1394</v>
      </c>
      <c r="B192" s="48" t="s">
        <v>1181</v>
      </c>
      <c r="C192" s="79" t="s">
        <v>1395</v>
      </c>
      <c r="D192" s="79" t="s">
        <v>1396</v>
      </c>
      <c r="E192" s="79"/>
    </row>
    <row r="196" spans="1:5">
      <c r="A196" s="34"/>
      <c r="B196" s="34" t="s">
        <v>1397</v>
      </c>
      <c r="C196" s="71"/>
      <c r="D196" s="58"/>
      <c r="E196" s="34"/>
    </row>
    <row r="197" spans="1:5">
      <c r="A197" s="34"/>
      <c r="B197" s="40" t="s">
        <v>1398</v>
      </c>
      <c r="C197" s="40" t="s">
        <v>1399</v>
      </c>
      <c r="D197" s="40" t="s">
        <v>1400</v>
      </c>
      <c r="E197" s="50" t="s">
        <v>1401</v>
      </c>
    </row>
    <row r="198" spans="1:5">
      <c r="A198" s="42" t="s">
        <v>1402</v>
      </c>
      <c r="B198" s="48" t="s">
        <v>1403</v>
      </c>
      <c r="C198" s="48" t="s">
        <v>1403</v>
      </c>
      <c r="D198" s="48"/>
      <c r="E198" s="34"/>
    </row>
    <row r="199" spans="1:5">
      <c r="E199" s="34"/>
    </row>
    <row r="202" spans="1:5">
      <c r="A202" s="34"/>
      <c r="B202" s="34" t="s">
        <v>1404</v>
      </c>
      <c r="C202" s="71"/>
    </row>
    <row r="203" spans="1:5">
      <c r="A203" s="34"/>
      <c r="B203" s="40" t="s">
        <v>1405</v>
      </c>
      <c r="C203" s="40" t="s">
        <v>1399</v>
      </c>
    </row>
    <row r="204" spans="1:5">
      <c r="A204" s="42" t="s">
        <v>1406</v>
      </c>
      <c r="B204" s="48" t="s">
        <v>1407</v>
      </c>
      <c r="C204" s="48" t="s">
        <v>1408</v>
      </c>
    </row>
    <row r="207" spans="1:5">
      <c r="A207" s="34"/>
      <c r="B207" s="34" t="s">
        <v>1409</v>
      </c>
      <c r="C207" s="71"/>
    </row>
    <row r="208" spans="1:5">
      <c r="A208" s="34"/>
      <c r="B208" s="40" t="s">
        <v>1405</v>
      </c>
      <c r="C208" s="40" t="s">
        <v>1399</v>
      </c>
    </row>
    <row r="209" spans="1:40">
      <c r="A209" s="42" t="s">
        <v>1410</v>
      </c>
      <c r="B209" s="48" t="s">
        <v>1407</v>
      </c>
      <c r="C209" s="48" t="s">
        <v>1408</v>
      </c>
    </row>
    <row r="213" spans="1:40">
      <c r="A213" s="34"/>
      <c r="B213" s="34" t="s">
        <v>1411</v>
      </c>
      <c r="C213" s="71"/>
      <c r="D213" s="72"/>
      <c r="E213" s="38"/>
      <c r="F213" s="50"/>
    </row>
    <row r="214" spans="1:40">
      <c r="A214" s="34"/>
      <c r="B214" s="40" t="s">
        <v>1412</v>
      </c>
      <c r="E214" s="34"/>
    </row>
    <row r="215" spans="1:40">
      <c r="A215" s="42" t="s">
        <v>1413</v>
      </c>
      <c r="B215" s="48" t="s">
        <v>1342</v>
      </c>
      <c r="E215" s="34"/>
    </row>
    <row r="219" spans="1:40">
      <c r="A219" s="42" t="s">
        <v>1414</v>
      </c>
      <c r="B219" s="84" t="s">
        <v>1415</v>
      </c>
      <c r="C219" s="84" t="s">
        <v>1416</v>
      </c>
      <c r="D219" s="84" t="s">
        <v>1417</v>
      </c>
      <c r="E219" s="84" t="s">
        <v>1418</v>
      </c>
      <c r="F219" s="84" t="s">
        <v>1419</v>
      </c>
      <c r="G219" s="84" t="s">
        <v>1420</v>
      </c>
    </row>
    <row r="220" spans="1:40">
      <c r="A220" s="57" t="s">
        <v>1421</v>
      </c>
      <c r="B220" s="85" t="s">
        <v>1422</v>
      </c>
      <c r="C220" s="44" t="s">
        <v>1423</v>
      </c>
      <c r="D220" s="44"/>
      <c r="E220" s="44">
        <v>12345</v>
      </c>
      <c r="F220" s="44">
        <v>1</v>
      </c>
      <c r="G220" s="44" t="s">
        <v>1424</v>
      </c>
      <c r="H220" s="35"/>
      <c r="I220" s="35"/>
      <c r="J220" s="35"/>
      <c r="K220" s="35"/>
      <c r="L220" s="35"/>
      <c r="M220" s="35"/>
      <c r="N220" s="35"/>
      <c r="O220" s="35"/>
      <c r="P220" s="35"/>
      <c r="Q220" s="35"/>
      <c r="R220" s="35"/>
      <c r="S220" s="35"/>
      <c r="T220" s="35"/>
      <c r="U220" s="35"/>
      <c r="V220" s="35"/>
      <c r="W220" s="35"/>
      <c r="X220" s="35"/>
      <c r="Y220" s="35"/>
      <c r="Z220" s="35"/>
      <c r="AA220" s="35"/>
      <c r="AB220" s="35"/>
      <c r="AC220" s="35"/>
      <c r="AD220" s="35"/>
      <c r="AE220" s="35"/>
      <c r="AF220" s="35"/>
      <c r="AG220" s="35"/>
      <c r="AH220" s="35"/>
      <c r="AI220" s="35"/>
      <c r="AJ220" s="35"/>
      <c r="AK220" s="35"/>
      <c r="AL220" s="35"/>
      <c r="AM220" s="35"/>
      <c r="AN220" s="35"/>
    </row>
    <row r="221" spans="1:40">
      <c r="A221" s="73"/>
      <c r="B221" s="85" t="s">
        <v>1425</v>
      </c>
      <c r="C221" s="44">
        <v>10</v>
      </c>
      <c r="D221" s="44">
        <v>1</v>
      </c>
      <c r="E221" s="44">
        <v>0.1</v>
      </c>
      <c r="F221" s="44">
        <v>3</v>
      </c>
      <c r="G221" s="44">
        <v>2</v>
      </c>
      <c r="H221" s="35"/>
      <c r="I221" s="35"/>
      <c r="J221" s="35"/>
      <c r="K221" s="35"/>
      <c r="L221" s="35"/>
      <c r="M221" s="35"/>
      <c r="N221" s="35"/>
      <c r="O221" s="35"/>
      <c r="P221" s="35"/>
      <c r="Q221" s="35"/>
      <c r="R221" s="35"/>
      <c r="S221" s="35"/>
      <c r="T221" s="35"/>
      <c r="U221" s="35"/>
      <c r="V221" s="35"/>
      <c r="W221" s="35"/>
      <c r="X221" s="35"/>
      <c r="Y221" s="35"/>
      <c r="Z221" s="35"/>
      <c r="AA221" s="35"/>
      <c r="AB221" s="35"/>
      <c r="AC221" s="35"/>
      <c r="AD221" s="35"/>
      <c r="AE221" s="35"/>
      <c r="AF221" s="35"/>
      <c r="AG221" s="35"/>
      <c r="AH221" s="35"/>
      <c r="AI221" s="35"/>
      <c r="AJ221" s="35"/>
      <c r="AK221" s="35"/>
      <c r="AL221" s="35"/>
      <c r="AM221" s="35"/>
      <c r="AN221" s="35"/>
    </row>
    <row r="224" spans="1:40">
      <c r="A224" s="34"/>
      <c r="B224" s="34" t="s">
        <v>1426</v>
      </c>
      <c r="C224" s="71"/>
      <c r="D224" s="72"/>
      <c r="E224" s="38"/>
    </row>
    <row r="225" spans="1:9">
      <c r="A225" s="34"/>
      <c r="B225" s="40" t="s">
        <v>1427</v>
      </c>
      <c r="C225" s="40" t="s">
        <v>1428</v>
      </c>
      <c r="D225" s="72"/>
      <c r="E225" s="38"/>
    </row>
    <row r="226" spans="1:9">
      <c r="A226" s="57" t="s">
        <v>1429</v>
      </c>
      <c r="B226" s="48" t="s">
        <v>1430</v>
      </c>
      <c r="C226" s="48" t="s">
        <v>1431</v>
      </c>
      <c r="D226" s="72"/>
      <c r="E226" s="38"/>
    </row>
    <row r="229" spans="1:9">
      <c r="A229" s="34"/>
      <c r="B229" s="34" t="s">
        <v>1432</v>
      </c>
      <c r="C229" s="71"/>
      <c r="D229" s="72"/>
      <c r="E229" s="38"/>
    </row>
    <row r="230" spans="1:9">
      <c r="A230" s="34"/>
      <c r="B230" s="40" t="s">
        <v>1433</v>
      </c>
      <c r="C230" s="40" t="s">
        <v>1434</v>
      </c>
      <c r="D230" s="40" t="s">
        <v>1346</v>
      </c>
      <c r="E230" s="84" t="s">
        <v>1435</v>
      </c>
    </row>
    <row r="231" spans="1:9">
      <c r="A231" s="57" t="s">
        <v>1436</v>
      </c>
      <c r="B231" s="48" t="s">
        <v>1437</v>
      </c>
      <c r="C231" s="48" t="s">
        <v>1438</v>
      </c>
      <c r="D231" s="48" t="s">
        <v>1437</v>
      </c>
      <c r="E231" s="48" t="s">
        <v>1439</v>
      </c>
    </row>
    <row r="235" spans="1:9">
      <c r="B235" s="34" t="s">
        <v>1440</v>
      </c>
      <c r="C235" s="37"/>
      <c r="I235" s="38"/>
    </row>
    <row r="236" spans="1:9">
      <c r="B236" s="39" t="s">
        <v>1441</v>
      </c>
      <c r="C236" s="40" t="s">
        <v>1442</v>
      </c>
      <c r="D236" s="39" t="s">
        <v>1151</v>
      </c>
      <c r="E236" s="39" t="s">
        <v>1443</v>
      </c>
      <c r="F236" s="41" t="s">
        <v>1444</v>
      </c>
    </row>
    <row r="237" spans="1:9">
      <c r="A237" s="42" t="s">
        <v>1445</v>
      </c>
      <c r="B237" s="43">
        <v>1</v>
      </c>
      <c r="C237" s="44" t="s">
        <v>1179</v>
      </c>
      <c r="D237" s="44" t="s">
        <v>1340</v>
      </c>
      <c r="E237" s="44" t="s">
        <v>1446</v>
      </c>
      <c r="F237" s="45" t="s">
        <v>1332</v>
      </c>
    </row>
    <row r="241" spans="1:7">
      <c r="B241" s="34" t="s">
        <v>1447</v>
      </c>
      <c r="C241" s="37"/>
    </row>
    <row r="242" spans="1:7">
      <c r="B242" s="39" t="s">
        <v>1448</v>
      </c>
      <c r="C242" s="40" t="s">
        <v>1449</v>
      </c>
    </row>
    <row r="243" spans="1:7">
      <c r="A243" s="42" t="s">
        <v>1450</v>
      </c>
      <c r="B243" s="43">
        <v>1</v>
      </c>
      <c r="C243" s="44" t="s">
        <v>1179</v>
      </c>
    </row>
    <row r="248" spans="1:7">
      <c r="B248" s="34" t="s">
        <v>1451</v>
      </c>
    </row>
    <row r="249" spans="1:7">
      <c r="A249" s="73"/>
      <c r="B249" s="59" t="s">
        <v>1452</v>
      </c>
      <c r="C249" s="86" t="s">
        <v>1453</v>
      </c>
      <c r="D249" s="199" t="s">
        <v>1454</v>
      </c>
      <c r="E249" s="200"/>
      <c r="F249" s="40" t="s">
        <v>1455</v>
      </c>
      <c r="G249" s="34" t="s">
        <v>1456</v>
      </c>
    </row>
    <row r="250" spans="1:7">
      <c r="A250" s="57" t="s">
        <v>1457</v>
      </c>
      <c r="B250" s="48"/>
      <c r="C250" s="87"/>
      <c r="D250" s="48" t="s">
        <v>1172</v>
      </c>
      <c r="E250" s="48" t="s">
        <v>1458</v>
      </c>
      <c r="F250" s="48" t="s">
        <v>1459</v>
      </c>
      <c r="G250" s="34" t="s">
        <v>1460</v>
      </c>
    </row>
    <row r="254" spans="1:7">
      <c r="A254" s="57"/>
      <c r="B254" s="34" t="s">
        <v>1461</v>
      </c>
      <c r="C254" s="58"/>
      <c r="D254" s="38"/>
      <c r="E254" s="34"/>
      <c r="F254" s="38"/>
    </row>
    <row r="255" spans="1:7">
      <c r="A255" s="57"/>
      <c r="B255" s="40" t="s">
        <v>1462</v>
      </c>
      <c r="C255" s="59" t="s">
        <v>1197</v>
      </c>
      <c r="D255" s="41" t="s">
        <v>1153</v>
      </c>
      <c r="E255" s="39" t="s">
        <v>1463</v>
      </c>
      <c r="F255" s="39" t="s">
        <v>1464</v>
      </c>
    </row>
    <row r="256" spans="1:7">
      <c r="A256" s="57" t="s">
        <v>1465</v>
      </c>
      <c r="B256" s="44" t="s">
        <v>1466</v>
      </c>
      <c r="C256" s="44" t="s">
        <v>1194</v>
      </c>
      <c r="D256" s="88" t="s">
        <v>1332</v>
      </c>
      <c r="E256" s="88" t="s">
        <v>1467</v>
      </c>
      <c r="F256" s="44" t="s">
        <v>1468</v>
      </c>
    </row>
    <row r="259" spans="1:5">
      <c r="B259" s="34" t="s">
        <v>1469</v>
      </c>
      <c r="C259" s="37"/>
    </row>
    <row r="260" spans="1:5">
      <c r="B260" s="39" t="s">
        <v>1448</v>
      </c>
      <c r="C260" s="40" t="s">
        <v>1449</v>
      </c>
      <c r="D260" s="39" t="s">
        <v>1470</v>
      </c>
      <c r="E260" s="41" t="s">
        <v>1471</v>
      </c>
    </row>
    <row r="261" spans="1:5">
      <c r="A261" s="42" t="s">
        <v>1472</v>
      </c>
      <c r="B261" s="43">
        <v>1</v>
      </c>
      <c r="C261" s="44" t="s">
        <v>1179</v>
      </c>
      <c r="D261" s="44" t="s">
        <v>1473</v>
      </c>
      <c r="E261" s="44"/>
    </row>
    <row r="265" spans="1:5">
      <c r="A265" s="57"/>
      <c r="B265" s="34" t="s">
        <v>1474</v>
      </c>
      <c r="E265" s="50"/>
    </row>
    <row r="266" spans="1:5">
      <c r="A266" s="57"/>
      <c r="B266" s="40" t="s">
        <v>1475</v>
      </c>
      <c r="C266" s="40" t="s">
        <v>1476</v>
      </c>
      <c r="E266" s="34"/>
    </row>
    <row r="267" spans="1:5">
      <c r="A267" s="57" t="s">
        <v>1477</v>
      </c>
      <c r="B267" s="48" t="s">
        <v>1478</v>
      </c>
      <c r="C267" s="48" t="s">
        <v>1172</v>
      </c>
      <c r="E267" s="34"/>
    </row>
    <row r="271" spans="1:5">
      <c r="A271" s="57"/>
      <c r="B271" s="34" t="s">
        <v>1479</v>
      </c>
    </row>
    <row r="272" spans="1:5">
      <c r="A272" s="57"/>
      <c r="B272" s="40" t="s">
        <v>1480</v>
      </c>
    </row>
    <row r="273" spans="1:6">
      <c r="A273" s="57" t="s">
        <v>1481</v>
      </c>
      <c r="B273" s="48" t="s">
        <v>1482</v>
      </c>
    </row>
    <row r="276" spans="1:6">
      <c r="A276" s="73"/>
      <c r="B276" s="34" t="s">
        <v>1483</v>
      </c>
    </row>
    <row r="277" spans="1:6">
      <c r="A277" s="73"/>
      <c r="B277" s="40" t="s">
        <v>1484</v>
      </c>
      <c r="C277" s="35"/>
      <c r="D277" s="35"/>
    </row>
    <row r="278" spans="1:6">
      <c r="A278" s="57" t="s">
        <v>1485</v>
      </c>
      <c r="B278" s="89" t="s">
        <v>1486</v>
      </c>
      <c r="C278" s="35"/>
      <c r="D278" s="35"/>
    </row>
    <row r="281" spans="1:6">
      <c r="A281" s="57"/>
      <c r="B281" s="34" t="s">
        <v>1487</v>
      </c>
      <c r="E281" s="50"/>
    </row>
    <row r="282" spans="1:6">
      <c r="A282" s="57"/>
      <c r="B282" s="40" t="s">
        <v>1488</v>
      </c>
      <c r="C282" s="40" t="s">
        <v>1489</v>
      </c>
      <c r="E282" s="34"/>
    </row>
    <row r="283" spans="1:6">
      <c r="A283" s="57" t="s">
        <v>1490</v>
      </c>
      <c r="B283" s="48">
        <v>32</v>
      </c>
      <c r="C283" s="48" t="s">
        <v>1172</v>
      </c>
      <c r="D283" s="34" t="s">
        <v>1491</v>
      </c>
      <c r="E283" s="34"/>
    </row>
    <row r="286" spans="1:6">
      <c r="B286" s="34" t="s">
        <v>1492</v>
      </c>
      <c r="C286" s="37"/>
    </row>
    <row r="287" spans="1:6">
      <c r="B287" s="39" t="s">
        <v>1493</v>
      </c>
      <c r="C287" s="39" t="s">
        <v>1494</v>
      </c>
      <c r="D287" s="39" t="s">
        <v>1495</v>
      </c>
      <c r="E287" s="39" t="s">
        <v>1496</v>
      </c>
      <c r="F287" s="39" t="s">
        <v>1497</v>
      </c>
    </row>
    <row r="288" spans="1:6">
      <c r="A288" s="42" t="s">
        <v>1498</v>
      </c>
      <c r="B288" s="43">
        <v>1</v>
      </c>
      <c r="C288" s="44" t="s">
        <v>1499</v>
      </c>
      <c r="D288" s="45" t="s">
        <v>1500</v>
      </c>
      <c r="E288" s="45" t="s">
        <v>1501</v>
      </c>
      <c r="F288" s="44" t="s">
        <v>1502</v>
      </c>
    </row>
    <row r="291" spans="1:3">
      <c r="A291" s="57"/>
      <c r="B291" s="34" t="s">
        <v>1474</v>
      </c>
    </row>
    <row r="292" spans="1:3">
      <c r="A292" s="57"/>
      <c r="B292" s="40" t="s">
        <v>1475</v>
      </c>
      <c r="C292" s="40" t="s">
        <v>1503</v>
      </c>
    </row>
    <row r="293" spans="1:3">
      <c r="A293" s="57" t="s">
        <v>1504</v>
      </c>
      <c r="B293" s="48" t="s">
        <v>1505</v>
      </c>
      <c r="C293" s="48" t="s">
        <v>1506</v>
      </c>
    </row>
  </sheetData>
  <mergeCells count="15">
    <mergeCell ref="A46:A47"/>
    <mergeCell ref="E2:F3"/>
    <mergeCell ref="E24:F24"/>
    <mergeCell ref="G24:H24"/>
    <mergeCell ref="G39:H39"/>
    <mergeCell ref="E44:F44"/>
    <mergeCell ref="B98:B100"/>
    <mergeCell ref="B107:B108"/>
    <mergeCell ref="D249:E249"/>
    <mergeCell ref="B48:E48"/>
    <mergeCell ref="B59:B60"/>
    <mergeCell ref="C59:C60"/>
    <mergeCell ref="D59:D60"/>
    <mergeCell ref="E59:E60"/>
    <mergeCell ref="B67:B68"/>
  </mergeCells>
  <phoneticPr fontId="4" type="noConversion"/>
  <dataValidations count="17">
    <dataValidation type="list" allowBlank="1" showInputMessage="1" showErrorMessage="1" sqref="F288">
      <formula1>"Yes, No"</formula1>
    </dataValidation>
    <dataValidation type="list" allowBlank="1" showInputMessage="1" showErrorMessage="1" sqref="F256">
      <formula1>"jpg,bmp,tif,gif,png"</formula1>
    </dataValidation>
    <dataValidation type="list" allowBlank="1" showInputMessage="1" showErrorMessage="1" sqref="E250">
      <formula1>"Start, End"</formula1>
    </dataValidation>
    <dataValidation type="list" allowBlank="1" showInputMessage="1" showErrorMessage="1" sqref="E8 E14 E237">
      <formula1>"xls, xlsx, xlsm"</formula1>
    </dataValidation>
    <dataValidation type="list" allowBlank="1" showInputMessage="1" showErrorMessage="1" sqref="C168">
      <formula1>"시트 생성, 시트 삭제,내용 지움, 내용 삭제"</formula1>
    </dataValidation>
    <dataValidation type="list" allowBlank="1" showInputMessage="1" showErrorMessage="1" sqref="C169:C170">
      <formula1>"시트 생성, 시트 삭제, 내용 삭제"</formula1>
    </dataValidation>
    <dataValidation type="list" allowBlank="1" showInputMessage="1" showErrorMessage="1" sqref="C162:C164">
      <formula1>"시트 삭제, 내용 삭제"</formula1>
    </dataValidation>
    <dataValidation type="list" allowBlank="1" showInputMessage="1" showErrorMessage="1" sqref="C185:E185">
      <formula1>"내용 삭제, 행 삭제"</formula1>
    </dataValidation>
    <dataValidation type="list" allowBlank="1" showInputMessage="1" showErrorMessage="1" sqref="C191:E191">
      <formula1>"내용 삭제, 열 삭제"</formula1>
    </dataValidation>
    <dataValidation type="list" allowBlank="1" showInputMessage="1" showErrorMessage="1" sqref="E119">
      <formula1>"포함 값,포함하지 않음"</formula1>
    </dataValidation>
    <dataValidation type="list" allowBlank="1" showInputMessage="1" showErrorMessage="1" sqref="F48:H48">
      <formula1>"값으로, 수식 유지"</formula1>
    </dataValidation>
    <dataValidation showInputMessage="1" showErrorMessage="1" sqref="D74"/>
    <dataValidation type="list" allowBlank="1" showInputMessage="1" showErrorMessage="1" sqref="B174">
      <formula1>"ON, OFF"</formula1>
    </dataValidation>
    <dataValidation type="list" allowBlank="1" showInputMessage="1" showErrorMessage="1" sqref="C100:G101 H101:L101">
      <formula1>"왼쪽맞춤, 가운데맞춤, 오른쪽맞춤"</formula1>
    </dataValidation>
    <dataValidation type="list" allowBlank="1" showInputMessage="1" showErrorMessage="1" sqref="C74 F49:F51 H14 F40:F43 G80 C92 D80 H8 F150:G150 E144:F144 C20 G10:G11 C28:E28 P8 P14 D250 C267">
      <formula1>"Y,N"</formula1>
    </dataValidation>
    <dataValidation type="list" allowBlank="1" showInputMessage="1" showErrorMessage="1" sqref="D68:E68">
      <formula1>"오름차순, 내림차순"</formula1>
    </dataValidation>
    <dataValidation type="list" allowBlank="1" showInputMessage="1" showErrorMessage="1" sqref="C99:G99">
      <formula1>"날짜, 백분율(%), 숫자(0), 숫자(0.0), 숫자(0.00)"</formula1>
    </dataValidation>
  </dataValidation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14:formula1>
            <xm:f>SendKey!$A:$A</xm:f>
          </x14:formula1>
          <xm:sqref>B219:G219</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10</vt:i4>
      </vt:variant>
    </vt:vector>
  </HeadingPairs>
  <TitlesOfParts>
    <vt:vector size="10" baseType="lpstr">
      <vt:lpstr>Coding 1</vt:lpstr>
      <vt:lpstr>Sheet1</vt:lpstr>
      <vt:lpstr>Sheet2</vt:lpstr>
      <vt:lpstr>Sheet3</vt:lpstr>
      <vt:lpstr>엑셀 함수</vt:lpstr>
      <vt:lpstr>Sheet5</vt:lpstr>
      <vt:lpstr>Sheet6</vt:lpstr>
      <vt:lpstr>Sheet4</vt:lpstr>
      <vt:lpstr>SendKey</vt:lpstr>
      <vt:lpstr>Function</vt:lpstr>
    </vt:vector>
  </TitlesOfParts>
  <Company>Seonghwa Industrial Co., ltd.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Lee, Donghun</dc:creator>
  <cp:lastModifiedBy>Lee, Donghun</cp:lastModifiedBy>
  <dcterms:created xsi:type="dcterms:W3CDTF">2022-06-29T01:46:35Z</dcterms:created>
  <dcterms:modified xsi:type="dcterms:W3CDTF">2022-07-21T10:19:59Z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Fasoo_Trace_ID" pid="2">
    <vt:lpwstr>eyJub2RlMSI6eyJkc2QiOiIwMTAwMDAwMDAwMDAyMjE4IiwibG9nVGltZSI6IjIwMjItMDctMjFUMDg6NDQ6NTlaIiwicElEIjoxLCJ0cmFjZUlkIjoiNjc3NUU4MkIxQzNCNEI1MUJEQjU4QTdFREQzODhGMzAiLCJ1c2VyQ29kZSI6ImRvbmdodW4ubGVlIn0sIm5vZGUyIjp7ImRzZCI6IjAxMDAwMDAwMDAwMDIyMTgiLCJsb2dUaW1lIjoiMjAyMi0wNy0yMVQwODo0NDo1OVoiLCJwSUQiOjEsInRyYWNlSWQiOiI2Nzc1RTgyQjFDM0I0QjUxQkRCNThBN0VERDM4OEYzMCIsInVzZXJDb2RlIjoiZG9uZ2h1bi5sZWUifSwibm9kZTMiOnsiZHNkIjoiMDEwMDAwMDAwMDAwMjIxOCIsImxvZ1RpbWUiOiIyMDIyLTA3LTIxVDA4OjQ0OjU5WiIsInBJRCI6MSwidHJhY2VJZCI6IjY3NzVFODJCMUMzQjRCNTFCREI1OEE3RUREMzg4RjMwIiwidXNlckNvZGUiOiJkb25naHVuLmxlZSJ9LCJub2RlNCI6eyJkc2QiOiIwMTAwMDAwMDAwMDAyMjE4IiwibG9nVGltZSI6IjIwMjItMDctMjFUMDg6NDQ6NTlaIiwicElEIjoxLCJ0cmFjZUlkIjoiNjc3NUU4MkIxQzNCNEI1MUJEQjU4QTdFREQzODhGMzAiLCJ1c2VyQ29kZSI6ImRvbmdodW4ubGVlIn0sIm5vZGU1Ijp7ImRzZCI6IjAwMDAwMDAwMDAwMDAwMDAiLCJsb2dUaW1lIjoiMjAyMi0wNy0yMVQxMDoyMDo0MloiLCJwSUQiOjIwNDgsInRyYWNlSWQiOiI4MUZBRTlGQzUyMjE0MjhGODAxM0MxMzU2Q0E4M0QwQSIsInVzZXJDb2RlIjoiZG9uZ2h1bi5sZWUifSwibm9kZUNvdW50IjoyfQ==</vt:lpwstr>
  </property>
</Properties>
</file>